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<sst xmlns="http://schemas.openxmlformats.org/spreadsheetml/2006/main" count="1173" uniqueCount="696">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</sst>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3751686.30284518</v>
      </c>
      <c r="D5" s="10" t="n">
        <f aca="false">Model!X8+Model!Y8+Model!Z8+Model!AA8+Model!AB8+Model!AC8+Model!AD8+Model!AE8+Model!AF8+Model!AG8+Model!AH8+Model!AI8</f>
        <v>3068658.61342276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3824039.14495044</v>
      </c>
      <c r="D6" s="10" t="n">
        <f aca="false">Model!X9+Model!Y9+Model!Z9+Model!AA9+Model!AB9+Model!AC9+Model!AD9+Model!AE9+Model!AF9+Model!AG9+Model!AH9+Model!AI9</f>
        <v>3068658.61342276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1155343.74897471</v>
      </c>
      <c r="D7" s="10" t="n">
        <f aca="false">Model!X10+Model!Y10+Model!Z10+Model!AA10+Model!AB10+Model!AC10+Model!AD10+Model!AE10+Model!AF10+Model!AG10+Model!AH10+Model!AI10</f>
        <v>1022886.20447425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9410070.74677033</v>
      </c>
      <c r="D9" s="12" t="n">
        <f aca="false">Model!X12+Model!Y12+Model!Z12+Model!AA12+Model!AB12+Model!AC12+Model!AD12+Model!AE12+Model!AF12+Model!AG12+Model!AH12+Model!AI12</f>
        <v>7780522.91131978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-6572262.0413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2837808.70547033</v>
      </c>
      <c r="D16" s="16" t="n">
        <f aca="false">Model!X40+Model!Y40+Model!Z40+Model!AA40+Model!AB40+Model!AC40+Model!AD40+Model!AE40+Model!AF40+Model!AG40+Model!AH40+Model!AI40</f>
        <v>1233383.51469378</v>
      </c>
      <c r="E16" s="16" t="n">
        <f aca="false">Model!AJ40+Model!AK40+Model!AL40+Model!AM40+Model!AN40+Model!AO40+Model!AP40+Model!AQ40+Model!AR40+Model!AS40+Model!AT40+Model!AU40</f>
        <v>-1704179.30421307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0.301571452737941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0.158521930820272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-0.472989398780032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2070041.64287033</v>
      </c>
      <c r="D23" s="16" t="n">
        <f aca="false">Model!X95+Model!Y95+Model!Z95+Model!AA95+Model!AB95+Model!AC95+Model!AD95+Model!AE95+Model!AF95+Model!AG95+Model!AH95+Model!AI95</f>
        <v>1918754.88679378</v>
      </c>
      <c r="E23" s="16" t="n">
        <f aca="false">Model!AJ95+Model!AK95+Model!AL95+Model!AM95+Model!AN95+Model!AO95+Model!AP95+Model!AQ95+Model!AR95+Model!AS95+Model!AT95+Model!AU95</f>
        <v>-2062941.69846307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6765803.97151355</v>
      </c>
      <c r="D42" s="21" t="n">
        <f aca="false">Model!AI147</f>
        <v>7999187.48620733</v>
      </c>
      <c r="E42" s="21" t="n">
        <f aca="false">Model!AU147</f>
        <v>6295008.18199426</v>
      </c>
      <c r="F42" s="21" t="n">
        <f aca="false">Model!BG147</f>
        <v>2604798.19222724</v>
      </c>
      <c r="G42" s="21" t="n">
        <f aca="false">Model!BS147</f>
        <v>-2916787.85733512</v>
      </c>
      <c r="H42" s="21" t="n">
        <f aca="false">Model!CE147</f>
        <v>-8548805.62788873</v>
      </c>
      <c r="I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-621012.4928611</v>
      </c>
      <c r="E44" s="21" t="n">
        <f aca="false">Model!AJ159+Model!AK159+Model!AL159+Model!AM159+Model!AN159+Model!AO159+Model!AP159+Model!AQ159+Model!AR159+Model!AS159+Model!AT159+Model!AU159</f>
        <v>-575626.466038133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3564065.47562811</v>
      </c>
      <c r="D45" s="23" t="n">
        <f aca="false">Model!AI160</f>
        <v>5232820.36242188</v>
      </c>
      <c r="E45" s="23" t="n">
        <f aca="false">Model!AU160</f>
        <v>2919878.66395882</v>
      </c>
      <c r="F45" s="23" t="n">
        <f aca="false">Model!BG160</f>
        <v>-1837428.8208712</v>
      </c>
      <c r="G45" s="23" t="n">
        <f aca="false">Model!BS160</f>
        <v>-8589055.11437383</v>
      </c>
      <c r="H45" s="23" t="n">
        <f aca="false">Model!CE160</f>
        <v>-15589971.1788025</v>
      </c>
      <c r="I45" s="23" t="n">
        <f aca="false">Model!CH160</f>
        <v>-17325751.9985854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315434.206959159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259930.019459159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259930.019459159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259930.019459159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247035.282617054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247035.282617054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247035.282617054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247035.282617054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247035.282617054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323835.891169686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264443.703669686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264443.703669686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264443.703669686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247035.282617054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247035.282617054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247035.282617054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247035.282617054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247035.282617054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93384.2192056847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82345.0942056847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82345.0942056847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82345.0942056847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82345.0942056847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82345.0942056847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82345.0942056847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82345.0942056847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82345.0942056847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732654.31733453</v>
      </c>
      <c r="S12" s="12" t="n">
        <f aca="false">S8+S9+S10+S11</f>
        <v>606718.81733453</v>
      </c>
      <c r="T12" s="12" t="n">
        <f aca="false">T8+T9+T10+T11</f>
        <v>606718.81733453</v>
      </c>
      <c r="U12" s="12" t="n">
        <f aca="false">U8+U9+U10+U11</f>
        <v>606718.81733453</v>
      </c>
      <c r="V12" s="12" t="n">
        <f aca="false">V8+V9+V10+V11</f>
        <v>576415.659439793</v>
      </c>
      <c r="W12" s="12" t="n">
        <f aca="false">W8+W9+W10+W11</f>
        <v>576415.659439793</v>
      </c>
      <c r="X12" s="12" t="n">
        <f aca="false">X8+X9+X10+X11</f>
        <v>576415.659439793</v>
      </c>
      <c r="Y12" s="12" t="n">
        <f aca="false">Y8+Y9+Y10+Y11</f>
        <v>576415.659439793</v>
      </c>
      <c r="Z12" s="12" t="n">
        <f aca="false">Z8+Z9+Z10+Z11</f>
        <v>576415.659439793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-427185.0457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-427185.0457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305469.271634529</v>
      </c>
      <c r="S40" s="16" t="n">
        <f aca="false">S12+S38</f>
        <v>179533.771634529</v>
      </c>
      <c r="T40" s="16" t="n">
        <f aca="false">T12+T38</f>
        <v>179533.771634529</v>
      </c>
      <c r="U40" s="16" t="n">
        <f aca="false">U12+U38</f>
        <v>179533.771634529</v>
      </c>
      <c r="V40" s="16" t="n">
        <f aca="false">V12+V38</f>
        <v>149230.613739793</v>
      </c>
      <c r="W40" s="16" t="n">
        <f aca="false">W12+W38</f>
        <v>149230.613739793</v>
      </c>
      <c r="X40" s="16" t="n">
        <f aca="false">X12+X38</f>
        <v>149230.613739793</v>
      </c>
      <c r="Y40" s="16" t="n">
        <f aca="false">Y12+Y38</f>
        <v>149230.613739793</v>
      </c>
      <c r="Z40" s="16" t="n">
        <f aca="false">Z12+Z38</f>
        <v>149230.613739793</v>
      </c>
      <c r="AA40" s="16" t="n">
        <f aca="false">AA12+AA38</f>
        <v>140686.912825793</v>
      </c>
      <c r="AB40" s="16" t="n">
        <f aca="false">AB12+AB38</f>
        <v>59193.0611511515</v>
      </c>
      <c r="AC40" s="16" t="n">
        <f aca="false">AC12+AC38</f>
        <v>-507866.665515515</v>
      </c>
      <c r="AD40" s="16" t="n">
        <f aca="false">AD12+AD38</f>
        <v>215839.394484485</v>
      </c>
      <c r="AE40" s="16" t="n">
        <f aca="false">AE12+AE38</f>
        <v>215839.394484485</v>
      </c>
      <c r="AF40" s="16" t="n">
        <f aca="false">AF12+AF38</f>
        <v>215839.394484485</v>
      </c>
      <c r="AG40" s="16" t="n">
        <f aca="false">AG12+AG38</f>
        <v>215839.394484485</v>
      </c>
      <c r="AH40" s="16" t="n">
        <f aca="false">AH12+AH38</f>
        <v>115160.393537515</v>
      </c>
      <c r="AI40" s="16" t="n">
        <f aca="false">AI12+AI38</f>
        <v>115160.393537515</v>
      </c>
      <c r="AJ40" s="16" t="n">
        <f aca="false">AJ12+AJ38</f>
        <v>-47598.8791897575</v>
      </c>
      <c r="AK40" s="16" t="n">
        <f aca="false">AK12+AK38</f>
        <v>-47598.8791897575</v>
      </c>
      <c r="AL40" s="16" t="n">
        <f aca="false">AL12+AL38</f>
        <v>-47598.8791897575</v>
      </c>
      <c r="AM40" s="16" t="n">
        <f aca="false">AM12+AM38</f>
        <v>-116331.950334159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0.416935059832661</v>
      </c>
      <c r="S41" s="32" t="n">
        <f aca="false">IF(S12&lt;&gt;0,S40/S12,0)</f>
        <v>0.295909351259727</v>
      </c>
      <c r="T41" s="32" t="n">
        <f aca="false">IF(T12&lt;&gt;0,T40/T12,0)</f>
        <v>0.295909351259727</v>
      </c>
      <c r="U41" s="32" t="n">
        <f aca="false">IF(U12&lt;&gt;0,U40/U12,0)</f>
        <v>0.295909351259727</v>
      </c>
      <c r="V41" s="32" t="n">
        <f aca="false">IF(V12&lt;&gt;0,V40/V12,0)</f>
        <v>0.258894100630137</v>
      </c>
      <c r="W41" s="32" t="n">
        <f aca="false">IF(W12&lt;&gt;0,W40/W12,0)</f>
        <v>0.258894100630137</v>
      </c>
      <c r="X41" s="32" t="n">
        <f aca="false">IF(X12&lt;&gt;0,X40/X12,0)</f>
        <v>0.258894100630137</v>
      </c>
      <c r="Y41" s="32" t="n">
        <f aca="false">IF(Y12&lt;&gt;0,Y40/Y12,0)</f>
        <v>0.258894100630137</v>
      </c>
      <c r="Z41" s="32" t="n">
        <f aca="false">IF(Z12&lt;&gt;0,Z40/Z12,0)</f>
        <v>0.258894100630137</v>
      </c>
      <c r="AA41" s="32" t="n">
        <f aca="false">IF(AA12&lt;&gt;0,AA40/AA12,0)</f>
        <v>0.24407198264274</v>
      </c>
      <c r="AB41" s="32" t="n">
        <f aca="false">IF(AB12&lt;&gt;0,AB40/AB12,0)</f>
        <v>0.119600834358949</v>
      </c>
      <c r="AC41" s="32" t="n">
        <f aca="false">IF(AC12&lt;&gt;0,AC40/AC12,0)</f>
        <v>-0.399301524042579</v>
      </c>
      <c r="AD41" s="32" t="n">
        <f aca="false">IF(AD12&lt;&gt;0,AD40/AD12,0)</f>
        <v>0.331261430493823</v>
      </c>
      <c r="AE41" s="32" t="n">
        <f aca="false">IF(AE12&lt;&gt;0,AE40/AE12,0)</f>
        <v>0.331261430493823</v>
      </c>
      <c r="AF41" s="32" t="n">
        <f aca="false">IF(AF12&lt;&gt;0,AF40/AF12,0)</f>
        <v>0.331261430493823</v>
      </c>
      <c r="AG41" s="32" t="n">
        <f aca="false">IF(AG12&lt;&gt;0,AG40/AG12,0)</f>
        <v>0.331261430493823</v>
      </c>
      <c r="AH41" s="32" t="n">
        <f aca="false">IF(AH12&lt;&gt;0,AH40/AH12,0)</f>
        <v>0.209044588364624</v>
      </c>
      <c r="AI41" s="32" t="n">
        <f aca="false">IF(AI12&lt;&gt;0,AI40/AI12,0)</f>
        <v>0.209044588364624</v>
      </c>
      <c r="AJ41" s="32" t="n">
        <f aca="false">IF(AJ12&lt;&gt;0,AJ40/AJ12,0)</f>
        <v>-0.122636476047668</v>
      </c>
      <c r="AK41" s="32" t="n">
        <f aca="false">IF(AK12&lt;&gt;0,AK40/AK12,0)</f>
        <v>-0.122636476047668</v>
      </c>
      <c r="AL41" s="32" t="n">
        <f aca="false">IF(AL12&lt;&gt;0,AL40/AL12,0)</f>
        <v>-0.122636476047668</v>
      </c>
      <c r="AM41" s="32" t="n">
        <f aca="false">IF(AM12&lt;&gt;0,AM40/AM12,0)</f>
        <v>-0.354550194052712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732654.31733453</v>
      </c>
      <c r="S89" s="10" t="n">
        <f aca="false">S12</f>
        <v>606718.81733453</v>
      </c>
      <c r="T89" s="10" t="n">
        <f aca="false">T12</f>
        <v>606718.81733453</v>
      </c>
      <c r="U89" s="10" t="n">
        <f aca="false">U12</f>
        <v>606718.81733453</v>
      </c>
      <c r="V89" s="10" t="n">
        <f aca="false">V12</f>
        <v>576415.659439793</v>
      </c>
      <c r="W89" s="10" t="n">
        <f aca="false">W12</f>
        <v>576415.659439793</v>
      </c>
      <c r="X89" s="10" t="n">
        <f aca="false">X12</f>
        <v>576415.659439793</v>
      </c>
      <c r="Y89" s="10" t="n">
        <f aca="false">Y12</f>
        <v>576415.659439793</v>
      </c>
      <c r="Z89" s="10" t="n">
        <f aca="false">Z12</f>
        <v>576415.659439793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758358.010134529</v>
      </c>
      <c r="S91" s="12" t="n">
        <f aca="false">S89+S90</f>
        <v>648994.772534529</v>
      </c>
      <c r="T91" s="12" t="n">
        <f aca="false">T89+T90</f>
        <v>665567.03493453</v>
      </c>
      <c r="U91" s="12" t="n">
        <f aca="false">U89+U90</f>
        <v>682139.29093453</v>
      </c>
      <c r="V91" s="12" t="n">
        <f aca="false">V89+V90</f>
        <v>668408.401839793</v>
      </c>
      <c r="W91" s="12" t="n">
        <f aca="false">W89+W90</f>
        <v>742355.657839793</v>
      </c>
      <c r="X91" s="12" t="n">
        <f aca="false">X89+X90</f>
        <v>701552.913839793</v>
      </c>
      <c r="Y91" s="12" t="n">
        <f aca="false">Y89+Y90</f>
        <v>718125.176239793</v>
      </c>
      <c r="Z91" s="12" t="n">
        <f aca="false">Z89+Z90</f>
        <v>792072.445039793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-427185.0457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-427185.0457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-572600.9207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-549140.9207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185757.089434529</v>
      </c>
      <c r="S95" s="16" t="n">
        <f aca="false">S91+S94</f>
        <v>99853.8518345294</v>
      </c>
      <c r="T95" s="16" t="n">
        <f aca="false">T91+T94</f>
        <v>116426.114234529</v>
      </c>
      <c r="U95" s="16" t="n">
        <f aca="false">U91+U94</f>
        <v>132998.37023453</v>
      </c>
      <c r="V95" s="16" t="n">
        <f aca="false">V91+V94</f>
        <v>119267.481139793</v>
      </c>
      <c r="W95" s="16" t="n">
        <f aca="false">W91+W94</f>
        <v>171794.737139793</v>
      </c>
      <c r="X95" s="16" t="n">
        <f aca="false">X91+X94</f>
        <v>152411.993139793</v>
      </c>
      <c r="Y95" s="16" t="n">
        <f aca="false">Y91+Y94</f>
        <v>168984.255539793</v>
      </c>
      <c r="Z95" s="16" t="n">
        <f aca="false">Z91+Z94</f>
        <v>242931.524339793</v>
      </c>
      <c r="AA95" s="16" t="n">
        <f aca="false">AA91+AA94</f>
        <v>191145.961925793</v>
      </c>
      <c r="AB95" s="16" t="n">
        <f aca="false">AB91+AB94</f>
        <v>126224.379051151</v>
      </c>
      <c r="AC95" s="16" t="n">
        <f aca="false">AC91+AC94</f>
        <v>-338055.867615515</v>
      </c>
      <c r="AD95" s="16" t="n">
        <f aca="false">AD91+AD94</f>
        <v>247182.088384485</v>
      </c>
      <c r="AE95" s="16" t="n">
        <f aca="false">AE91+AE94</f>
        <v>271611.845184485</v>
      </c>
      <c r="AF95" s="16" t="n">
        <f aca="false">AF91+AF94</f>
        <v>272112.389184485</v>
      </c>
      <c r="AG95" s="16" t="n">
        <f aca="false">AG91+AG94</f>
        <v>263112.939584485</v>
      </c>
      <c r="AH95" s="16" t="n">
        <f aca="false">AH91+AH94</f>
        <v>162934.482637515</v>
      </c>
      <c r="AI95" s="16" t="n">
        <f aca="false">AI91+AI94</f>
        <v>158158.895437515</v>
      </c>
      <c r="AJ95" s="16" t="n">
        <f aca="false">AJ91+AJ94</f>
        <v>1176.31711024244</v>
      </c>
      <c r="AK95" s="16" t="n">
        <f aca="false">AK91+AK94</f>
        <v>-14895.3948897575</v>
      </c>
      <c r="AL95" s="16" t="n">
        <f aca="false">AL91+AL94</f>
        <v>-30967.1068897576</v>
      </c>
      <c r="AM95" s="16" t="n">
        <f aca="false">AM91+AM94</f>
        <v>-118259.796284159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5928741.42913038</v>
      </c>
      <c r="T145" s="10" t="n">
        <f aca="false">S147</f>
        <v>6108275.20076491</v>
      </c>
      <c r="U145" s="10" t="n">
        <f aca="false">T147</f>
        <v>6287808.97239944</v>
      </c>
      <c r="V145" s="10" t="n">
        <f aca="false">U147</f>
        <v>6467342.74403397</v>
      </c>
      <c r="W145" s="10" t="n">
        <f aca="false">V147</f>
        <v>6616573.35777376</v>
      </c>
      <c r="X145" s="10" t="n">
        <f aca="false">W147</f>
        <v>6765803.97151355</v>
      </c>
      <c r="Y145" s="10" t="n">
        <f aca="false">X147</f>
        <v>6915034.58525335</v>
      </c>
      <c r="Z145" s="10" t="n">
        <f aca="false">Y147</f>
        <v>7064265.19899314</v>
      </c>
      <c r="AA145" s="10" t="n">
        <f aca="false">Z147</f>
        <v>7213495.81273293</v>
      </c>
      <c r="AB145" s="10" t="n">
        <f aca="false">AA147</f>
        <v>7354182.72555872</v>
      </c>
      <c r="AC145" s="10" t="n">
        <f aca="false">AB147</f>
        <v>7413375.78670988</v>
      </c>
      <c r="AD145" s="10" t="n">
        <f aca="false">AC147</f>
        <v>6905509.12119436</v>
      </c>
      <c r="AE145" s="10" t="n">
        <f aca="false">AD147</f>
        <v>7121348.51567885</v>
      </c>
      <c r="AF145" s="10" t="n">
        <f aca="false">AE147</f>
        <v>7337187.91016333</v>
      </c>
      <c r="AG145" s="10" t="n">
        <f aca="false">AF147</f>
        <v>7553027.30464781</v>
      </c>
      <c r="AH145" s="10" t="n">
        <f aca="false">AG147</f>
        <v>7768866.6991323</v>
      </c>
      <c r="AI145" s="10" t="n">
        <f aca="false">AH147</f>
        <v>7884027.09266981</v>
      </c>
      <c r="AJ145" s="10" t="n">
        <f aca="false">AI147</f>
        <v>7999187.48620733</v>
      </c>
      <c r="AK145" s="10" t="n">
        <f aca="false">AJ147</f>
        <v>7951588.60701757</v>
      </c>
      <c r="AL145" s="10" t="n">
        <f aca="false">AK147</f>
        <v>7903989.72782781</v>
      </c>
      <c r="AM145" s="10" t="n">
        <f aca="false">AL147</f>
        <v>7856390.84863806</v>
      </c>
      <c r="AN145" s="10" t="n">
        <f aca="false">AM147</f>
        <v>7740058.8983039</v>
      </c>
      <c r="AO145" s="10" t="n">
        <f aca="false">AN147</f>
        <v>7623726.94796974</v>
      </c>
      <c r="AP145" s="10" t="n">
        <f aca="false">AO147</f>
        <v>7507394.99763558</v>
      </c>
      <c r="AQ145" s="10" t="n">
        <f aca="false">AP147</f>
        <v>7391063.04730142</v>
      </c>
      <c r="AR145" s="10" t="n">
        <f aca="false">AQ147</f>
        <v>7274731.09696726</v>
      </c>
      <c r="AS145" s="10" t="n">
        <f aca="false">AR147</f>
        <v>7158399.1466331</v>
      </c>
      <c r="AT145" s="10" t="n">
        <f aca="false">AS147</f>
        <v>6870602.15842016</v>
      </c>
      <c r="AU145" s="10" t="n">
        <f aca="false">AT147</f>
        <v>6582805.17020721</v>
      </c>
      <c r="AV145" s="10" t="n">
        <f aca="false">AU147</f>
        <v>6295008.18199426</v>
      </c>
      <c r="AW145" s="10" t="n">
        <f aca="false">AV147</f>
        <v>6007211.19378132</v>
      </c>
      <c r="AX145" s="10" t="n">
        <f aca="false">AW147</f>
        <v>5719414.20556837</v>
      </c>
      <c r="AY145" s="10" t="n">
        <f aca="false">AX147</f>
        <v>5431617.21735542</v>
      </c>
      <c r="AZ145" s="10" t="n">
        <f aca="false">AY147</f>
        <v>5134931.36271155</v>
      </c>
      <c r="BA145" s="10" t="n">
        <f aca="false">AZ147</f>
        <v>4838245.50806768</v>
      </c>
      <c r="BB145" s="10" t="n">
        <f aca="false">BA147</f>
        <v>4541559.65342381</v>
      </c>
      <c r="BC145" s="10" t="n">
        <f aca="false">BB147</f>
        <v>4244873.79877994</v>
      </c>
      <c r="BD145" s="10" t="n">
        <f aca="false">BC147</f>
        <v>3948187.94413606</v>
      </c>
      <c r="BE145" s="10" t="n">
        <f aca="false">BD147</f>
        <v>3651502.08949219</v>
      </c>
      <c r="BF145" s="10" t="n">
        <f aca="false">BE147</f>
        <v>3354816.23484832</v>
      </c>
      <c r="BG145" s="10" t="n">
        <f aca="false">BF147</f>
        <v>3058130.38020445</v>
      </c>
      <c r="BH145" s="10" t="n">
        <f aca="false">BG147</f>
        <v>2604798.19222724</v>
      </c>
      <c r="BI145" s="10" t="n">
        <f aca="false">BH147</f>
        <v>2151466.00425004</v>
      </c>
      <c r="BJ145" s="10" t="n">
        <f aca="false">BI147</f>
        <v>1698133.81627283</v>
      </c>
      <c r="BK145" s="10" t="n">
        <f aca="false">BJ147</f>
        <v>1244801.62829562</v>
      </c>
      <c r="BL145" s="10" t="n">
        <f aca="false">BK147</f>
        <v>782402.796558875</v>
      </c>
      <c r="BM145" s="10" t="n">
        <f aca="false">BL147</f>
        <v>320003.964822125</v>
      </c>
      <c r="BN145" s="10" t="n">
        <f aca="false">BM147</f>
        <v>-142394.866914625</v>
      </c>
      <c r="BO145" s="10" t="n">
        <f aca="false">BN147</f>
        <v>-604793.698651374</v>
      </c>
      <c r="BP145" s="10" t="n">
        <f aca="false">BO147</f>
        <v>-1067192.53038812</v>
      </c>
      <c r="BQ145" s="10" t="n">
        <f aca="false">BP147</f>
        <v>-1529591.36212487</v>
      </c>
      <c r="BR145" s="10" t="n">
        <f aca="false">BQ147</f>
        <v>-1991990.19386162</v>
      </c>
      <c r="BS145" s="10" t="n">
        <f aca="false">BR147</f>
        <v>-2454389.02559837</v>
      </c>
      <c r="BT145" s="10" t="n">
        <f aca="false">BS147</f>
        <v>-2916787.85733512</v>
      </c>
      <c r="BU145" s="10" t="n">
        <f aca="false">BT147</f>
        <v>-3379186.68907187</v>
      </c>
      <c r="BV145" s="10" t="n">
        <f aca="false">BU147</f>
        <v>-3841585.52080862</v>
      </c>
      <c r="BW145" s="10" t="n">
        <f aca="false">BV147</f>
        <v>-4303984.35254537</v>
      </c>
      <c r="BX145" s="10" t="n">
        <f aca="false">BW147</f>
        <v>-4775631.16091686</v>
      </c>
      <c r="BY145" s="10" t="n">
        <f aca="false">BX147</f>
        <v>-5247277.96928834</v>
      </c>
      <c r="BZ145" s="10" t="n">
        <f aca="false">BY147</f>
        <v>-5718924.77765983</v>
      </c>
      <c r="CA145" s="10" t="n">
        <f aca="false">BZ147</f>
        <v>-6190571.58603131</v>
      </c>
      <c r="CB145" s="10" t="n">
        <f aca="false">CA147</f>
        <v>-6662218.3944028</v>
      </c>
      <c r="CC145" s="10" t="n">
        <f aca="false">CB147</f>
        <v>-7133865.20277428</v>
      </c>
      <c r="CD145" s="10" t="n">
        <f aca="false">CC147</f>
        <v>-7605512.01114576</v>
      </c>
      <c r="CE145" s="10" t="n">
        <f aca="false">CD147</f>
        <v>-8077158.81951725</v>
      </c>
      <c r="CF145" s="10" t="n">
        <f aca="false">CE147</f>
        <v>-8548805.62788873</v>
      </c>
      <c r="CG145" s="10" t="n">
        <f aca="false">CF147</f>
        <v>-9020452.43626022</v>
      </c>
      <c r="CH145" s="10" t="n">
        <f aca="false">CG147</f>
        <v>-9492099.2446317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305469.271634529</v>
      </c>
      <c r="S146" s="10" t="n">
        <f aca="false">S40</f>
        <v>179533.771634529</v>
      </c>
      <c r="T146" s="10" t="n">
        <f aca="false">T40</f>
        <v>179533.771634529</v>
      </c>
      <c r="U146" s="10" t="n">
        <f aca="false">U40</f>
        <v>179533.771634529</v>
      </c>
      <c r="V146" s="10" t="n">
        <f aca="false">V40</f>
        <v>149230.613739793</v>
      </c>
      <c r="W146" s="10" t="n">
        <f aca="false">W40</f>
        <v>149230.613739793</v>
      </c>
      <c r="X146" s="10" t="n">
        <f aca="false">X40</f>
        <v>149230.613739793</v>
      </c>
      <c r="Y146" s="10" t="n">
        <f aca="false">Y40</f>
        <v>149230.613739793</v>
      </c>
      <c r="Z146" s="10" t="n">
        <f aca="false">Z40</f>
        <v>149230.613739793</v>
      </c>
      <c r="AA146" s="10" t="n">
        <f aca="false">AA40</f>
        <v>140686.912825793</v>
      </c>
      <c r="AB146" s="10" t="n">
        <f aca="false">AB40</f>
        <v>59193.0611511515</v>
      </c>
      <c r="AC146" s="10" t="n">
        <f aca="false">AC40</f>
        <v>-507866.665515515</v>
      </c>
      <c r="AD146" s="10" t="n">
        <f aca="false">AD40</f>
        <v>215839.394484485</v>
      </c>
      <c r="AE146" s="10" t="n">
        <f aca="false">AE40</f>
        <v>215839.394484485</v>
      </c>
      <c r="AF146" s="10" t="n">
        <f aca="false">AF40</f>
        <v>215839.394484485</v>
      </c>
      <c r="AG146" s="10" t="n">
        <f aca="false">AG40</f>
        <v>215839.394484485</v>
      </c>
      <c r="AH146" s="10" t="n">
        <f aca="false">AH40</f>
        <v>115160.393537515</v>
      </c>
      <c r="AI146" s="10" t="n">
        <f aca="false">AI40</f>
        <v>115160.393537515</v>
      </c>
      <c r="AJ146" s="10" t="n">
        <f aca="false">AJ40</f>
        <v>-47598.8791897575</v>
      </c>
      <c r="AK146" s="10" t="n">
        <f aca="false">AK40</f>
        <v>-47598.8791897575</v>
      </c>
      <c r="AL146" s="10" t="n">
        <f aca="false">AL40</f>
        <v>-47598.8791897575</v>
      </c>
      <c r="AM146" s="10" t="n">
        <f aca="false">AM40</f>
        <v>-116331.950334159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2219781.12122743</v>
      </c>
      <c r="G147" s="61" t="n">
        <f aca="false">G145+G146</f>
        <v>2371256.56987974</v>
      </c>
      <c r="H147" s="61" t="n">
        <f aca="false">H145+H146</f>
        <v>2522732.01853206</v>
      </c>
      <c r="I147" s="61" t="n">
        <f aca="false">I145+I146</f>
        <v>3039696.79307113</v>
      </c>
      <c r="J147" s="61" t="n">
        <f aca="false">J145+J146</f>
        <v>3594965.46855718</v>
      </c>
      <c r="K147" s="61" t="n">
        <f aca="false">K145+K146</f>
        <v>3927995.26604322</v>
      </c>
      <c r="L147" s="61" t="n">
        <f aca="false">L145+L146</f>
        <v>4261025.06352927</v>
      </c>
      <c r="M147" s="61" t="n">
        <f aca="false">M145+M146</f>
        <v>4594054.86101531</v>
      </c>
      <c r="N147" s="61" t="n">
        <f aca="false">N145+N146</f>
        <v>4927084.65850136</v>
      </c>
      <c r="O147" s="61" t="n">
        <f aca="false">O145+O146</f>
        <v>4631034.84149952</v>
      </c>
      <c r="P147" s="61" t="n">
        <f aca="false">P145+P146</f>
        <v>5127153.49949769</v>
      </c>
      <c r="Q147" s="61" t="n">
        <f aca="false">Q145+Q146</f>
        <v>5623272.15749585</v>
      </c>
      <c r="R147" s="61" t="n">
        <f aca="false">R145+R146</f>
        <v>5928741.42913038</v>
      </c>
      <c r="S147" s="61" t="n">
        <f aca="false">S145+S146</f>
        <v>6108275.20076491</v>
      </c>
      <c r="T147" s="61" t="n">
        <f aca="false">T145+T146</f>
        <v>6287808.97239944</v>
      </c>
      <c r="U147" s="61" t="n">
        <f aca="false">U145+U146</f>
        <v>6467342.74403397</v>
      </c>
      <c r="V147" s="61" t="n">
        <f aca="false">V145+V146</f>
        <v>6616573.35777376</v>
      </c>
      <c r="W147" s="61" t="n">
        <f aca="false">W145+W146</f>
        <v>6765803.97151355</v>
      </c>
      <c r="X147" s="61" t="n">
        <f aca="false">X145+X146</f>
        <v>6915034.58525335</v>
      </c>
      <c r="Y147" s="61" t="n">
        <f aca="false">Y145+Y146</f>
        <v>7064265.19899314</v>
      </c>
      <c r="Z147" s="61" t="n">
        <f aca="false">Z145+Z146</f>
        <v>7213495.81273293</v>
      </c>
      <c r="AA147" s="61" t="n">
        <f aca="false">AA145+AA146</f>
        <v>7354182.72555872</v>
      </c>
      <c r="AB147" s="61" t="n">
        <f aca="false">AB145+AB146</f>
        <v>7413375.78670988</v>
      </c>
      <c r="AC147" s="61" t="n">
        <f aca="false">AC145+AC146</f>
        <v>6905509.12119436</v>
      </c>
      <c r="AD147" s="61" t="n">
        <f aca="false">AD145+AD146</f>
        <v>7121348.51567885</v>
      </c>
      <c r="AE147" s="61" t="n">
        <f aca="false">AE145+AE146</f>
        <v>7337187.91016333</v>
      </c>
      <c r="AF147" s="61" t="n">
        <f aca="false">AF145+AF146</f>
        <v>7553027.30464781</v>
      </c>
      <c r="AG147" s="61" t="n">
        <f aca="false">AG145+AG146</f>
        <v>7768866.6991323</v>
      </c>
      <c r="AH147" s="61" t="n">
        <f aca="false">AH145+AH146</f>
        <v>7884027.09266981</v>
      </c>
      <c r="AI147" s="61" t="n">
        <f aca="false">AI145+AI146</f>
        <v>7999187.48620733</v>
      </c>
      <c r="AJ147" s="61" t="n">
        <f aca="false">AJ145+AJ146</f>
        <v>7951588.60701757</v>
      </c>
      <c r="AK147" s="61" t="n">
        <f aca="false">AK145+AK146</f>
        <v>7903989.72782781</v>
      </c>
      <c r="AL147" s="61" t="n">
        <f aca="false">AL145+AL146</f>
        <v>7856390.84863806</v>
      </c>
      <c r="AM147" s="61" t="n">
        <f aca="false">AM145+AM146</f>
        <v>7740058.8983039</v>
      </c>
      <c r="AN147" s="61" t="n">
        <f aca="false">AN145+AN146</f>
        <v>7623726.94796974</v>
      </c>
      <c r="AO147" s="61" t="n">
        <f aca="false">AO145+AO146</f>
        <v>7507394.99763558</v>
      </c>
      <c r="AP147" s="61" t="n">
        <f aca="false">AP145+AP146</f>
        <v>7391063.04730142</v>
      </c>
      <c r="AQ147" s="61" t="n">
        <f aca="false">AQ145+AQ146</f>
        <v>7274731.09696726</v>
      </c>
      <c r="AR147" s="61" t="n">
        <f aca="false">AR145+AR146</f>
        <v>7158399.1466331</v>
      </c>
      <c r="AS147" s="61" t="n">
        <f aca="false">AS145+AS146</f>
        <v>6870602.15842016</v>
      </c>
      <c r="AT147" s="61" t="n">
        <f aca="false">AT145+AT146</f>
        <v>6582805.17020721</v>
      </c>
      <c r="AU147" s="61" t="n">
        <f aca="false">AU145+AU146</f>
        <v>6295008.18199426</v>
      </c>
      <c r="AV147" s="61" t="n">
        <f aca="false">AV145+AV146</f>
        <v>6007211.19378132</v>
      </c>
      <c r="AW147" s="61" t="n">
        <f aca="false">AW145+AW146</f>
        <v>5719414.20556837</v>
      </c>
      <c r="AX147" s="61" t="n">
        <f aca="false">AX145+AX146</f>
        <v>5431617.21735542</v>
      </c>
      <c r="AY147" s="61" t="n">
        <f aca="false">AY145+AY146</f>
        <v>5134931.36271155</v>
      </c>
      <c r="AZ147" s="61" t="n">
        <f aca="false">AZ145+AZ146</f>
        <v>4838245.50806768</v>
      </c>
      <c r="BA147" s="61" t="n">
        <f aca="false">BA145+BA146</f>
        <v>4541559.65342381</v>
      </c>
      <c r="BB147" s="61" t="n">
        <f aca="false">BB145+BB146</f>
        <v>4244873.79877994</v>
      </c>
      <c r="BC147" s="61" t="n">
        <f aca="false">BC145+BC146</f>
        <v>3948187.94413606</v>
      </c>
      <c r="BD147" s="61" t="n">
        <f aca="false">BD145+BD146</f>
        <v>3651502.08949219</v>
      </c>
      <c r="BE147" s="61" t="n">
        <f aca="false">BE145+BE146</f>
        <v>3354816.23484832</v>
      </c>
      <c r="BF147" s="61" t="n">
        <f aca="false">BF145+BF146</f>
        <v>3058130.38020445</v>
      </c>
      <c r="BG147" s="61" t="n">
        <f aca="false">BG145+BG146</f>
        <v>2604798.19222724</v>
      </c>
      <c r="BH147" s="61" t="n">
        <f aca="false">BH145+BH146</f>
        <v>2151466.00425004</v>
      </c>
      <c r="BI147" s="61" t="n">
        <f aca="false">BI145+BI146</f>
        <v>1698133.81627283</v>
      </c>
      <c r="BJ147" s="61" t="n">
        <f aca="false">BJ145+BJ146</f>
        <v>1244801.62829562</v>
      </c>
      <c r="BK147" s="61" t="n">
        <f aca="false">BK145+BK146</f>
        <v>782402.796558875</v>
      </c>
      <c r="BL147" s="61" t="n">
        <f aca="false">BL145+BL146</f>
        <v>320003.964822125</v>
      </c>
      <c r="BM147" s="61" t="n">
        <f aca="false">BM145+BM146</f>
        <v>-142394.866914625</v>
      </c>
      <c r="BN147" s="61" t="n">
        <f aca="false">BN145+BN146</f>
        <v>-604793.698651374</v>
      </c>
      <c r="BO147" s="61" t="n">
        <f aca="false">BO145+BO146</f>
        <v>-1067192.53038812</v>
      </c>
      <c r="BP147" s="61" t="n">
        <f aca="false">BP145+BP146</f>
        <v>-1529591.36212487</v>
      </c>
      <c r="BQ147" s="61" t="n">
        <f aca="false">BQ145+BQ146</f>
        <v>-1991990.19386162</v>
      </c>
      <c r="BR147" s="61" t="n">
        <f aca="false">BR145+BR146</f>
        <v>-2454389.02559837</v>
      </c>
      <c r="BS147" s="61" t="n">
        <f aca="false">BS145+BS146</f>
        <v>-2916787.85733512</v>
      </c>
      <c r="BT147" s="61" t="n">
        <f aca="false">BT145+BT146</f>
        <v>-3379186.68907187</v>
      </c>
      <c r="BU147" s="61" t="n">
        <f aca="false">BU145+BU146</f>
        <v>-3841585.52080862</v>
      </c>
      <c r="BV147" s="61" t="n">
        <f aca="false">BV145+BV146</f>
        <v>-4303984.35254537</v>
      </c>
      <c r="BW147" s="61" t="n">
        <f aca="false">BW145+BW146</f>
        <v>-4775631.16091686</v>
      </c>
      <c r="BX147" s="61" t="n">
        <f aca="false">BX145+BX146</f>
        <v>-5247277.96928834</v>
      </c>
      <c r="BY147" s="61" t="n">
        <f aca="false">BY145+BY146</f>
        <v>-5718924.77765983</v>
      </c>
      <c r="BZ147" s="61" t="n">
        <f aca="false">BZ145+BZ146</f>
        <v>-6190571.58603131</v>
      </c>
      <c r="CA147" s="61" t="n">
        <f aca="false">CA145+CA146</f>
        <v>-6662218.3944028</v>
      </c>
      <c r="CB147" s="61" t="n">
        <f aca="false">CB145+CB146</f>
        <v>-7133865.20277428</v>
      </c>
      <c r="CC147" s="61" t="n">
        <f aca="false">CC145+CC146</f>
        <v>-7605512.01114576</v>
      </c>
      <c r="CD147" s="61" t="n">
        <f aca="false">CD145+CD146</f>
        <v>-8077158.81951725</v>
      </c>
      <c r="CE147" s="61" t="n">
        <f aca="false">CE145+CE146</f>
        <v>-8548805.62788873</v>
      </c>
      <c r="CF147" s="61" t="n">
        <f aca="false">CF145+CF146</f>
        <v>-9020452.43626022</v>
      </c>
      <c r="CG147" s="61" t="n">
        <f aca="false">CG145+CG146</f>
        <v>-9492099.2446317</v>
      </c>
      <c r="CH147" s="61" t="n">
        <f aca="false">CH145+CH146</f>
        <v>-9963746.05300318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48881.1433333334</v>
      </c>
      <c r="H155" s="61" t="n">
        <f aca="false">H150+H151+H152+H153+H154</f>
        <v>-27902.19</v>
      </c>
      <c r="I155" s="61" t="n">
        <f aca="false">I150+I151+I152+I153+I154</f>
        <v>-234685.523333333</v>
      </c>
      <c r="J155" s="61" t="n">
        <f aca="false">J150+J151+J152+J153+J154</f>
        <v>-450843.856666667</v>
      </c>
      <c r="K155" s="61" t="n">
        <f aca="false">K150+K151+K152+K153+K154</f>
        <v>-688002.19</v>
      </c>
      <c r="L155" s="61" t="n">
        <f aca="false">L150+L151+L152+L153+L154</f>
        <v>-892028.692933333</v>
      </c>
      <c r="M155" s="61" t="n">
        <f aca="false">M150+M151+M152+M153+M154</f>
        <v>-1346055.19586667</v>
      </c>
      <c r="N155" s="61" t="n">
        <f aca="false">N150+N151+N152+N153+N154</f>
        <v>-1550081.6988</v>
      </c>
      <c r="O155" s="61" t="n">
        <f aca="false">O150+O151+O152+O153+O154</f>
        <v>-1756499.4934</v>
      </c>
      <c r="P155" s="61" t="n">
        <f aca="false">P150+P151+P152+P153+P154</f>
        <v>-1962917.288</v>
      </c>
      <c r="Q155" s="61" t="n">
        <f aca="false">Q150+Q151+Q152+Q153+Q154</f>
        <v>-2169335.0826</v>
      </c>
      <c r="R155" s="61" t="n">
        <f aca="false">R150+R151+R152+R153+R154</f>
        <v>-2419047.2648</v>
      </c>
      <c r="S155" s="61" t="n">
        <f aca="false">S150+S151+S152+S153+S154</f>
        <v>-2628727.1846</v>
      </c>
      <c r="T155" s="61" t="n">
        <f aca="false">T150+T151+T152+T153+T154</f>
        <v>-2821834.842</v>
      </c>
      <c r="U155" s="61" t="n">
        <f aca="false">U150+U151+U152+U153+U154</f>
        <v>-2998370.2434</v>
      </c>
      <c r="V155" s="61" t="n">
        <f aca="false">V150+V151+V152+V153+V154</f>
        <v>-3158333.376</v>
      </c>
      <c r="W155" s="61" t="n">
        <f aca="false">W150+W151+W152+W153+W154</f>
        <v>-3201738.49588545</v>
      </c>
      <c r="X155" s="61" t="n">
        <f aca="false">X150+X151+X152+X153+X154</f>
        <v>-3198557.11648545</v>
      </c>
      <c r="Y155" s="61" t="n">
        <f aca="false">Y150+Y151+Y152+Y153+Y154</f>
        <v>-3428803.47468545</v>
      </c>
      <c r="Z155" s="61" t="n">
        <f aca="false">Z150+Z151+Z152+Z153+Z154</f>
        <v>-3335102.56408545</v>
      </c>
      <c r="AA155" s="61" t="n">
        <f aca="false">AA150+AA151+AA152+AA153+AA154</f>
        <v>-3284643.51498545</v>
      </c>
      <c r="AB155" s="61" t="n">
        <f aca="false">AB150+AB151+AB152+AB153+AB154</f>
        <v>-3217612.19708545</v>
      </c>
      <c r="AC155" s="61" t="n">
        <f aca="false">AC150+AC151+AC152+AC153+AC154</f>
        <v>-3047801.39918544</v>
      </c>
      <c r="AD155" s="61" t="n">
        <f aca="false">AD150+AD151+AD152+AD153+AD154</f>
        <v>-3016458.70528545</v>
      </c>
      <c r="AE155" s="61" t="n">
        <f aca="false">AE150+AE151+AE152+AE153+AE154</f>
        <v>-2960686.25458545</v>
      </c>
      <c r="AF155" s="61" t="n">
        <f aca="false">AF150+AF151+AF152+AF153+AF154</f>
        <v>-2904413.25988545</v>
      </c>
      <c r="AG155" s="61" t="n">
        <f aca="false">AG150+AG151+AG152+AG153+AG154</f>
        <v>-2857139.71478544</v>
      </c>
      <c r="AH155" s="61" t="n">
        <f aca="false">AH150+AH151+AH152+AH153+AH154</f>
        <v>-2809365.62568544</v>
      </c>
      <c r="AI155" s="61" t="n">
        <f aca="false">AI150+AI151+AI152+AI153+AI154</f>
        <v>-2766367.12378544</v>
      </c>
      <c r="AJ155" s="61" t="n">
        <f aca="false">AJ150+AJ151+AJ152+AJ153+AJ154</f>
        <v>-2717591.92748544</v>
      </c>
      <c r="AK155" s="61" t="n">
        <f aca="false">AK150+AK151+AK152+AK153+AK154</f>
        <v>-2934888.44318544</v>
      </c>
      <c r="AL155" s="61" t="n">
        <f aca="false">AL150+AL151+AL152+AL153+AL154</f>
        <v>-2918256.67088544</v>
      </c>
      <c r="AM155" s="61" t="n">
        <f aca="false">AM150+AM151+AM152+AM153+AM154</f>
        <v>-2920184.51683544</v>
      </c>
      <c r="AN155" s="61" t="n">
        <f aca="false">AN150+AN151+AN152+AN153+AN154</f>
        <v>-2938184.06838544</v>
      </c>
      <c r="AO155" s="61" t="n">
        <f aca="false">AO150+AO151+AO152+AO153+AO154</f>
        <v>-2972255.33193544</v>
      </c>
      <c r="AP155" s="61" t="n">
        <f aca="false">AP150+AP151+AP152+AP153+AP154</f>
        <v>-3046806.09788544</v>
      </c>
      <c r="AQ155" s="61" t="n">
        <f aca="false">AQ150+AQ151+AQ152+AQ153+AQ154</f>
        <v>-3113020.78543544</v>
      </c>
      <c r="AR155" s="61" t="n">
        <f aca="false">AR150+AR151+AR152+AR153+AR154</f>
        <v>-3195307.18498544</v>
      </c>
      <c r="AS155" s="61" t="n">
        <f aca="false">AS150+AS151+AS152+AS153+AS154</f>
        <v>-3225890.01333544</v>
      </c>
      <c r="AT155" s="61" t="n">
        <f aca="false">AT150+AT151+AT152+AT153+AT154</f>
        <v>-3273045.09768544</v>
      </c>
      <c r="AU155" s="61" t="n">
        <f aca="false">AU150+AU151+AU152+AU153+AU154</f>
        <v>-3375129.51803544</v>
      </c>
      <c r="AV155" s="61" t="n">
        <f aca="false">AV150+AV151+AV152+AV153+AV154</f>
        <v>-3455429.12078544</v>
      </c>
      <c r="AW155" s="61" t="n">
        <f aca="false">AW150+AW151+AW152+AW153+AW154</f>
        <v>-3536229.28033544</v>
      </c>
      <c r="AX155" s="61" t="n">
        <f aca="false">AX150+AX151+AX152+AX153+AX154</f>
        <v>-3617529.98388544</v>
      </c>
      <c r="AY155" s="61" t="n">
        <f aca="false">AY150+AY151+AY152+AY153+AY154</f>
        <v>-3701868.89568245</v>
      </c>
      <c r="AZ155" s="61" t="n">
        <f aca="false">AZ150+AZ151+AZ152+AZ153+AZ154</f>
        <v>-3786708.35787945</v>
      </c>
      <c r="BA155" s="61" t="n">
        <f aca="false">BA150+BA151+BA152+BA153+BA154</f>
        <v>-3872048.37047644</v>
      </c>
      <c r="BB155" s="61" t="n">
        <f aca="false">BB150+BB151+BB152+BB153+BB154</f>
        <v>-3982784.87315345</v>
      </c>
      <c r="BC155" s="61" t="n">
        <f aca="false">BC150+BC151+BC152+BC153+BC154</f>
        <v>-4069125.98655044</v>
      </c>
      <c r="BD155" s="61" t="n">
        <f aca="false">BD150+BD151+BD152+BD153+BD154</f>
        <v>-4155967.65034744</v>
      </c>
      <c r="BE155" s="61" t="n">
        <f aca="false">BE150+BE151+BE152+BE153+BE154</f>
        <v>-4243309.86454445</v>
      </c>
      <c r="BF155" s="61" t="n">
        <f aca="false">BF150+BF151+BF152+BF153+BF154</f>
        <v>-4331152.62914144</v>
      </c>
      <c r="BG155" s="61" t="n">
        <f aca="false">BG150+BG151+BG152+BG153+BG154</f>
        <v>-4442227.01309845</v>
      </c>
      <c r="BH155" s="61" t="n">
        <f aca="false">BH150+BH151+BH152+BH153+BH154</f>
        <v>-4501870.07849545</v>
      </c>
      <c r="BI155" s="61" t="n">
        <f aca="false">BI150+BI151+BI152+BI153+BI154</f>
        <v>-4562013.69429245</v>
      </c>
      <c r="BJ155" s="61" t="n">
        <f aca="false">BJ150+BJ151+BJ152+BJ153+BJ154</f>
        <v>-4554882.57088945</v>
      </c>
      <c r="BK155" s="61" t="n">
        <f aca="false">BK150+BK151+BK152+BK153+BK154</f>
        <v>-4686891.53209039</v>
      </c>
      <c r="BL155" s="61" t="n">
        <f aca="false">BL150+BL151+BL152+BL153+BL154</f>
        <v>-4818900.49329133</v>
      </c>
      <c r="BM155" s="61" t="n">
        <f aca="false">BM150+BM151+BM152+BM153+BM154</f>
        <v>-4950909.45449227</v>
      </c>
      <c r="BN155" s="61" t="n">
        <f aca="false">BN150+BN151+BN152+BN153+BN154</f>
        <v>-5108312.27416681</v>
      </c>
      <c r="BO155" s="61" t="n">
        <f aca="false">BO150+BO151+BO152+BO153+BO154</f>
        <v>-5240321.23536775</v>
      </c>
      <c r="BP155" s="61" t="n">
        <f aca="false">BP150+BP151+BP152+BP153+BP154</f>
        <v>-5320816.67656869</v>
      </c>
      <c r="BQ155" s="61" t="n">
        <f aca="false">BQ150+BQ151+BQ152+BQ153+BQ154</f>
        <v>-5452825.63776963</v>
      </c>
      <c r="BR155" s="61" t="n">
        <f aca="false">BR150+BR151+BR152+BR153+BR154</f>
        <v>-5584834.59897057</v>
      </c>
      <c r="BS155" s="61" t="n">
        <f aca="false">BS150+BS151+BS152+BS153+BS154</f>
        <v>-5672267.25703871</v>
      </c>
      <c r="BT155" s="61" t="n">
        <f aca="false">BT150+BT151+BT152+BT153+BT154</f>
        <v>-5804276.21823965</v>
      </c>
      <c r="BU155" s="61" t="n">
        <f aca="false">BU150+BU151+BU152+BU153+BU154</f>
        <v>-5936285.17944059</v>
      </c>
      <c r="BV155" s="61" t="n">
        <f aca="false">BV150+BV151+BV152+BV153+BV154</f>
        <v>-6000532.14064153</v>
      </c>
      <c r="BW155" s="61" t="n">
        <f aca="false">BW150+BW151+BW152+BW153+BW154</f>
        <v>-6135181.28106649</v>
      </c>
      <c r="BX155" s="61" t="n">
        <f aca="false">BX150+BX151+BX152+BX153+BX154</f>
        <v>-6269830.42149145</v>
      </c>
      <c r="BY155" s="61" t="n">
        <f aca="false">BY150+BY151+BY152+BY153+BY154</f>
        <v>-6336717.5619164</v>
      </c>
      <c r="BZ155" s="61" t="n">
        <f aca="false">BZ150+BZ151+BZ152+BZ153+BZ154</f>
        <v>-6497268.43798444</v>
      </c>
      <c r="CA155" s="61" t="n">
        <f aca="false">CA150+CA151+CA152+CA153+CA154</f>
        <v>-6631917.57840939</v>
      </c>
      <c r="CB155" s="61" t="n">
        <f aca="false">CB150+CB151+CB152+CB153+CB154</f>
        <v>-6690067.71883435</v>
      </c>
      <c r="CC155" s="61" t="n">
        <f aca="false">CC150+CC151+CC152+CC153+CC154</f>
        <v>-6824716.85925931</v>
      </c>
      <c r="CD155" s="61" t="n">
        <f aca="false">CD150+CD151+CD152+CD153+CD154</f>
        <v>-6959365.99968427</v>
      </c>
      <c r="CE155" s="61" t="n">
        <f aca="false">CE150+CE151+CE152+CE153+CE154</f>
        <v>-7041165.55091377</v>
      </c>
      <c r="CF155" s="61" t="n">
        <f aca="false">CF150+CF151+CF152+CF153+CF154</f>
        <v>-7175814.69133873</v>
      </c>
      <c r="CG155" s="61" t="n">
        <f aca="false">CG150+CG151+CG152+CG153+CG154</f>
        <v>-7310463.83176369</v>
      </c>
      <c r="CH155" s="61" t="n">
        <f aca="false">CH150+CH151+CH152+CH153+CH154</f>
        <v>-7362005.94558217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3509694.16433038</v>
      </c>
      <c r="T158" s="10" t="n">
        <f aca="false">T145+T150</f>
        <v>3479548.01616491</v>
      </c>
      <c r="U158" s="10" t="n">
        <f aca="false">U145+U150</f>
        <v>3465974.13039944</v>
      </c>
      <c r="V158" s="10" t="n">
        <f aca="false">V145+V150</f>
        <v>3468972.50063397</v>
      </c>
      <c r="W158" s="10" t="n">
        <f aca="false">W145+W150</f>
        <v>3458239.98177376</v>
      </c>
      <c r="X158" s="10" t="n">
        <f aca="false">X145+X150</f>
        <v>3564065.47562811</v>
      </c>
      <c r="Y158" s="10" t="n">
        <f aca="false">Y145+Y150</f>
        <v>3716477.4687679</v>
      </c>
      <c r="Z158" s="10" t="n">
        <f aca="false">Z145+Z150</f>
        <v>3635461.72430769</v>
      </c>
      <c r="AA158" s="10" t="n">
        <f aca="false">AA145+AA150</f>
        <v>3878393.24864749</v>
      </c>
      <c r="AB158" s="10" t="n">
        <f aca="false">AB145+AB150</f>
        <v>4069539.21057328</v>
      </c>
      <c r="AC158" s="10" t="n">
        <f aca="false">AC145+AC150</f>
        <v>4195763.58962443</v>
      </c>
      <c r="AD158" s="10" t="n">
        <f aca="false">AD145+AD150</f>
        <v>3857707.72200892</v>
      </c>
      <c r="AE158" s="10" t="n">
        <f aca="false">AE145+AE150</f>
        <v>4104889.8103934</v>
      </c>
      <c r="AF158" s="10" t="n">
        <f aca="false">AF145+AF150</f>
        <v>4376501.65557789</v>
      </c>
      <c r="AG158" s="10" t="n">
        <f aca="false">AG145+AG150</f>
        <v>4648614.04476237</v>
      </c>
      <c r="AH158" s="10" t="n">
        <f aca="false">AH145+AH150</f>
        <v>4911726.98434685</v>
      </c>
      <c r="AI158" s="10" t="n">
        <f aca="false">AI145+AI150</f>
        <v>5074661.46698437</v>
      </c>
      <c r="AJ158" s="10" t="n">
        <f aca="false">AJ145+AJ150</f>
        <v>5232820.36242188</v>
      </c>
      <c r="AK158" s="10" t="n">
        <f aca="false">AK145+AK150</f>
        <v>5233996.67953213</v>
      </c>
      <c r="AL158" s="10" t="n">
        <f aca="false">AL145+AL150</f>
        <v>4969101.28464237</v>
      </c>
      <c r="AM158" s="10" t="n">
        <f aca="false">AM145+AM150</f>
        <v>4938134.17775261</v>
      </c>
      <c r="AN158" s="10" t="n">
        <f aca="false">AN145+AN150</f>
        <v>4819874.38146845</v>
      </c>
      <c r="AO158" s="10" t="n">
        <f aca="false">AO145+AO150</f>
        <v>4685542.87958429</v>
      </c>
      <c r="AP158" s="10" t="n">
        <f aca="false">AP145+AP150</f>
        <v>4535139.66570014</v>
      </c>
      <c r="AQ158" s="10" t="n">
        <f aca="false">AQ145+AQ150</f>
        <v>4344256.94941598</v>
      </c>
      <c r="AR158" s="10" t="n">
        <f aca="false">AR145+AR150</f>
        <v>4161710.31153182</v>
      </c>
      <c r="AS158" s="10" t="n">
        <f aca="false">AS145+AS150</f>
        <v>3963091.96164766</v>
      </c>
      <c r="AT158" s="10" t="n">
        <f aca="false">AT145+AT150</f>
        <v>3644712.14508471</v>
      </c>
      <c r="AU158" s="10" t="n">
        <f aca="false">AU145+AU150</f>
        <v>3309760.07252177</v>
      </c>
      <c r="AV158" s="10" t="n">
        <f aca="false">AV145+AV150</f>
        <v>2919878.66395882</v>
      </c>
      <c r="AW158" s="10" t="n">
        <f aca="false">AW145+AW150</f>
        <v>2551782.07299587</v>
      </c>
      <c r="AX158" s="10" t="n">
        <f aca="false">AX145+AX150</f>
        <v>2183184.92523293</v>
      </c>
      <c r="AY158" s="10" t="n">
        <f aca="false">AY145+AY150</f>
        <v>1814087.23346998</v>
      </c>
      <c r="AZ158" s="10" t="n">
        <f aca="false">AZ145+AZ150</f>
        <v>1433062.46702911</v>
      </c>
      <c r="BA158" s="10" t="n">
        <f aca="false">BA145+BA150</f>
        <v>1051537.15018823</v>
      </c>
      <c r="BB158" s="10" t="n">
        <f aca="false">BB145+BB150</f>
        <v>669511.282947362</v>
      </c>
      <c r="BC158" s="10" t="n">
        <f aca="false">BC145+BC150</f>
        <v>262088.92562649</v>
      </c>
      <c r="BD158" s="10" t="n">
        <f aca="false">BD145+BD150</f>
        <v>-120938.042414382</v>
      </c>
      <c r="BE158" s="10" t="n">
        <f aca="false">BE145+BE150</f>
        <v>-504465.560855254</v>
      </c>
      <c r="BF158" s="10" t="n">
        <f aca="false">BF145+BF150</f>
        <v>-888493.629696126</v>
      </c>
      <c r="BG158" s="10" t="n">
        <f aca="false">BG145+BG150</f>
        <v>-1273022.248937</v>
      </c>
      <c r="BH158" s="10" t="n">
        <f aca="false">BH145+BH150</f>
        <v>-1837428.8208712</v>
      </c>
      <c r="BI158" s="10" t="n">
        <f aca="false">BI145+BI150</f>
        <v>-2350404.07424541</v>
      </c>
      <c r="BJ158" s="10" t="n">
        <f aca="false">BJ145+BJ150</f>
        <v>-2863879.87801961</v>
      </c>
      <c r="BK158" s="10" t="n">
        <f aca="false">BK145+BK150</f>
        <v>-3310080.94259382</v>
      </c>
      <c r="BL158" s="10" t="n">
        <f aca="false">BL145+BL150</f>
        <v>-3904488.73553151</v>
      </c>
      <c r="BM158" s="10" t="n">
        <f aca="false">BM145+BM150</f>
        <v>-4498896.5284692</v>
      </c>
      <c r="BN158" s="10" t="n">
        <f aca="false">BN145+BN150</f>
        <v>-5093304.32140689</v>
      </c>
      <c r="BO158" s="10" t="n">
        <f aca="false">BO145+BO150</f>
        <v>-5713105.97281818</v>
      </c>
      <c r="BP158" s="10" t="n">
        <f aca="false">BP145+BP150</f>
        <v>-6307513.76575587</v>
      </c>
      <c r="BQ158" s="10" t="n">
        <f aca="false">BQ145+BQ150</f>
        <v>-6850408.03869356</v>
      </c>
      <c r="BR158" s="10" t="n">
        <f aca="false">BR145+BR150</f>
        <v>-7444815.83163125</v>
      </c>
      <c r="BS158" s="10" t="n">
        <f aca="false">BS145+BS150</f>
        <v>-8039223.62456894</v>
      </c>
      <c r="BT158" s="10" t="n">
        <f aca="false">BT145+BT150</f>
        <v>-8589055.11437383</v>
      </c>
      <c r="BU158" s="10" t="n">
        <f aca="false">BU145+BU150</f>
        <v>-9183462.90731152</v>
      </c>
      <c r="BV158" s="10" t="n">
        <f aca="false">BV145+BV150</f>
        <v>-9777870.70024921</v>
      </c>
      <c r="BW158" s="10" t="n">
        <f aca="false">BW145+BW150</f>
        <v>-10304516.4931869</v>
      </c>
      <c r="BX158" s="10" t="n">
        <f aca="false">BX145+BX150</f>
        <v>-10910812.4419833</v>
      </c>
      <c r="BY158" s="10" t="n">
        <f aca="false">BY145+BY150</f>
        <v>-11517108.3907798</v>
      </c>
      <c r="BZ158" s="10" t="n">
        <f aca="false">BZ145+BZ150</f>
        <v>-12055642.3395762</v>
      </c>
      <c r="CA158" s="10" t="n">
        <f aca="false">CA145+CA150</f>
        <v>-12687840.0240157</v>
      </c>
      <c r="CB158" s="10" t="n">
        <f aca="false">CB145+CB150</f>
        <v>-13294135.9728122</v>
      </c>
      <c r="CC158" s="10" t="n">
        <f aca="false">CC145+CC150</f>
        <v>-13823932.9216086</v>
      </c>
      <c r="CD158" s="10" t="n">
        <f aca="false">CD145+CD150</f>
        <v>-14430228.8704051</v>
      </c>
      <c r="CE158" s="10" t="n">
        <f aca="false">CE145+CE150</f>
        <v>-15036524.8192015</v>
      </c>
      <c r="CF158" s="10" t="n">
        <f aca="false">CF145+CF150</f>
        <v>-15589971.1788025</v>
      </c>
      <c r="CG158" s="10" t="n">
        <f aca="false">CG145+CG150</f>
        <v>-16196267.1275989</v>
      </c>
      <c r="CH158" s="10" t="n">
        <f aca="false">CH145+CH150</f>
        <v>-16802563.0763954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-621012.4928611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-575626.466038133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2344612.2678941</v>
      </c>
      <c r="G160" s="61" t="n">
        <f aca="false">G158+G146+G151+G152+G153+G154+G159</f>
        <v>2420137.71321308</v>
      </c>
      <c r="H160" s="61" t="n">
        <f aca="false">H158+H146+H151+H152+H153+H154+H159</f>
        <v>2494829.82853206</v>
      </c>
      <c r="I160" s="61" t="n">
        <f aca="false">I158+I146+I151+I152+I153+I154+I159</f>
        <v>2805011.2697378</v>
      </c>
      <c r="J160" s="61" t="n">
        <f aca="false">J158+J146+J151+J152+J153+J154+J159</f>
        <v>3144121.61189051</v>
      </c>
      <c r="K160" s="61" t="n">
        <f aca="false">K158+K146+K151+K152+K153+K154+K159</f>
        <v>3239993.07604322</v>
      </c>
      <c r="L160" s="61" t="n">
        <f aca="false">L158+L146+L151+L152+L153+L154+L159</f>
        <v>3368996.37059593</v>
      </c>
      <c r="M160" s="61" t="n">
        <f aca="false">M158+M146+M151+M152+M153+M154+M159</f>
        <v>3247999.66514864</v>
      </c>
      <c r="N160" s="61" t="n">
        <f aca="false">N158+N146+N151+N152+N153+N154+N159</f>
        <v>2919069.09188839</v>
      </c>
      <c r="O160" s="61" t="n">
        <f aca="false">O158+O146+O151+O152+O153+O154+O159</f>
        <v>2874535.34809952</v>
      </c>
      <c r="P160" s="61" t="n">
        <f aca="false">P158+P146+P151+P152+P153+P154+P159</f>
        <v>3164236.21149769</v>
      </c>
      <c r="Q160" s="61" t="n">
        <f aca="false">Q158+Q146+Q151+Q152+Q153+Q154+Q159</f>
        <v>3453937.07489585</v>
      </c>
      <c r="R160" s="61" t="n">
        <f aca="false">R158+R146+R151+R152+R153+R154+R159</f>
        <v>3509694.16433038</v>
      </c>
      <c r="S160" s="61" t="n">
        <f aca="false">S158+S146+S151+S152+S153+S154+S159</f>
        <v>3479548.01616491</v>
      </c>
      <c r="T160" s="61" t="n">
        <f aca="false">T158+T146+T151+T152+T153+T154+T159</f>
        <v>3465974.13039944</v>
      </c>
      <c r="U160" s="61" t="n">
        <f aca="false">U158+U146+U151+U152+U153+U154+U159</f>
        <v>3468972.50063397</v>
      </c>
      <c r="V160" s="61" t="n">
        <f aca="false">V158+V146+V151+V152+V153+V154+V159</f>
        <v>3458239.98177376</v>
      </c>
      <c r="W160" s="61" t="n">
        <f aca="false">W158+W146+W151+W152+W153+W154+W159</f>
        <v>3564065.47562811</v>
      </c>
      <c r="X160" s="61" t="n">
        <f aca="false">X158+X146+X151+X152+X153+X154+X159</f>
        <v>3716477.4687679</v>
      </c>
      <c r="Y160" s="61" t="n">
        <f aca="false">Y158+Y146+Y151+Y152+Y153+Y154+Y159</f>
        <v>3635461.72430769</v>
      </c>
      <c r="Z160" s="61" t="n">
        <f aca="false">Z158+Z146+Z151+Z152+Z153+Z154+Z159</f>
        <v>3257380.75578639</v>
      </c>
      <c r="AA160" s="61" t="n">
        <f aca="false">AA158+AA146+AA151+AA152+AA153+AA154+AA159</f>
        <v>4069539.21057328</v>
      </c>
      <c r="AB160" s="61" t="n">
        <f aca="false">AB158+AB146+AB151+AB152+AB153+AB154+AB159</f>
        <v>4195763.58962443</v>
      </c>
      <c r="AC160" s="61" t="n">
        <f aca="false">AC158+AC146+AC151+AC152+AC153+AC154+AC159</f>
        <v>3857707.72200892</v>
      </c>
      <c r="AD160" s="61" t="n">
        <f aca="false">AD158+AD146+AD151+AD152+AD153+AD154+AD159</f>
        <v>4104889.8103934</v>
      </c>
      <c r="AE160" s="61" t="n">
        <f aca="false">AE158+AE146+AE151+AE152+AE153+AE154+AE159</f>
        <v>4376501.65557789</v>
      </c>
      <c r="AF160" s="61" t="n">
        <f aca="false">AF158+AF146+AF151+AF152+AF153+AF154+AF159</f>
        <v>4648614.04476237</v>
      </c>
      <c r="AG160" s="61" t="n">
        <f aca="false">AG158+AG146+AG151+AG152+AG153+AG154+AG159</f>
        <v>4911726.98434685</v>
      </c>
      <c r="AH160" s="61" t="n">
        <f aca="false">AH158+AH146+AH151+AH152+AH153+AH154+AH159</f>
        <v>5074661.46698437</v>
      </c>
      <c r="AI160" s="61" t="n">
        <f aca="false">AI158+AI146+AI151+AI152+AI153+AI154+AI159</f>
        <v>5232820.36242188</v>
      </c>
      <c r="AJ160" s="61" t="n">
        <f aca="false">AJ158+AJ146+AJ151+AJ152+AJ153+AJ154+AJ159</f>
        <v>5233996.67953213</v>
      </c>
      <c r="AK160" s="61" t="n">
        <f aca="false">AK158+AK146+AK151+AK152+AK153+AK154+AK159</f>
        <v>4969101.28464237</v>
      </c>
      <c r="AL160" s="61" t="n">
        <f aca="false">AL158+AL146+AL151+AL152+AL153+AL154+AL159</f>
        <v>4362507.71171448</v>
      </c>
      <c r="AM160" s="61" t="n">
        <f aca="false">AM158+AM146+AM151+AM152+AM153+AM154+AM159</f>
        <v>4819874.38146845</v>
      </c>
      <c r="AN160" s="61" t="n">
        <f aca="false">AN158+AN146+AN151+AN152+AN153+AN154+AN159</f>
        <v>4685542.87958429</v>
      </c>
      <c r="AO160" s="61" t="n">
        <f aca="false">AO158+AO146+AO151+AO152+AO153+AO154+AO159</f>
        <v>4535139.66570014</v>
      </c>
      <c r="AP160" s="61" t="n">
        <f aca="false">AP158+AP146+AP151+AP152+AP153+AP154+AP159</f>
        <v>4344256.94941598</v>
      </c>
      <c r="AQ160" s="61" t="n">
        <f aca="false">AQ158+AQ146+AQ151+AQ152+AQ153+AQ154+AQ159</f>
        <v>4161710.31153182</v>
      </c>
      <c r="AR160" s="61" t="n">
        <f aca="false">AR158+AR146+AR151+AR152+AR153+AR154+AR159</f>
        <v>3963091.96164766</v>
      </c>
      <c r="AS160" s="61" t="n">
        <f aca="false">AS158+AS146+AS151+AS152+AS153+AS154+AS159</f>
        <v>3644712.14508471</v>
      </c>
      <c r="AT160" s="61" t="n">
        <f aca="false">AT158+AT146+AT151+AT152+AT153+AT154+AT159</f>
        <v>3309760.07252177</v>
      </c>
      <c r="AU160" s="61" t="n">
        <f aca="false">AU158+AU146+AU151+AU152+AU153+AU154+AU159</f>
        <v>2919878.66395882</v>
      </c>
      <c r="AV160" s="61" t="n">
        <f aca="false">AV158+AV146+AV151+AV152+AV153+AV154+AV159</f>
        <v>2551782.07299587</v>
      </c>
      <c r="AW160" s="61" t="n">
        <f aca="false">AW158+AW146+AW151+AW152+AW153+AW154+AW159</f>
        <v>2183184.92523293</v>
      </c>
      <c r="AX160" s="61" t="n">
        <f aca="false">AX158+AX146+AX151+AX152+AX153+AX154+AX159</f>
        <v>1814087.23346998</v>
      </c>
      <c r="AY160" s="61" t="n">
        <f aca="false">AY158+AY146+AY151+AY152+AY153+AY154+AY159</f>
        <v>1433062.46702911</v>
      </c>
      <c r="AZ160" s="61" t="n">
        <f aca="false">AZ158+AZ146+AZ151+AZ152+AZ153+AZ154+AZ159</f>
        <v>1051537.15018823</v>
      </c>
      <c r="BA160" s="61" t="n">
        <f aca="false">BA158+BA146+BA151+BA152+BA153+BA154+BA159</f>
        <v>669511.282947362</v>
      </c>
      <c r="BB160" s="61" t="n">
        <f aca="false">BB158+BB146+BB151+BB152+BB153+BB154+BB159</f>
        <v>262088.92562649</v>
      </c>
      <c r="BC160" s="61" t="n">
        <f aca="false">BC158+BC146+BC151+BC152+BC153+BC154+BC159</f>
        <v>-120938.042414382</v>
      </c>
      <c r="BD160" s="61" t="n">
        <f aca="false">BD158+BD146+BD151+BD152+BD153+BD154+BD159</f>
        <v>-504465.560855254</v>
      </c>
      <c r="BE160" s="61" t="n">
        <f aca="false">BE158+BE146+BE151+BE152+BE153+BE154+BE159</f>
        <v>-888493.629696126</v>
      </c>
      <c r="BF160" s="61" t="n">
        <f aca="false">BF158+BF146+BF151+BF152+BF153+BF154+BF159</f>
        <v>-1273022.248937</v>
      </c>
      <c r="BG160" s="61" t="n">
        <f aca="false">BG158+BG146+BG151+BG152+BG153+BG154+BG159</f>
        <v>-1837428.8208712</v>
      </c>
      <c r="BH160" s="61" t="n">
        <f aca="false">BH158+BH146+BH151+BH152+BH153+BH154+BH159</f>
        <v>-2350404.07424541</v>
      </c>
      <c r="BI160" s="61" t="n">
        <f aca="false">BI158+BI146+BI151+BI152+BI153+BI154+BI159</f>
        <v>-2863879.87801961</v>
      </c>
      <c r="BJ160" s="61" t="n">
        <f aca="false">BJ158+BJ146+BJ151+BJ152+BJ153+BJ154+BJ159</f>
        <v>-3310080.94259382</v>
      </c>
      <c r="BK160" s="61" t="n">
        <f aca="false">BK158+BK146+BK151+BK152+BK153+BK154+BK159</f>
        <v>-3904488.73553151</v>
      </c>
      <c r="BL160" s="61" t="n">
        <f aca="false">BL158+BL146+BL151+BL152+BL153+BL154+BL159</f>
        <v>-4498896.5284692</v>
      </c>
      <c r="BM160" s="61" t="n">
        <f aca="false">BM158+BM146+BM151+BM152+BM153+BM154+BM159</f>
        <v>-5093304.32140689</v>
      </c>
      <c r="BN160" s="61" t="n">
        <f aca="false">BN158+BN146+BN151+BN152+BN153+BN154+BN159</f>
        <v>-5713105.97281818</v>
      </c>
      <c r="BO160" s="61" t="n">
        <f aca="false">BO158+BO146+BO151+BO152+BO153+BO154+BO159</f>
        <v>-6307513.76575587</v>
      </c>
      <c r="BP160" s="61" t="n">
        <f aca="false">BP158+BP146+BP151+BP152+BP153+BP154+BP159</f>
        <v>-6850408.03869356</v>
      </c>
      <c r="BQ160" s="61" t="n">
        <f aca="false">BQ158+BQ146+BQ151+BQ152+BQ153+BQ154+BQ159</f>
        <v>-7444815.83163125</v>
      </c>
      <c r="BR160" s="61" t="n">
        <f aca="false">BR158+BR146+BR151+BR152+BR153+BR154+BR159</f>
        <v>-8039223.62456894</v>
      </c>
      <c r="BS160" s="61" t="n">
        <f aca="false">BS158+BS146+BS151+BS152+BS153+BS154+BS159</f>
        <v>-8589055.11437383</v>
      </c>
      <c r="BT160" s="61" t="n">
        <f aca="false">BT158+BT146+BT151+BT152+BT153+BT154+BT159</f>
        <v>-9183462.90731152</v>
      </c>
      <c r="BU160" s="61" t="n">
        <f aca="false">BU158+BU146+BU151+BU152+BU153+BU154+BU159</f>
        <v>-9777870.70024921</v>
      </c>
      <c r="BV160" s="61" t="n">
        <f aca="false">BV158+BV146+BV151+BV152+BV153+BV154+BV159</f>
        <v>-10304516.4931869</v>
      </c>
      <c r="BW160" s="61" t="n">
        <f aca="false">BW158+BW146+BW151+BW152+BW153+BW154+BW159</f>
        <v>-10910812.4419833</v>
      </c>
      <c r="BX160" s="61" t="n">
        <f aca="false">BX158+BX146+BX151+BX152+BX153+BX154+BX159</f>
        <v>-11517108.3907798</v>
      </c>
      <c r="BY160" s="61" t="n">
        <f aca="false">BY158+BY146+BY151+BY152+BY153+BY154+BY159</f>
        <v>-12055642.3395762</v>
      </c>
      <c r="BZ160" s="61" t="n">
        <f aca="false">BZ158+BZ146+BZ151+BZ152+BZ153+BZ154+BZ159</f>
        <v>-12687840.0240157</v>
      </c>
      <c r="CA160" s="61" t="n">
        <f aca="false">CA158+CA146+CA151+CA152+CA153+CA154+CA159</f>
        <v>-13294135.9728122</v>
      </c>
      <c r="CB160" s="61" t="n">
        <f aca="false">CB158+CB146+CB151+CB152+CB153+CB154+CB159</f>
        <v>-13823932.9216086</v>
      </c>
      <c r="CC160" s="61" t="n">
        <f aca="false">CC158+CC146+CC151+CC152+CC153+CC154+CC159</f>
        <v>-14430228.8704051</v>
      </c>
      <c r="CD160" s="61" t="n">
        <f aca="false">CD158+CD146+CD151+CD152+CD153+CD154+CD159</f>
        <v>-15036524.8192015</v>
      </c>
      <c r="CE160" s="61" t="n">
        <f aca="false">CE158+CE146+CE151+CE152+CE153+CE154+CE159</f>
        <v>-15589971.1788025</v>
      </c>
      <c r="CF160" s="61" t="n">
        <f aca="false">CF158+CF146+CF151+CF152+CF153+CF154+CF159</f>
        <v>-16196267.1275989</v>
      </c>
      <c r="CG160" s="61" t="n">
        <f aca="false">CG158+CG146+CG151+CG152+CG153+CG154+CG159</f>
        <v>-16802563.0763954</v>
      </c>
      <c r="CH160" s="61" t="n">
        <f aca="false">CH158+CH146+CH151+CH152+CH153+CH154+CH159</f>
        <v>-17325751.9985854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835294.245877478</v>
      </c>
      <c r="H5" s="10" t="n">
        <f aca="false">Model!U8+Model!V8+Model!W8</f>
        <v>754000.584693267</v>
      </c>
      <c r="I5" s="10" t="n">
        <f aca="false">Model!X8+Model!Y8+Model!Z8</f>
        <v>741105.847851162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852723.298509057</v>
      </c>
      <c r="H6" s="10" t="n">
        <f aca="false">Model!U9+Model!V9+Model!W9</f>
        <v>758514.268903793</v>
      </c>
      <c r="I6" s="10" t="n">
        <f aca="false">Model!X9+Model!Y9+Model!Z9</f>
        <v>741105.847851162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258074.407617054</v>
      </c>
      <c r="H7" s="10" t="n">
        <f aca="false">Model!U10+Model!V10+Model!W10</f>
        <v>247035.282617054</v>
      </c>
      <c r="I7" s="10" t="n">
        <f aca="false">Model!X10+Model!Y10+Model!Z10</f>
        <v>247035.282617054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1946091.95200359</v>
      </c>
      <c r="H9" s="12" t="n">
        <f aca="false">Model!U12+Model!V12+Model!W12</f>
        <v>1759550.13621411</v>
      </c>
      <c r="I9" s="12" t="n">
        <f aca="false">Model!X12+Model!Y12+Model!Z12</f>
        <v>1729246.97831938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-1281555.1371</v>
      </c>
      <c r="H15" s="12" t="n">
        <f aca="false">Model!U38+Model!V38+Model!W38</f>
        <v>-1281555.1371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664536.814903588</v>
      </c>
      <c r="H16" s="16" t="n">
        <f aca="false">Model!U40+Model!V40+Model!W40</f>
        <v>477994.999114115</v>
      </c>
      <c r="I16" s="16" t="n">
        <f aca="false">Model!X40+Model!Y40+Model!Z40</f>
        <v>447691.841219378</v>
      </c>
      <c r="J16" s="16" t="n">
        <f aca="false">Model!AA40+Model!AB40+Model!AC40</f>
        <v>-307986.691538571</v>
      </c>
      <c r="K16" s="16" t="n">
        <f aca="false">Model!AD40+Model!AE40+Model!AF40</f>
        <v>647518.183453455</v>
      </c>
      <c r="L16" s="16" t="n">
        <f aca="false">Model!AG40+Model!AH40+Model!AI40</f>
        <v>446160.181559515</v>
      </c>
      <c r="M16" s="16" t="n">
        <f aca="false">Model!AJ40+Model!AK40+Model!AL40</f>
        <v>-142796.637569273</v>
      </c>
      <c r="N16" s="16" t="n">
        <f aca="false">Model!AM40+Model!AN40+Model!AO40</f>
        <v>-348995.851002477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0.341472464453398</v>
      </c>
      <c r="H17" s="17" t="n">
        <f aca="false">IF((Model!U12+Model!V12+Model!W12)&lt;&gt;0,(Model!U40+Model!V40+Model!W40)/(Model!U12+Model!V12+Model!W12),0)</f>
        <v>0.271657504538392</v>
      </c>
      <c r="I17" s="17" t="n">
        <f aca="false">IF((Model!X12+Model!Y12+Model!Z12)&lt;&gt;0,(Model!X40+Model!Y40+Model!Z40)/(Model!X12+Model!Y12+Model!Z12),0)</f>
        <v>0.258894100630137</v>
      </c>
      <c r="J17" s="17" t="n">
        <f aca="false">IF((Model!AA12+Model!AB12+Model!AC12)&lt;&gt;0,(Model!AA40+Model!AB40+Model!AC40)/(Model!AA12+Model!AB12+Model!AC12),0)</f>
        <v>-0.131437092013027</v>
      </c>
      <c r="K17" s="17" t="n">
        <f aca="false">IF((Model!AD12+Model!AE12+Model!AF12)&lt;&gt;0,(Model!AD40+Model!AE40+Model!AF40)/(Model!AD12+Model!AE12+Model!AF12),0)</f>
        <v>0.331261430493823</v>
      </c>
      <c r="L17" s="17" t="n">
        <f aca="false">IF((Model!AG12+Model!AH12+Model!AI12)&lt;&gt;0,(Model!AG40+Model!AH40+Model!AI40)/(Model!AG12+Model!AH12+Model!AI12),0)</f>
        <v>0.254462082400626</v>
      </c>
      <c r="M17" s="17" t="n">
        <f aca="false">IF((Model!AJ12+Model!AK12+Model!AL12)&lt;&gt;0,(Model!AJ40+Model!AK40+Model!AL40)/(Model!AJ12+Model!AK12+Model!AL12),0)</f>
        <v>-0.122636476047668</v>
      </c>
      <c r="N17" s="17" t="n">
        <f aca="false">IF((Model!AM12+Model!AN12+Model!AO12)&lt;&gt;0,(Model!AM40+Model!AN40+Model!AO40)/(Model!AM12+Model!AN12+Model!AO12),0)</f>
        <v>-0.354550194052712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402037.055503588</v>
      </c>
      <c r="H23" s="16" t="n">
        <f aca="false">Model!U95+Model!V95+Model!W95</f>
        <v>424060.588514115</v>
      </c>
      <c r="I23" s="16" t="n">
        <f aca="false">Model!X95+Model!Y95+Model!Z95</f>
        <v>564327.773019378</v>
      </c>
      <c r="J23" s="16" t="n">
        <f aca="false">Model!AA95+Model!AB95+Model!AC95</f>
        <v>-20685.5266385711</v>
      </c>
      <c r="K23" s="16" t="n">
        <f aca="false">Model!AD95+Model!AE95+Model!AF95</f>
        <v>790906.322753455</v>
      </c>
      <c r="L23" s="16" t="n">
        <f aca="false">Model!AG95+Model!AH95+Model!AI95</f>
        <v>584206.317659515</v>
      </c>
      <c r="M23" s="16" t="n">
        <f aca="false">Model!AJ95+Model!AK95+Model!AL95</f>
        <v>-44686.1846692726</v>
      </c>
      <c r="N23" s="16" t="n">
        <f aca="false">Model!AM95+Model!AN95+Model!AO95</f>
        <v>-402994.512052476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6287808.97239944</v>
      </c>
      <c r="H42" s="21" t="n">
        <f aca="false">Model!W147</f>
        <v>6765803.97151355</v>
      </c>
      <c r="I42" s="21" t="n">
        <f aca="false">Model!Z147</f>
        <v>7213495.81273293</v>
      </c>
      <c r="J42" s="21" t="n">
        <f aca="false">Model!AC147</f>
        <v>6905509.12119436</v>
      </c>
      <c r="K42" s="21" t="n">
        <f aca="false">Model!AF147</f>
        <v>7553027.30464781</v>
      </c>
      <c r="L42" s="21" t="n">
        <f aca="false">Model!AI147</f>
        <v>7999187.48620733</v>
      </c>
      <c r="M42" s="21" t="n">
        <f aca="false">Model!AL147</f>
        <v>7856390.84863806</v>
      </c>
      <c r="N42" s="21" t="n">
        <f aca="false">Model!AO147</f>
        <v>7507394.99763558</v>
      </c>
      <c r="O42" s="21" t="n">
        <f aca="false">Model!AR147</f>
        <v>7158399.1466331</v>
      </c>
      <c r="P42" s="21" t="n">
        <f aca="false">Model!AU147</f>
        <v>6295008.18199426</v>
      </c>
      <c r="Q42" s="21" t="n">
        <f aca="false">Model!AX147</f>
        <v>5431617.21735542</v>
      </c>
      <c r="R42" s="21" t="n">
        <f aca="false">Model!BA147</f>
        <v>4541559.65342381</v>
      </c>
      <c r="S42" s="21" t="n">
        <f aca="false">Model!BD147</f>
        <v>3651502.08949219</v>
      </c>
      <c r="T42" s="21" t="n">
        <f aca="false">Model!BG147</f>
        <v>2604798.19222724</v>
      </c>
      <c r="U42" s="21" t="n">
        <f aca="false">Model!BJ147</f>
        <v>1244801.62829562</v>
      </c>
      <c r="V42" s="21" t="n">
        <f aca="false">Model!BM147</f>
        <v>-142394.866914625</v>
      </c>
      <c r="W42" s="21" t="n">
        <f aca="false">Model!BP147</f>
        <v>-1529591.36212487</v>
      </c>
      <c r="X42" s="21" t="n">
        <f aca="false">Model!BS147</f>
        <v>-2916787.85733512</v>
      </c>
      <c r="Y42" s="21" t="n">
        <f aca="false">Model!BV147</f>
        <v>-4303984.35254537</v>
      </c>
      <c r="Z42" s="21" t="n">
        <f aca="false">Model!BY147</f>
        <v>-5718924.77765983</v>
      </c>
      <c r="AA42" s="21" t="n">
        <f aca="false">Model!CB147</f>
        <v>-7133865.20277428</v>
      </c>
      <c r="AB42" s="21" t="n">
        <f aca="false">Model!CE147</f>
        <v>-8548805.62788873</v>
      </c>
      <c r="AC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-621012.4928611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-575626.466038133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3465974.13039944</v>
      </c>
      <c r="H45" s="23" t="n">
        <f aca="false">Model!W160</f>
        <v>3564065.47562811</v>
      </c>
      <c r="I45" s="23" t="n">
        <f aca="false">Model!Z160</f>
        <v>3257380.75578639</v>
      </c>
      <c r="J45" s="23" t="n">
        <f aca="false">Model!AC160</f>
        <v>3857707.72200892</v>
      </c>
      <c r="K45" s="23" t="n">
        <f aca="false">Model!AF160</f>
        <v>4648614.04476237</v>
      </c>
      <c r="L45" s="23" t="n">
        <f aca="false">Model!AI160</f>
        <v>5232820.36242188</v>
      </c>
      <c r="M45" s="23" t="n">
        <f aca="false">Model!AL160</f>
        <v>4362507.71171448</v>
      </c>
      <c r="N45" s="23" t="n">
        <f aca="false">Model!AO160</f>
        <v>4535139.66570014</v>
      </c>
      <c r="O45" s="23" t="n">
        <f aca="false">Model!AR160</f>
        <v>3963091.96164766</v>
      </c>
      <c r="P45" s="23" t="n">
        <f aca="false">Model!AU160</f>
        <v>2919878.66395882</v>
      </c>
      <c r="Q45" s="23" t="n">
        <f aca="false">Model!AX160</f>
        <v>1814087.23346998</v>
      </c>
      <c r="R45" s="23" t="n">
        <f aca="false">Model!BA160</f>
        <v>669511.282947362</v>
      </c>
      <c r="S45" s="23" t="n">
        <f aca="false">Model!BD160</f>
        <v>-504465.560855254</v>
      </c>
      <c r="T45" s="23" t="n">
        <f aca="false">Model!BG160</f>
        <v>-1837428.8208712</v>
      </c>
      <c r="U45" s="23" t="n">
        <f aca="false">Model!BJ160</f>
        <v>-3310080.94259382</v>
      </c>
      <c r="V45" s="23" t="n">
        <f aca="false">Model!BM160</f>
        <v>-5093304.32140689</v>
      </c>
      <c r="W45" s="23" t="n">
        <f aca="false">Model!BP160</f>
        <v>-6850408.03869356</v>
      </c>
      <c r="X45" s="23" t="n">
        <f aca="false">Model!BS160</f>
        <v>-8589055.11437383</v>
      </c>
      <c r="Y45" s="23" t="n">
        <f aca="false">Model!BV160</f>
        <v>-10304516.4931869</v>
      </c>
      <c r="Z45" s="23" t="n">
        <f aca="false">Model!BY160</f>
        <v>-12055642.3395762</v>
      </c>
      <c r="AA45" s="23" t="n">
        <f aca="false">Model!CB160</f>
        <v>-13823932.9216086</v>
      </c>
      <c r="AB45" s="23" t="n">
        <f aca="false">Model!CE160</f>
        <v>-15589971.1788025</v>
      </c>
      <c r="AC45" s="23" t="n">
        <f aca="false">Model!CH160</f>
        <v>-17325751.9985854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0</v>
      </c>
      <c r="H14" s="68" t="n">
        <f aca="false">Model!H53+Model!H54+Model!H55</f>
        <v>0</v>
      </c>
      <c r="I14" s="68" t="n">
        <f aca="false">Model!I53+Model!I54+Model!I55</f>
        <v>0</v>
      </c>
      <c r="J14" s="68" t="n">
        <f aca="false">Model!J53+Model!J54+Model!J55</f>
        <v>0</v>
      </c>
      <c r="K14" s="68" t="n">
        <f aca="false">Model!K53+Model!K54+Model!K55</f>
        <v>0</v>
      </c>
      <c r="L14" s="68" t="n">
        <f aca="false">Model!L53+Model!L54+Model!L55</f>
        <v>0</v>
      </c>
      <c r="M14" s="68" t="n">
        <f aca="false">Model!M53+Model!M54+Model!M55</f>
        <v>0</v>
      </c>
      <c r="N14" s="68" t="n">
        <f aca="false">Model!N53+Model!N54+Model!N55</f>
        <v>0</v>
      </c>
      <c r="O14" s="68" t="n">
        <f aca="false">Model!O53+Model!O54+Model!O55</f>
        <v>0</v>
      </c>
      <c r="P14" s="68" t="n">
        <f aca="false">Model!P53+Model!P54+Model!P55</f>
        <v>0</v>
      </c>
      <c r="Q14" s="68" t="n">
        <f aca="false">Model!Q53+Model!Q54+Model!Q55</f>
        <v>0</v>
      </c>
      <c r="R14" s="68" t="n">
        <f aca="false">Model!R53+Model!R54+Model!R55</f>
        <v>0</v>
      </c>
      <c r="S14" s="68" t="n">
        <f aca="false">Model!S53+Model!S54+Model!S55</f>
        <v>0</v>
      </c>
      <c r="T14" s="68" t="n">
        <f aca="false">Model!T53+Model!T54+Model!T55</f>
        <v>0</v>
      </c>
      <c r="U14" s="68" t="n">
        <f aca="false">Model!U53+Model!U54+Model!U55</f>
        <v>0</v>
      </c>
      <c r="V14" s="68" t="n">
        <f aca="false">Model!V53+Model!V54+Model!V55</f>
        <v>0</v>
      </c>
      <c r="W14" s="68" t="n">
        <f aca="false">Model!W53+Model!W54+Model!W55</f>
        <v>0</v>
      </c>
      <c r="X14" s="68" t="n">
        <f aca="false">Model!X53+Model!X54+Model!X55</f>
        <v>0</v>
      </c>
      <c r="Y14" s="68" t="n">
        <f aca="false">Model!Y53+Model!Y54+Model!Y55</f>
        <v>0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0</v>
      </c>
      <c r="I20" s="68" t="n">
        <f aca="false">Model!I56+Model!I57+Model!I58</f>
        <v>0</v>
      </c>
      <c r="J20" s="68" t="n">
        <f aca="false">Model!J56+Model!J57+Model!J58</f>
        <v>0</v>
      </c>
      <c r="K20" s="68" t="n">
        <f aca="false">Model!K56+Model!K57+Model!K58</f>
        <v>0</v>
      </c>
      <c r="L20" s="68" t="n">
        <f aca="false">Model!L56+Model!L57+Model!L58</f>
        <v>0</v>
      </c>
      <c r="M20" s="68" t="n">
        <f aca="false">Model!M56+Model!M57+Model!M58</f>
        <v>0</v>
      </c>
      <c r="N20" s="68" t="n">
        <f aca="false">Model!N56+Model!N57+Model!N58</f>
        <v>0</v>
      </c>
      <c r="O20" s="68" t="n">
        <f aca="false">Model!O56+Model!O57+Model!O58</f>
        <v>0</v>
      </c>
      <c r="P20" s="68" t="n">
        <f aca="false">Model!P56+Model!P57+Model!P58</f>
        <v>0</v>
      </c>
      <c r="Q20" s="68" t="n">
        <f aca="false">Model!Q56+Model!Q57+Model!Q58</f>
        <v>0</v>
      </c>
      <c r="R20" s="68" t="n">
        <f aca="false">Model!R56+Model!R57+Model!R58</f>
        <v>0</v>
      </c>
      <c r="S20" s="68" t="n">
        <f aca="false">Model!S56+Model!S57+Model!S58</f>
        <v>0</v>
      </c>
      <c r="T20" s="68" t="n">
        <f aca="false">Model!T56+Model!T57+Model!T58</f>
        <v>0</v>
      </c>
      <c r="U20" s="68" t="n">
        <f aca="false">Model!U56+Model!U57+Model!U58</f>
        <v>0</v>
      </c>
      <c r="V20" s="68" t="n">
        <f aca="false">Model!V56+Model!V57+Model!V58</f>
        <v>0</v>
      </c>
      <c r="W20" s="68" t="n">
        <f aca="false">Model!W56+Model!W57+Model!W58</f>
        <v>0</v>
      </c>
      <c r="X20" s="68" t="n">
        <f aca="false">Model!X56+Model!X57+Model!X58</f>
        <v>0</v>
      </c>
      <c r="Y20" s="68" t="n">
        <f aca="false">Model!Y56+Model!Y57+Model!Y58</f>
        <v>0</v>
      </c>
      <c r="Z20" s="68" t="n">
        <f aca="false">Model!Z56+Model!Z57+Model!Z58</f>
        <v>0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-4338997.1242</v>
      </c>
      <c r="C42" s="89" t="n">
        <f aca="false">'Annual Summary'!C15</f>
        <v>-6572262.0413</v>
      </c>
      <c r="D42" s="89" t="n">
        <f aca="false">'Annual Summary'!D15</f>
        <v>-6547139.396626</v>
      </c>
      <c r="E42" s="89" t="n">
        <f aca="false">'Annual Summary'!E15</f>
        <v>-5307176.13375852</v>
      </c>
      <c r="F42" s="89" t="n">
        <f aca="false">'Annual Summary'!F15</f>
        <v>-5413319.65643369</v>
      </c>
      <c r="G42" s="89" t="n">
        <f aca="false">'Annual Summary'!G15</f>
        <v>-5521586.04956237</v>
      </c>
      <c r="H42" s="89" t="n">
        <f aca="false">'Annual Summary'!H15</f>
        <v>-5632017.77055361</v>
      </c>
      <c r="I42" s="89" t="n">
        <f aca="false">'Annual Summary'!I15</f>
        <v>-1414940.42511445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2276079.57604322</v>
      </c>
      <c r="C43" s="77" t="n">
        <f aca="false">'Annual Summary'!C16</f>
        <v>2837808.70547033</v>
      </c>
      <c r="D43" s="77" t="n">
        <f aca="false">'Annual Summary'!D16</f>
        <v>1233383.51469378</v>
      </c>
      <c r="E43" s="77" t="n">
        <f aca="false">'Annual Summary'!E16</f>
        <v>-1704179.30421307</v>
      </c>
      <c r="F43" s="77" t="n">
        <f aca="false">'Annual Summary'!F16</f>
        <v>-3690209.98976702</v>
      </c>
      <c r="G43" s="77" t="n">
        <f aca="false">'Annual Summary'!G16</f>
        <v>-5521586.04956237</v>
      </c>
      <c r="H43" s="77" t="n">
        <f aca="false">'Annual Summary'!H16</f>
        <v>-5632017.77055361</v>
      </c>
      <c r="I43" s="77" t="n">
        <f aca="false">'Annual Summary'!I16</f>
        <v>-1414940.42511445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-1120081.25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-688002.19</v>
      </c>
      <c r="C50" s="91" t="n">
        <f aca="false">'Annual Summary'!C43</f>
        <v>-3201738.49588545</v>
      </c>
      <c r="D50" s="91" t="n">
        <f aca="false">'Annual Summary'!D43</f>
        <v>-2766367.12378544</v>
      </c>
      <c r="E50" s="91" t="n">
        <f aca="false">'Annual Summary'!E43</f>
        <v>-3375129.51803544</v>
      </c>
      <c r="F50" s="91" t="n">
        <f aca="false">'Annual Summary'!F43</f>
        <v>-4442227.01309845</v>
      </c>
      <c r="G50" s="91" t="n">
        <f aca="false">'Annual Summary'!G43</f>
        <v>-5672267.25703871</v>
      </c>
      <c r="H50" s="91" t="n">
        <f aca="false">'Annual Summary'!H43</f>
        <v>-7041165.55091377</v>
      </c>
      <c r="I50" s="91" t="n">
        <f aca="false">'Annual Summary'!I43</f>
        <v>-7362005.94558217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3927995.26604322</v>
      </c>
      <c r="C52" s="91" t="n">
        <f aca="false">'Annual Summary'!C42</f>
        <v>6765803.97151355</v>
      </c>
      <c r="D52" s="91" t="n">
        <f aca="false">'Annual Summary'!D42</f>
        <v>7999187.48620733</v>
      </c>
      <c r="E52" s="91" t="n">
        <f aca="false">'Annual Summary'!E42</f>
        <v>6295008.18199426</v>
      </c>
      <c r="F52" s="91" t="n">
        <f aca="false">'Annual Summary'!F42</f>
        <v>2604798.19222724</v>
      </c>
      <c r="G52" s="91" t="n">
        <f aca="false">'Annual Summary'!G42</f>
        <v>-2916787.85733512</v>
      </c>
      <c r="H52" s="91" t="n">
        <f aca="false">'Annual Summary'!H42</f>
        <v>-8548805.62788873</v>
      </c>
      <c r="I52" s="91" t="n">
        <f aca="false">'Annual Summary'!I42</f>
        <v>-9963746.05300318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3927995.26604322</v>
      </c>
      <c r="C71" s="81" t="n">
        <f aca="false">'Annual Summary'!C42</f>
        <v>6765803.97151355</v>
      </c>
      <c r="D71" s="81" t="n">
        <f aca="false">'Annual Summary'!E42</f>
        <v>6295008.18199426</v>
      </c>
      <c r="E71" s="81" t="n">
        <f aca="false">'Annual Summary'!G42</f>
        <v>-2916787.85733512</v>
      </c>
      <c r="F71" s="81" t="n">
        <f aca="false">'Annual Summary'!I42</f>
        <v>-9963746.05300318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-688002.19</v>
      </c>
      <c r="C72" s="97" t="n">
        <f aca="false">'Annual Summary'!C43</f>
        <v>-3201738.49588545</v>
      </c>
      <c r="D72" s="97" t="n">
        <f aca="false">'Annual Summary'!E43</f>
        <v>-3375129.51803544</v>
      </c>
      <c r="E72" s="97" t="n">
        <f aca="false">'Annual Summary'!G43</f>
        <v>-5672267.25703871</v>
      </c>
      <c r="F72" s="97" t="n">
        <f aca="false">'Annual Summary'!I43</f>
        <v>-7362005.94558217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-688002.19</v>
      </c>
      <c r="C100" s="81" t="n">
        <f aca="false">'Annual Summary'!C43</f>
        <v>-3201738.49588545</v>
      </c>
      <c r="D100" s="81" t="n">
        <f aca="false">'Annual Summary'!D43</f>
        <v>-2766367.12378544</v>
      </c>
      <c r="E100" s="81" t="n">
        <f aca="false">'Annual Summary'!E43</f>
        <v>-3375129.51803544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-216949.85621</v>
      </c>
      <c r="C101" s="81" t="n">
        <f aca="false">'Annual Summary'!C15*0.05</f>
        <v>-328613.102065</v>
      </c>
      <c r="D101" s="81" t="n">
        <f aca="false">'Annual Summary'!D15*0.05</f>
        <v>-327356.9698313</v>
      </c>
      <c r="E101" s="81" t="n">
        <f aca="false">'Annual Summary'!E15*0.05</f>
        <v>-265358.806687926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-904952.04621</v>
      </c>
      <c r="C102" s="81" t="n">
        <f aca="false">C100+C101</f>
        <v>-3530351.59795044</v>
      </c>
      <c r="D102" s="81" t="n">
        <f aca="false">D100+D101</f>
        <v>-3093724.09361674</v>
      </c>
      <c r="E102" s="81" t="n">
        <f aca="false">E100+E101</f>
        <v>-3640488.32472337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-904952.04621</v>
      </c>
      <c r="C103" s="69" t="n">
        <f aca="false">C102-C99</f>
        <v>-3530351.59795044</v>
      </c>
      <c r="D103" s="69" t="n">
        <f aca="false">D102-D99</f>
        <v>-3093724.09361674</v>
      </c>
      <c r="E103" s="69" t="n">
        <f aca="false">E102-E99</f>
        <v>-3640488.32472337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278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278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278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278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48235"/>
  </sheetPr>
  <dimension ref="A1:CH107"/>
  <sheetViews>
    <sheetView tabSelected="1" zoomScaleNormal="100" workbookViewId="0"/>
  </sheetViews>
  <sheetFormatPr defaultColWidth="8.7109375" defaultRowHeight="15" x14ac:dyDescent="0.25"/>
  <cols>
    <col min="1" max="1" width="40" customWidth="1"/>
    <col min="2" max="86" width="27" customWidth="1"/>
  </cols>
  <sheetData>
    <row r="1" spans="1:11" ht="15.75" customHeight="1" x14ac:dyDescent="0.25">
      <c r="A1" s="1" t="s">
        <v>0</v>
      </c>
    </row>
    <row r="2" spans="1:11" ht="15" customHeight="1" x14ac:dyDescent="0.25">
      <c r="A2" s="2" t="s">
        <v>1</v>
      </c>
      <c r="B2" s="3" t="s">
        <v>2</v>
      </c>
    </row>
    <row r="4" spans="1:11" ht="15" customHeight="1" x14ac:dyDescent="0.25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15" customHeight="1" x14ac:dyDescent="0.25">
      <c r="A5" s="2" t="s">
        <v>4</v>
      </c>
      <c r="B5" s="2" t="s">
        <v>0</v>
      </c>
    </row>
    <row r="6" spans="1:11" ht="15" customHeight="1" x14ac:dyDescent="0.25">
      <c r="A6" s="2" t="s">
        <v>5</v>
      </c>
      <c r="B6" s="2" t="s">
        <v>6</v>
      </c>
    </row>
    <row r="7" spans="1:11" ht="15" customHeight="1" x14ac:dyDescent="0.25">
      <c r="A7" s="2" t="s">
        <v>7</v>
      </c>
      <c r="B7" s="5">
        <v>60</v>
      </c>
    </row>
    <row r="8" spans="1:11" ht="15" customHeight="1" x14ac:dyDescent="0.25">
      <c r="A8" s="2" t="s">
        <v>8</v>
      </c>
      <c r="B8" s="2" t="s">
        <v>9</v>
      </c>
    </row>
    <row r="9" spans="1:11" ht="15" customHeight="1" x14ac:dyDescent="0.25">
      <c r="A9" s="2" t="s">
        <v>10</v>
      </c>
      <c r="B9" s="6">
        <v>1400000</v>
      </c>
    </row>
    <row r="10" spans="1:11" ht="15" customHeight="1" x14ac:dyDescent="0.25">
      <c r="A10" s="2" t="s">
        <v>11</v>
      </c>
      <c r="B10" s="6">
        <v>1609391</v>
      </c>
    </row>
    <row r="11" spans="1:11" ht="15" customHeight="1" x14ac:dyDescent="0.25">
      <c r="A11" s="2" t="s">
        <v>12</v>
      </c>
      <c r="B11" s="6">
        <v>3419763</v>
      </c>
    </row>
    <row r="12" spans="1:11" ht="15" customHeight="1" x14ac:dyDescent="0.25">
      <c r="A12" s="2" t="s">
        <v>13</v>
      </c>
      <c r="B12" s="7">
        <f>B16</f>
        <v>9009665</v>
      </c>
    </row>
    <row r="14" spans="1:11" ht="15" customHeight="1" x14ac:dyDescent="0.25">
      <c r="A14" s="8" t="s">
        <v>14</v>
      </c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 ht="15" customHeight="1" x14ac:dyDescent="0.25">
      <c r="B15" s="9" t="s">
        <v>15</v>
      </c>
      <c r="C15" s="9" t="s">
        <v>16</v>
      </c>
      <c r="D15" s="9" t="s">
        <v>17</v>
      </c>
      <c r="E15" s="9" t="s">
        <v>18</v>
      </c>
      <c r="F15" s="9" t="s">
        <v>19</v>
      </c>
      <c r="G15" s="9" t="s">
        <v>20</v>
      </c>
      <c r="H15" s="9" t="s">
        <v>21</v>
      </c>
      <c r="I15" s="9" t="s">
        <v>22</v>
      </c>
      <c r="J15" s="9" t="s">
        <v>23</v>
      </c>
    </row>
    <row r="16" spans="1:11" ht="15" customHeight="1" x14ac:dyDescent="0.25">
      <c r="A16" s="2" t="s">
        <v>13</v>
      </c>
      <c r="B16" s="7">
        <f t="shared" ref="B16:B24" si="0">C16+D16+E16+F16+G16+H16+I16+J16</f>
        <v>9009665</v>
      </c>
      <c r="C16" s="6">
        <f t="shared" ref="C16:C24" si="1">SUM(C99:K99)</f>
        <v>0</v>
      </c>
      <c r="D16" s="6">
        <f t="shared" ref="D16:D24" si="2">SUM(L99:W99)</f>
        <v>1084381.6599999999</v>
      </c>
      <c r="E16" s="6">
        <f t="shared" ref="E16:E24" si="3">SUM(X99:AI99)</f>
        <v>3698017.3899999997</v>
      </c>
      <c r="F16" s="6">
        <f t="shared" ref="F16:F24" si="4">SUM(AJ99:AU99)</f>
        <v>2427299.0100000002</v>
      </c>
      <c r="G16" s="6">
        <f t="shared" ref="G16:G24" si="5">SUM(AV99:BG99)</f>
        <v>1369332.42</v>
      </c>
      <c r="H16" s="6">
        <f t="shared" ref="H16:H24" si="6">SUM(BH99:BS99)</f>
        <v>430634.52</v>
      </c>
      <c r="I16" s="6">
        <f t="shared" ref="I16:I24" si="7">SUM(BT99:CE99)</f>
        <v>0</v>
      </c>
      <c r="J16" s="6">
        <f t="shared" ref="J16:J24" si="8">SUM(CF99:CH99)</f>
        <v>0</v>
      </c>
    </row>
    <row r="17" spans="1:11" ht="15" customHeight="1" x14ac:dyDescent="0.25">
      <c r="A17" s="2" t="s">
        <v>24</v>
      </c>
      <c r="B17" s="7">
        <f t="shared" si="0"/>
        <v>-1500039</v>
      </c>
      <c r="C17" s="6">
        <f t="shared" si="1"/>
        <v>0</v>
      </c>
      <c r="D17" s="6">
        <f t="shared" si="2"/>
        <v>-202088</v>
      </c>
      <c r="E17" s="6">
        <f t="shared" si="3"/>
        <v>-397927</v>
      </c>
      <c r="F17" s="6">
        <f t="shared" si="4"/>
        <v>-450012</v>
      </c>
      <c r="G17" s="6">
        <f t="shared" si="5"/>
        <v>-450012</v>
      </c>
      <c r="H17" s="6">
        <f t="shared" si="6"/>
        <v>0</v>
      </c>
      <c r="I17" s="6">
        <f t="shared" si="7"/>
        <v>0</v>
      </c>
      <c r="J17" s="6">
        <f t="shared" si="8"/>
        <v>0</v>
      </c>
    </row>
    <row r="18" spans="1:11" ht="15" customHeight="1" x14ac:dyDescent="0.25">
      <c r="A18" s="2" t="s">
        <v>25</v>
      </c>
      <c r="B18" s="7">
        <f t="shared" si="0"/>
        <v>-456000</v>
      </c>
      <c r="C18" s="6">
        <f t="shared" si="1"/>
        <v>0</v>
      </c>
      <c r="D18" s="6">
        <f t="shared" si="2"/>
        <v>-114000</v>
      </c>
      <c r="E18" s="6">
        <f t="shared" si="3"/>
        <v>-114000</v>
      </c>
      <c r="F18" s="6">
        <f t="shared" si="4"/>
        <v>-114000</v>
      </c>
      <c r="G18" s="6">
        <f t="shared" si="5"/>
        <v>-114000</v>
      </c>
      <c r="H18" s="6">
        <f t="shared" si="6"/>
        <v>0</v>
      </c>
      <c r="I18" s="6">
        <f t="shared" si="7"/>
        <v>0</v>
      </c>
      <c r="J18" s="6">
        <f t="shared" si="8"/>
        <v>0</v>
      </c>
    </row>
    <row r="19" spans="1:11" ht="15" customHeight="1" x14ac:dyDescent="0.25">
      <c r="A19" s="10" t="s">
        <v>26</v>
      </c>
      <c r="B19" s="11">
        <f t="shared" si="0"/>
        <v>7053626</v>
      </c>
      <c r="C19" s="11">
        <f t="shared" si="1"/>
        <v>0</v>
      </c>
      <c r="D19" s="11">
        <f t="shared" si="2"/>
        <v>768293.65999999992</v>
      </c>
      <c r="E19" s="11">
        <f t="shared" si="3"/>
        <v>3186090.3899999997</v>
      </c>
      <c r="F19" s="11">
        <f t="shared" si="4"/>
        <v>1863287.0100000002</v>
      </c>
      <c r="G19" s="11">
        <f t="shared" si="5"/>
        <v>805320.42000000016</v>
      </c>
      <c r="H19" s="11">
        <f t="shared" si="6"/>
        <v>430634.52</v>
      </c>
      <c r="I19" s="11">
        <f t="shared" si="7"/>
        <v>0</v>
      </c>
      <c r="J19" s="11">
        <f t="shared" si="8"/>
        <v>0</v>
      </c>
    </row>
    <row r="20" spans="1:11" ht="15" customHeight="1" x14ac:dyDescent="0.25">
      <c r="A20" s="2" t="s">
        <v>27</v>
      </c>
      <c r="B20" s="7">
        <f t="shared" si="0"/>
        <v>563192.61699999997</v>
      </c>
      <c r="C20" s="6">
        <f t="shared" si="1"/>
        <v>0</v>
      </c>
      <c r="D20" s="6">
        <f t="shared" si="2"/>
        <v>93581.82</v>
      </c>
      <c r="E20" s="6">
        <f t="shared" si="3"/>
        <v>150000</v>
      </c>
      <c r="F20" s="6">
        <f t="shared" si="4"/>
        <v>148450.302</v>
      </c>
      <c r="G20" s="6">
        <f t="shared" si="5"/>
        <v>136933.242</v>
      </c>
      <c r="H20" s="6">
        <f t="shared" si="6"/>
        <v>34227.253000000004</v>
      </c>
      <c r="I20" s="6">
        <f t="shared" si="7"/>
        <v>0</v>
      </c>
      <c r="J20" s="6">
        <f t="shared" si="8"/>
        <v>0</v>
      </c>
    </row>
    <row r="21" spans="1:11" ht="15" customHeight="1" x14ac:dyDescent="0.25">
      <c r="A21" s="10" t="s">
        <v>28</v>
      </c>
      <c r="B21" s="11">
        <f t="shared" si="0"/>
        <v>6490433.3829999994</v>
      </c>
      <c r="C21" s="11">
        <f t="shared" si="1"/>
        <v>0</v>
      </c>
      <c r="D21" s="11">
        <f t="shared" si="2"/>
        <v>674711.83999999985</v>
      </c>
      <c r="E21" s="11">
        <f t="shared" si="3"/>
        <v>3036090.3899999997</v>
      </c>
      <c r="F21" s="11">
        <f t="shared" si="4"/>
        <v>1714836.7080000001</v>
      </c>
      <c r="G21" s="11">
        <f t="shared" si="5"/>
        <v>668387.17799999996</v>
      </c>
      <c r="H21" s="11">
        <f t="shared" si="6"/>
        <v>396407.26699999999</v>
      </c>
      <c r="I21" s="11">
        <f t="shared" si="7"/>
        <v>0</v>
      </c>
      <c r="J21" s="11">
        <f t="shared" si="8"/>
        <v>0</v>
      </c>
    </row>
    <row r="22" spans="1:11" ht="15" customHeight="1" x14ac:dyDescent="0.25">
      <c r="A22" s="2" t="s">
        <v>29</v>
      </c>
      <c r="B22" s="7">
        <f t="shared" si="0"/>
        <v>2951665.926</v>
      </c>
      <c r="C22" s="6">
        <f t="shared" si="1"/>
        <v>0</v>
      </c>
      <c r="D22" s="6">
        <f t="shared" si="2"/>
        <v>269884.73600000003</v>
      </c>
      <c r="E22" s="6">
        <f t="shared" si="3"/>
        <v>1335772.7319999998</v>
      </c>
      <c r="F22" s="6">
        <f t="shared" si="4"/>
        <v>813611.23549999995</v>
      </c>
      <c r="G22" s="6">
        <f t="shared" si="5"/>
        <v>334193.58899999998</v>
      </c>
      <c r="H22" s="6">
        <f t="shared" si="6"/>
        <v>198203.6335</v>
      </c>
      <c r="I22" s="6">
        <f t="shared" si="7"/>
        <v>0</v>
      </c>
      <c r="J22" s="6">
        <f t="shared" si="8"/>
        <v>0</v>
      </c>
    </row>
    <row r="23" spans="1:11" ht="15" customHeight="1" x14ac:dyDescent="0.25">
      <c r="A23" s="2" t="s">
        <v>30</v>
      </c>
      <c r="B23" s="7">
        <f t="shared" si="0"/>
        <v>3538767.4570000004</v>
      </c>
      <c r="C23" s="6">
        <f t="shared" si="1"/>
        <v>0</v>
      </c>
      <c r="D23" s="6">
        <f t="shared" si="2"/>
        <v>404827.10399999993</v>
      </c>
      <c r="E23" s="6">
        <f t="shared" si="3"/>
        <v>1700317.6580000001</v>
      </c>
      <c r="F23" s="6">
        <f t="shared" si="4"/>
        <v>901225.47249999992</v>
      </c>
      <c r="G23" s="6">
        <f t="shared" si="5"/>
        <v>334193.58899999998</v>
      </c>
      <c r="H23" s="6">
        <f t="shared" si="6"/>
        <v>198203.6335</v>
      </c>
      <c r="I23" s="6">
        <f t="shared" si="7"/>
        <v>0</v>
      </c>
      <c r="J23" s="6">
        <f t="shared" si="8"/>
        <v>0</v>
      </c>
    </row>
    <row r="24" spans="1:11" ht="15.75" customHeight="1" x14ac:dyDescent="0.25">
      <c r="A24" s="12" t="s">
        <v>31</v>
      </c>
      <c r="B24" s="13">
        <f t="shared" si="0"/>
        <v>4101960.074</v>
      </c>
      <c r="C24" s="13">
        <f t="shared" si="1"/>
        <v>0</v>
      </c>
      <c r="D24" s="13">
        <f t="shared" si="2"/>
        <v>498408.924</v>
      </c>
      <c r="E24" s="13">
        <f t="shared" si="3"/>
        <v>1850317.6580000001</v>
      </c>
      <c r="F24" s="13">
        <f t="shared" si="4"/>
        <v>1049675.7745000001</v>
      </c>
      <c r="G24" s="13">
        <f t="shared" si="5"/>
        <v>471126.83100000001</v>
      </c>
      <c r="H24" s="13">
        <f t="shared" si="6"/>
        <v>232430.88650000002</v>
      </c>
      <c r="I24" s="13">
        <f t="shared" si="7"/>
        <v>0</v>
      </c>
      <c r="J24" s="13">
        <f t="shared" si="8"/>
        <v>0</v>
      </c>
    </row>
    <row r="26" spans="1:11" ht="15" customHeight="1" x14ac:dyDescent="0.25">
      <c r="A26" s="14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1:11" ht="15" customHeight="1" x14ac:dyDescent="0.25">
      <c r="A27" s="15" t="s">
        <v>33</v>
      </c>
      <c r="B27" s="15" t="s">
        <v>34</v>
      </c>
      <c r="C27" s="15" t="s">
        <v>35</v>
      </c>
      <c r="D27" s="15" t="s">
        <v>10</v>
      </c>
      <c r="E27" s="15" t="s">
        <v>36</v>
      </c>
    </row>
    <row r="28" spans="1:11" ht="15" customHeight="1" x14ac:dyDescent="0.25">
      <c r="A28" s="2" t="s">
        <v>37</v>
      </c>
      <c r="B28" s="5">
        <v>6</v>
      </c>
      <c r="C28" s="2" t="s">
        <v>38</v>
      </c>
      <c r="D28" s="6">
        <v>1400000</v>
      </c>
      <c r="E28" s="16" t="s">
        <v>39</v>
      </c>
    </row>
    <row r="29" spans="1:11" ht="15" customHeight="1" x14ac:dyDescent="0.25">
      <c r="A29" s="2" t="s">
        <v>40</v>
      </c>
      <c r="B29" s="5">
        <v>18</v>
      </c>
      <c r="C29" s="2" t="s">
        <v>41</v>
      </c>
      <c r="D29" s="6">
        <v>1400000</v>
      </c>
      <c r="E29" s="16" t="s">
        <v>42</v>
      </c>
    </row>
    <row r="30" spans="1:11" ht="15" customHeight="1" x14ac:dyDescent="0.25">
      <c r="A30" s="2" t="s">
        <v>43</v>
      </c>
      <c r="B30" s="5">
        <v>18</v>
      </c>
      <c r="C30" s="2" t="s">
        <v>44</v>
      </c>
      <c r="D30" s="6">
        <v>1400000</v>
      </c>
      <c r="E30" s="16" t="s">
        <v>45</v>
      </c>
    </row>
    <row r="31" spans="1:11" ht="15" customHeight="1" x14ac:dyDescent="0.25">
      <c r="A31" s="2" t="s">
        <v>46</v>
      </c>
      <c r="B31" s="5">
        <v>18</v>
      </c>
      <c r="C31" s="2" t="s">
        <v>47</v>
      </c>
      <c r="D31" s="6">
        <v>1400000</v>
      </c>
      <c r="E31" s="16" t="s">
        <v>48</v>
      </c>
    </row>
    <row r="32" spans="1:11" ht="15" customHeight="1" x14ac:dyDescent="0.25">
      <c r="A32" s="15" t="s">
        <v>15</v>
      </c>
      <c r="B32" s="17">
        <v>60</v>
      </c>
      <c r="C32" s="15" t="s">
        <v>49</v>
      </c>
      <c r="D32" s="18">
        <v>1400000</v>
      </c>
    </row>
    <row r="34" spans="1:11" ht="15" customHeight="1" x14ac:dyDescent="0.25">
      <c r="A34" s="19" t="s">
        <v>50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</row>
    <row r="35" spans="1:11" ht="15" customHeight="1" x14ac:dyDescent="0.25">
      <c r="A35" s="20" t="s">
        <v>51</v>
      </c>
      <c r="B35" s="20" t="s">
        <v>52</v>
      </c>
      <c r="C35" s="20" t="s">
        <v>53</v>
      </c>
      <c r="D35" s="20" t="s">
        <v>54</v>
      </c>
      <c r="E35" s="20" t="s">
        <v>55</v>
      </c>
      <c r="F35" s="20" t="s">
        <v>56</v>
      </c>
    </row>
    <row r="36" spans="1:11" ht="15" customHeight="1" x14ac:dyDescent="0.25">
      <c r="A36" s="2" t="s">
        <v>57</v>
      </c>
      <c r="B36" s="2" t="s">
        <v>58</v>
      </c>
      <c r="C36" s="2" t="s">
        <v>59</v>
      </c>
      <c r="D36" s="6">
        <v>14000</v>
      </c>
      <c r="E36" s="6">
        <v>840000</v>
      </c>
      <c r="F36" s="21" t="s">
        <v>60</v>
      </c>
    </row>
    <row r="37" spans="1:11" ht="15" customHeight="1" x14ac:dyDescent="0.25">
      <c r="A37" s="2" t="s">
        <v>61</v>
      </c>
      <c r="B37" s="2" t="s">
        <v>62</v>
      </c>
      <c r="C37" s="2" t="s">
        <v>63</v>
      </c>
      <c r="D37" s="6">
        <v>96563</v>
      </c>
      <c r="E37" s="6">
        <v>5793808</v>
      </c>
      <c r="F37" s="21" t="s">
        <v>64</v>
      </c>
    </row>
    <row r="38" spans="1:11" ht="15" customHeight="1" x14ac:dyDescent="0.25">
      <c r="A38" s="2" t="s">
        <v>65</v>
      </c>
      <c r="B38" s="2" t="s">
        <v>66</v>
      </c>
      <c r="C38" s="2" t="s">
        <v>67</v>
      </c>
      <c r="D38" s="6">
        <v>5400</v>
      </c>
      <c r="E38" s="6">
        <v>324000</v>
      </c>
      <c r="F38" s="21" t="s">
        <v>68</v>
      </c>
    </row>
    <row r="39" spans="1:11" ht="15" customHeight="1" x14ac:dyDescent="0.25">
      <c r="A39" s="2" t="s">
        <v>69</v>
      </c>
      <c r="B39" s="2" t="s">
        <v>58</v>
      </c>
      <c r="C39" s="2" t="s">
        <v>70</v>
      </c>
      <c r="D39" s="6">
        <v>34198</v>
      </c>
      <c r="E39" s="6">
        <v>2051858</v>
      </c>
      <c r="F39" s="21" t="s">
        <v>71</v>
      </c>
    </row>
    <row r="40" spans="1:11" ht="15" customHeight="1" x14ac:dyDescent="0.25">
      <c r="A40" s="20" t="s">
        <v>13</v>
      </c>
      <c r="D40" s="22">
        <v>150161</v>
      </c>
      <c r="E40" s="22">
        <v>9009665</v>
      </c>
    </row>
    <row r="42" spans="1:11" ht="15" customHeight="1" x14ac:dyDescent="0.25">
      <c r="A42" s="4" t="s">
        <v>72</v>
      </c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 ht="15" customHeight="1" x14ac:dyDescent="0.25">
      <c r="A43" s="23" t="s">
        <v>73</v>
      </c>
      <c r="B43" s="23" t="s">
        <v>74</v>
      </c>
      <c r="C43" s="23" t="s">
        <v>75</v>
      </c>
      <c r="D43" s="23" t="s">
        <v>76</v>
      </c>
      <c r="E43" s="23" t="s">
        <v>77</v>
      </c>
      <c r="F43" s="23" t="s">
        <v>78</v>
      </c>
      <c r="G43" s="23" t="s">
        <v>79</v>
      </c>
    </row>
    <row r="44" spans="1:11" ht="15" customHeight="1" x14ac:dyDescent="0.25">
      <c r="A44" s="2" t="s">
        <v>80</v>
      </c>
      <c r="B44" s="6">
        <v>125000</v>
      </c>
      <c r="C44" s="6">
        <v>10417</v>
      </c>
      <c r="D44" s="2" t="s">
        <v>81</v>
      </c>
      <c r="E44" s="2" t="s">
        <v>82</v>
      </c>
      <c r="F44" s="2">
        <v>47</v>
      </c>
      <c r="G44" s="6">
        <f>C44*F44</f>
        <v>489599</v>
      </c>
    </row>
    <row r="45" spans="1:11" ht="15" customHeight="1" x14ac:dyDescent="0.25">
      <c r="A45" s="2" t="s">
        <v>83</v>
      </c>
      <c r="B45" s="6">
        <v>90000</v>
      </c>
      <c r="C45" s="6">
        <v>7500</v>
      </c>
      <c r="D45" s="2" t="s">
        <v>84</v>
      </c>
      <c r="E45" s="2" t="s">
        <v>82</v>
      </c>
      <c r="F45" s="2">
        <v>44</v>
      </c>
      <c r="G45" s="6">
        <f>C45*F45</f>
        <v>330000</v>
      </c>
    </row>
    <row r="46" spans="1:11" ht="15" customHeight="1" x14ac:dyDescent="0.25">
      <c r="A46" s="2" t="s">
        <v>85</v>
      </c>
      <c r="B46" s="6">
        <v>110000</v>
      </c>
      <c r="C46" s="6">
        <v>9167</v>
      </c>
      <c r="D46" s="2" t="s">
        <v>86</v>
      </c>
      <c r="E46" s="2" t="s">
        <v>82</v>
      </c>
      <c r="F46" s="2">
        <v>39</v>
      </c>
      <c r="G46" s="6">
        <f>C46*F46</f>
        <v>357513</v>
      </c>
    </row>
    <row r="47" spans="1:11" ht="15" customHeight="1" x14ac:dyDescent="0.25">
      <c r="A47" s="2" t="s">
        <v>87</v>
      </c>
      <c r="B47" s="6">
        <v>125000</v>
      </c>
      <c r="C47" s="6">
        <v>10417</v>
      </c>
      <c r="D47" s="2" t="s">
        <v>88</v>
      </c>
      <c r="E47" s="2" t="s">
        <v>82</v>
      </c>
      <c r="F47" s="2">
        <v>31</v>
      </c>
      <c r="G47" s="6">
        <f>C47*F47</f>
        <v>322927</v>
      </c>
    </row>
    <row r="48" spans="1:11" ht="15" customHeight="1" x14ac:dyDescent="0.25">
      <c r="A48" s="23" t="s">
        <v>89</v>
      </c>
      <c r="G48" s="24">
        <f>SUM(G44:G47)</f>
        <v>1500039</v>
      </c>
    </row>
    <row r="50" spans="1:11" ht="15" customHeight="1" x14ac:dyDescent="0.25">
      <c r="A50" s="25" t="s">
        <v>90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 x14ac:dyDescent="0.25">
      <c r="A51" s="26" t="s">
        <v>91</v>
      </c>
      <c r="B51" s="26" t="s">
        <v>92</v>
      </c>
      <c r="C51" s="26" t="s">
        <v>75</v>
      </c>
      <c r="D51" s="26" t="s">
        <v>93</v>
      </c>
      <c r="E51" s="26" t="s">
        <v>15</v>
      </c>
    </row>
    <row r="52" spans="1:11" ht="15" customHeight="1" x14ac:dyDescent="0.25">
      <c r="A52" s="2" t="s">
        <v>94</v>
      </c>
      <c r="B52" s="6">
        <v>40000</v>
      </c>
      <c r="C52" s="6">
        <v>3333</v>
      </c>
      <c r="D52" s="2">
        <v>4</v>
      </c>
      <c r="E52" s="6">
        <v>160000</v>
      </c>
    </row>
    <row r="53" spans="1:11" ht="15" customHeight="1" x14ac:dyDescent="0.25">
      <c r="A53" s="2" t="s">
        <v>95</v>
      </c>
      <c r="B53" s="6">
        <v>20000</v>
      </c>
      <c r="C53" s="6">
        <v>1667</v>
      </c>
      <c r="D53" s="2">
        <v>4</v>
      </c>
      <c r="E53" s="6">
        <v>80000</v>
      </c>
    </row>
    <row r="54" spans="1:11" ht="15" customHeight="1" x14ac:dyDescent="0.25">
      <c r="A54" s="2" t="s">
        <v>96</v>
      </c>
      <c r="B54" s="6">
        <v>30000</v>
      </c>
      <c r="C54" s="6">
        <v>2500</v>
      </c>
      <c r="D54" s="2">
        <v>4</v>
      </c>
      <c r="E54" s="6">
        <v>120000</v>
      </c>
    </row>
    <row r="55" spans="1:11" ht="15" customHeight="1" x14ac:dyDescent="0.25">
      <c r="A55" s="2" t="s">
        <v>97</v>
      </c>
      <c r="B55" s="6">
        <v>24000</v>
      </c>
      <c r="C55" s="6">
        <v>2000</v>
      </c>
      <c r="D55" s="2">
        <v>4</v>
      </c>
      <c r="E55" s="6">
        <v>96000</v>
      </c>
    </row>
    <row r="56" spans="1:11" ht="15" customHeight="1" x14ac:dyDescent="0.25">
      <c r="A56" s="26" t="s">
        <v>98</v>
      </c>
      <c r="E56" s="27">
        <v>456000</v>
      </c>
    </row>
    <row r="57" spans="1:11" ht="15" customHeight="1" x14ac:dyDescent="0.25">
      <c r="A57" s="28" t="s">
        <v>99</v>
      </c>
    </row>
    <row r="59" spans="1:11" ht="15" customHeight="1" x14ac:dyDescent="0.25">
      <c r="A59" s="29" t="s">
        <v>100</v>
      </c>
      <c r="B59" s="29"/>
      <c r="C59" s="29"/>
      <c r="D59" s="29"/>
      <c r="E59" s="29"/>
      <c r="F59" s="29"/>
      <c r="G59" s="29"/>
      <c r="H59" s="29"/>
      <c r="I59" s="29"/>
      <c r="J59" s="29"/>
      <c r="K59" s="29"/>
    </row>
    <row r="60" spans="1:11" ht="15" customHeight="1" x14ac:dyDescent="0.25">
      <c r="A60" s="2" t="s">
        <v>101</v>
      </c>
      <c r="B60" s="6">
        <f>B16</f>
        <v>9009665</v>
      </c>
    </row>
    <row r="61" spans="1:11" ht="15" customHeight="1" x14ac:dyDescent="0.25">
      <c r="A61" s="2" t="s">
        <v>24</v>
      </c>
      <c r="B61" s="6">
        <f>B17</f>
        <v>-1500039</v>
      </c>
    </row>
    <row r="62" spans="1:11" ht="15" customHeight="1" x14ac:dyDescent="0.25">
      <c r="A62" s="2" t="s">
        <v>25</v>
      </c>
      <c r="B62" s="6">
        <f>B18</f>
        <v>-456000</v>
      </c>
    </row>
    <row r="63" spans="1:11" ht="15" customHeight="1" x14ac:dyDescent="0.25">
      <c r="A63" s="15" t="s">
        <v>26</v>
      </c>
      <c r="B63" s="18">
        <f>B60+B61+B62</f>
        <v>7053626</v>
      </c>
    </row>
    <row r="64" spans="1:11" ht="15" customHeight="1" x14ac:dyDescent="0.25">
      <c r="A64" s="2" t="s">
        <v>102</v>
      </c>
      <c r="B64" s="6">
        <f>-B20</f>
        <v>-563192.61699999997</v>
      </c>
    </row>
    <row r="65" spans="1:11" ht="15" customHeight="1" x14ac:dyDescent="0.25">
      <c r="A65" s="15" t="s">
        <v>28</v>
      </c>
      <c r="B65" s="18">
        <f>B63+B64</f>
        <v>6490433.3830000004</v>
      </c>
    </row>
    <row r="66" spans="1:11" ht="15" customHeight="1" x14ac:dyDescent="0.25">
      <c r="A66" s="2" t="s">
        <v>103</v>
      </c>
      <c r="B66" s="6">
        <f>-B22</f>
        <v>-2951665.926</v>
      </c>
    </row>
    <row r="67" spans="1:11" ht="15" customHeight="1" x14ac:dyDescent="0.25">
      <c r="A67" s="15" t="s">
        <v>30</v>
      </c>
      <c r="B67" s="18">
        <f>B65+B66</f>
        <v>3538767.4570000004</v>
      </c>
    </row>
    <row r="68" spans="1:11" ht="15" customHeight="1" x14ac:dyDescent="0.25">
      <c r="A68" s="2" t="s">
        <v>27</v>
      </c>
      <c r="B68" s="6">
        <f>B20</f>
        <v>563192.61699999997</v>
      </c>
    </row>
    <row r="69" spans="1:11" ht="15" customHeight="1" x14ac:dyDescent="0.25">
      <c r="A69" s="15" t="s">
        <v>31</v>
      </c>
      <c r="B69" s="18">
        <f>B67+B68</f>
        <v>4101960.0740000005</v>
      </c>
    </row>
    <row r="71" spans="1:11" ht="15" customHeight="1" x14ac:dyDescent="0.25">
      <c r="A71" s="30" t="s">
        <v>104</v>
      </c>
      <c r="B71" s="30"/>
      <c r="C71" s="30"/>
      <c r="D71" s="30"/>
      <c r="E71" s="30"/>
      <c r="F71" s="30"/>
      <c r="G71" s="30"/>
      <c r="H71" s="30"/>
      <c r="I71" s="30"/>
      <c r="J71" s="30"/>
      <c r="K71" s="30"/>
    </row>
    <row r="72" spans="1:11" ht="15" customHeight="1" x14ac:dyDescent="0.25">
      <c r="A72" s="20" t="s">
        <v>105</v>
      </c>
      <c r="B72" s="20" t="s">
        <v>73</v>
      </c>
      <c r="C72" s="20" t="s">
        <v>106</v>
      </c>
    </row>
    <row r="73" spans="1:11" ht="31.5" customHeight="1" x14ac:dyDescent="0.25">
      <c r="A73" s="3" t="s">
        <v>107</v>
      </c>
      <c r="B73" s="2" t="s">
        <v>108</v>
      </c>
      <c r="C73" s="40" t="s">
        <v>109</v>
      </c>
      <c r="D73" s="41"/>
      <c r="E73" s="41"/>
      <c r="F73" s="41"/>
      <c r="G73" s="41"/>
    </row>
    <row r="74" spans="1:11" ht="31.5" customHeight="1" x14ac:dyDescent="0.25">
      <c r="A74" s="3" t="s">
        <v>110</v>
      </c>
      <c r="B74" s="2" t="s">
        <v>111</v>
      </c>
      <c r="C74" s="40" t="s">
        <v>112</v>
      </c>
      <c r="D74" s="41"/>
      <c r="E74" s="41"/>
      <c r="F74" s="41"/>
      <c r="G74" s="41"/>
    </row>
    <row r="75" spans="1:11" ht="31.5" customHeight="1" x14ac:dyDescent="0.25">
      <c r="A75" s="3" t="s">
        <v>113</v>
      </c>
      <c r="B75" s="2" t="s">
        <v>114</v>
      </c>
      <c r="C75" s="40" t="s">
        <v>115</v>
      </c>
      <c r="D75" s="41"/>
      <c r="E75" s="41"/>
      <c r="F75" s="41"/>
      <c r="G75" s="41"/>
    </row>
    <row r="76" spans="1:11" ht="31.5" customHeight="1" x14ac:dyDescent="0.25">
      <c r="A76" s="3" t="s">
        <v>116</v>
      </c>
      <c r="B76" s="2" t="s">
        <v>117</v>
      </c>
      <c r="C76" s="40" t="s">
        <v>118</v>
      </c>
      <c r="D76" s="41"/>
      <c r="E76" s="41"/>
      <c r="F76" s="41"/>
      <c r="G76" s="41"/>
    </row>
    <row r="77" spans="1:11" ht="31.5" customHeight="1" x14ac:dyDescent="0.25">
      <c r="A77" s="3" t="s">
        <v>119</v>
      </c>
      <c r="B77" s="2" t="s">
        <v>117</v>
      </c>
      <c r="C77" s="40" t="s">
        <v>120</v>
      </c>
      <c r="D77" s="41"/>
      <c r="E77" s="41"/>
      <c r="F77" s="41"/>
      <c r="G77" s="41"/>
    </row>
    <row r="78" spans="1:11" ht="31.5" customHeight="1" x14ac:dyDescent="0.25">
      <c r="A78" s="3" t="s">
        <v>121</v>
      </c>
      <c r="B78" s="2" t="s">
        <v>122</v>
      </c>
      <c r="C78" s="40" t="s">
        <v>123</v>
      </c>
      <c r="D78" s="41"/>
      <c r="E78" s="41"/>
      <c r="F78" s="41"/>
      <c r="G78" s="41"/>
    </row>
    <row r="80" spans="1:11" ht="15" customHeight="1" x14ac:dyDescent="0.25">
      <c r="A80" s="31" t="s">
        <v>124</v>
      </c>
      <c r="B80" s="31"/>
      <c r="C80" s="31"/>
      <c r="D80" s="31"/>
      <c r="E80" s="31"/>
      <c r="F80" s="31"/>
      <c r="G80" s="31"/>
      <c r="H80" s="31"/>
      <c r="I80" s="31"/>
      <c r="J80" s="31"/>
      <c r="K80" s="31"/>
    </row>
    <row r="81" spans="1:11" ht="27.75" customHeight="1" x14ac:dyDescent="0.25">
      <c r="A81" s="3" t="s">
        <v>125</v>
      </c>
      <c r="B81" s="40" t="s">
        <v>126</v>
      </c>
      <c r="C81" s="41"/>
      <c r="D81" s="41"/>
      <c r="E81" s="41"/>
      <c r="F81" s="41"/>
      <c r="G81" s="41"/>
    </row>
    <row r="82" spans="1:11" ht="27.75" customHeight="1" x14ac:dyDescent="0.25">
      <c r="A82" s="3" t="s">
        <v>127</v>
      </c>
      <c r="B82" s="40" t="s">
        <v>128</v>
      </c>
      <c r="C82" s="41"/>
      <c r="D82" s="41"/>
      <c r="E82" s="41"/>
      <c r="F82" s="41"/>
      <c r="G82" s="41"/>
    </row>
    <row r="83" spans="1:11" ht="27.75" customHeight="1" x14ac:dyDescent="0.25">
      <c r="A83" s="3" t="s">
        <v>129</v>
      </c>
      <c r="B83" s="40" t="s">
        <v>130</v>
      </c>
      <c r="C83" s="41"/>
      <c r="D83" s="41"/>
      <c r="E83" s="41"/>
      <c r="F83" s="41"/>
      <c r="G83" s="41"/>
    </row>
    <row r="84" spans="1:11" ht="27.75" customHeight="1" x14ac:dyDescent="0.25">
      <c r="A84" s="3" t="s">
        <v>131</v>
      </c>
      <c r="B84" s="40" t="s">
        <v>132</v>
      </c>
      <c r="C84" s="41"/>
      <c r="D84" s="41"/>
      <c r="E84" s="41"/>
      <c r="F84" s="41"/>
      <c r="G84" s="41"/>
    </row>
    <row r="85" spans="1:11" ht="27.75" customHeight="1" x14ac:dyDescent="0.25">
      <c r="A85" s="3" t="s">
        <v>133</v>
      </c>
      <c r="B85" s="40" t="s">
        <v>134</v>
      </c>
      <c r="C85" s="41"/>
      <c r="D85" s="41"/>
      <c r="E85" s="41"/>
      <c r="F85" s="41"/>
      <c r="G85" s="41"/>
    </row>
    <row r="86" spans="1:11" ht="27.75" customHeight="1" x14ac:dyDescent="0.25">
      <c r="A86" s="3" t="s">
        <v>135</v>
      </c>
      <c r="B86" s="40" t="s">
        <v>136</v>
      </c>
      <c r="C86" s="41"/>
      <c r="D86" s="41"/>
      <c r="E86" s="41"/>
      <c r="F86" s="41"/>
      <c r="G86" s="41"/>
    </row>
    <row r="87" spans="1:11" ht="27.75" customHeight="1" x14ac:dyDescent="0.25">
      <c r="A87" s="3" t="s">
        <v>137</v>
      </c>
      <c r="B87" s="40" t="s">
        <v>138</v>
      </c>
      <c r="C87" s="41"/>
      <c r="D87" s="41"/>
      <c r="E87" s="41"/>
      <c r="F87" s="41"/>
      <c r="G87" s="41"/>
    </row>
    <row r="88" spans="1:11" ht="27.75" customHeight="1" x14ac:dyDescent="0.25">
      <c r="A88" s="3" t="s">
        <v>139</v>
      </c>
      <c r="B88" s="40" t="s">
        <v>140</v>
      </c>
      <c r="C88" s="41"/>
      <c r="D88" s="41"/>
      <c r="E88" s="41"/>
      <c r="F88" s="41"/>
      <c r="G88" s="41"/>
    </row>
    <row r="89" spans="1:11" ht="27.75" customHeight="1" x14ac:dyDescent="0.25">
      <c r="A89" s="3" t="s">
        <v>141</v>
      </c>
      <c r="B89" s="40" t="s">
        <v>142</v>
      </c>
      <c r="C89" s="41"/>
      <c r="D89" s="41"/>
      <c r="E89" s="41"/>
      <c r="F89" s="41"/>
      <c r="G89" s="41"/>
    </row>
    <row r="90" spans="1:11" ht="27.75" customHeight="1" x14ac:dyDescent="0.25">
      <c r="A90" s="3" t="s">
        <v>143</v>
      </c>
      <c r="B90" s="40" t="s">
        <v>144</v>
      </c>
      <c r="C90" s="41"/>
      <c r="D90" s="41"/>
      <c r="E90" s="41"/>
      <c r="F90" s="41"/>
      <c r="G90" s="41"/>
    </row>
    <row r="91" spans="1:11" ht="25.5" customHeight="1" x14ac:dyDescent="0.25">
      <c r="A91" s="38" t="s">
        <v>145</v>
      </c>
      <c r="B91" s="39" t="s">
        <v>146</v>
      </c>
    </row>
    <row r="93" spans="1:11" ht="15" customHeight="1" x14ac:dyDescent="0.25">
      <c r="A93" s="32" t="s">
        <v>147</v>
      </c>
      <c r="B93" s="32"/>
      <c r="C93" s="32"/>
      <c r="D93" s="32"/>
      <c r="E93" s="32"/>
      <c r="F93" s="32"/>
      <c r="G93" s="32"/>
      <c r="H93" s="32"/>
      <c r="I93" s="32"/>
      <c r="J93" s="32"/>
      <c r="K93" s="32"/>
    </row>
    <row r="94" spans="1:11" ht="15" customHeight="1" x14ac:dyDescent="0.25">
      <c r="A94" s="2" t="s">
        <v>148</v>
      </c>
      <c r="B94" s="33">
        <v>0.1</v>
      </c>
    </row>
    <row r="95" spans="1:11" ht="15" customHeight="1" x14ac:dyDescent="0.25">
      <c r="A95" s="2" t="s">
        <v>149</v>
      </c>
      <c r="B95" s="6">
        <v>150000</v>
      </c>
    </row>
    <row r="96" spans="1:11" ht="15" customHeight="1" x14ac:dyDescent="0.25">
      <c r="A96" s="2" t="s">
        <v>150</v>
      </c>
      <c r="B96" s="2" t="s">
        <v>151</v>
      </c>
    </row>
    <row r="97" spans="1:86" ht="15" customHeight="1" x14ac:dyDescent="0.25">
      <c r="A97" s="3" t="s">
        <v>152</v>
      </c>
      <c r="B97" s="33"/>
      <c r="C97" s="34"/>
      <c r="D97" s="34"/>
      <c r="E97" s="34"/>
      <c r="F97" s="34"/>
      <c r="G97" s="34"/>
      <c r="H97" s="34"/>
      <c r="I97" s="34"/>
      <c r="J97" s="3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  <c r="CD97" s="35"/>
      <c r="CE97" s="35"/>
      <c r="CF97" s="35"/>
      <c r="CG97" s="35"/>
      <c r="CH97" s="35"/>
    </row>
    <row r="98" spans="1:86" ht="15" customHeight="1" x14ac:dyDescent="0.25">
      <c r="A98" s="2"/>
      <c r="B98" s="2"/>
      <c r="C98" s="3">
        <v>1</v>
      </c>
      <c r="D98" s="3">
        <v>2</v>
      </c>
      <c r="E98" s="3">
        <v>3</v>
      </c>
      <c r="F98" s="3">
        <v>4</v>
      </c>
      <c r="G98" s="3">
        <v>5</v>
      </c>
      <c r="H98" s="3">
        <v>6</v>
      </c>
      <c r="I98" s="3">
        <v>7</v>
      </c>
      <c r="J98" s="3">
        <v>8</v>
      </c>
      <c r="K98" s="3">
        <v>9</v>
      </c>
      <c r="L98" s="3">
        <v>10</v>
      </c>
      <c r="M98" s="3">
        <v>11</v>
      </c>
      <c r="N98" s="3">
        <v>12</v>
      </c>
      <c r="O98" s="3">
        <v>13</v>
      </c>
      <c r="P98" s="3">
        <v>14</v>
      </c>
      <c r="Q98" s="3">
        <v>15</v>
      </c>
      <c r="R98" s="3">
        <v>16</v>
      </c>
      <c r="S98" s="3">
        <v>17</v>
      </c>
      <c r="T98" s="3">
        <v>18</v>
      </c>
      <c r="U98" s="3">
        <v>19</v>
      </c>
      <c r="V98" s="3">
        <v>20</v>
      </c>
      <c r="W98" s="3">
        <v>21</v>
      </c>
      <c r="X98" s="3">
        <v>22</v>
      </c>
      <c r="Y98" s="3">
        <v>23</v>
      </c>
      <c r="Z98" s="3">
        <v>24</v>
      </c>
      <c r="AA98" s="3">
        <v>25</v>
      </c>
      <c r="AB98" s="3">
        <v>26</v>
      </c>
      <c r="AC98" s="3">
        <v>27</v>
      </c>
      <c r="AD98" s="3">
        <v>28</v>
      </c>
      <c r="AE98" s="3">
        <v>29</v>
      </c>
      <c r="AF98" s="3">
        <v>30</v>
      </c>
      <c r="AG98" s="3">
        <v>31</v>
      </c>
      <c r="AH98" s="3">
        <v>32</v>
      </c>
      <c r="AI98" s="3">
        <v>33</v>
      </c>
      <c r="AJ98" s="3">
        <v>34</v>
      </c>
      <c r="AK98" s="3">
        <v>35</v>
      </c>
      <c r="AL98" s="3">
        <v>36</v>
      </c>
      <c r="AM98" s="3">
        <v>37</v>
      </c>
      <c r="AN98" s="3">
        <v>38</v>
      </c>
      <c r="AO98" s="3">
        <v>39</v>
      </c>
      <c r="AP98" s="3">
        <v>40</v>
      </c>
      <c r="AQ98" s="3">
        <v>41</v>
      </c>
      <c r="AR98" s="3">
        <v>42</v>
      </c>
      <c r="AS98" s="3">
        <v>43</v>
      </c>
      <c r="AT98" s="3">
        <v>44</v>
      </c>
      <c r="AU98" s="3">
        <v>45</v>
      </c>
      <c r="AV98" s="3">
        <v>46</v>
      </c>
      <c r="AW98" s="3">
        <v>47</v>
      </c>
      <c r="AX98" s="3">
        <v>48</v>
      </c>
      <c r="AY98" s="3">
        <v>49</v>
      </c>
      <c r="AZ98" s="3">
        <v>50</v>
      </c>
      <c r="BA98" s="3">
        <v>51</v>
      </c>
      <c r="BB98" s="3">
        <v>52</v>
      </c>
      <c r="BC98" s="3">
        <v>53</v>
      </c>
      <c r="BD98" s="3">
        <v>54</v>
      </c>
      <c r="BE98" s="3">
        <v>55</v>
      </c>
      <c r="BF98" s="3">
        <v>56</v>
      </c>
      <c r="BG98" s="3">
        <v>57</v>
      </c>
      <c r="BH98" s="3">
        <v>58</v>
      </c>
      <c r="BI98" s="3">
        <v>59</v>
      </c>
      <c r="BJ98" s="3">
        <v>60</v>
      </c>
      <c r="BK98" s="3">
        <v>61</v>
      </c>
      <c r="BL98" s="3">
        <v>62</v>
      </c>
      <c r="BM98" s="3">
        <v>63</v>
      </c>
      <c r="BN98" s="3">
        <v>64</v>
      </c>
      <c r="BO98" s="3">
        <v>65</v>
      </c>
      <c r="BP98" s="3">
        <v>66</v>
      </c>
      <c r="BQ98" s="3">
        <v>67</v>
      </c>
      <c r="BR98" s="3">
        <v>68</v>
      </c>
      <c r="BS98" s="3">
        <v>69</v>
      </c>
      <c r="BT98" s="3">
        <v>70</v>
      </c>
      <c r="BU98" s="3">
        <v>71</v>
      </c>
      <c r="BV98" s="3">
        <v>72</v>
      </c>
      <c r="BW98" s="3">
        <v>73</v>
      </c>
      <c r="BX98" s="3">
        <v>74</v>
      </c>
      <c r="BY98" s="3">
        <v>75</v>
      </c>
      <c r="BZ98" s="3">
        <v>76</v>
      </c>
      <c r="CA98" s="3">
        <v>77</v>
      </c>
      <c r="CB98" s="3">
        <v>78</v>
      </c>
      <c r="CC98" s="3">
        <v>79</v>
      </c>
      <c r="CD98" s="3">
        <v>80</v>
      </c>
      <c r="CE98" s="3">
        <v>81</v>
      </c>
      <c r="CF98" s="3">
        <v>82</v>
      </c>
      <c r="CG98" s="3">
        <v>83</v>
      </c>
      <c r="CH98" s="36">
        <v>84</v>
      </c>
    </row>
    <row r="99" spans="1:86" ht="15" customHeight="1" x14ac:dyDescent="0.25">
      <c r="A99" s="2" t="s">
        <v>13</v>
      </c>
      <c r="B99" s="7">
        <f t="shared" ref="B99:B105" si="9">SUM(C99:CH99)</f>
        <v>9009664.9999999981</v>
      </c>
      <c r="C99" s="6"/>
      <c r="D99" s="6"/>
      <c r="E99" s="6"/>
      <c r="F99" s="6"/>
      <c r="G99" s="6"/>
      <c r="H99" s="6"/>
      <c r="I99" s="6"/>
      <c r="J99" s="6"/>
      <c r="K99" s="6"/>
      <c r="L99" s="6">
        <v>45050.36</v>
      </c>
      <c r="M99" s="6">
        <v>45050.36</v>
      </c>
      <c r="N99" s="6">
        <v>45050.36</v>
      </c>
      <c r="O99" s="6">
        <v>45050.36</v>
      </c>
      <c r="P99" s="6">
        <v>45050.36</v>
      </c>
      <c r="Q99" s="6">
        <v>45050.36</v>
      </c>
      <c r="R99" s="6">
        <v>70944.52</v>
      </c>
      <c r="S99" s="6">
        <v>96838.68</v>
      </c>
      <c r="T99" s="6">
        <v>122732.84</v>
      </c>
      <c r="U99" s="6">
        <v>148626.99</v>
      </c>
      <c r="V99" s="6">
        <v>174521.16</v>
      </c>
      <c r="W99" s="6">
        <v>200415.31</v>
      </c>
      <c r="X99" s="6">
        <v>226309.46</v>
      </c>
      <c r="Y99" s="6">
        <v>252203.62</v>
      </c>
      <c r="Z99" s="6">
        <v>278097.78999999998</v>
      </c>
      <c r="AA99" s="6">
        <v>303991.94</v>
      </c>
      <c r="AB99" s="6">
        <v>329886.11</v>
      </c>
      <c r="AC99" s="6">
        <v>400830.61</v>
      </c>
      <c r="AD99" s="6">
        <v>311512.01</v>
      </c>
      <c r="AE99" s="6">
        <v>312294.13</v>
      </c>
      <c r="AF99" s="6">
        <v>313076.23</v>
      </c>
      <c r="AG99" s="6">
        <v>313858.34000000003</v>
      </c>
      <c r="AH99" s="6">
        <v>314640.44</v>
      </c>
      <c r="AI99" s="6">
        <v>341316.71</v>
      </c>
      <c r="AJ99" s="6">
        <v>316204.67</v>
      </c>
      <c r="AK99" s="6">
        <v>291092.62</v>
      </c>
      <c r="AL99" s="6">
        <v>265980.57</v>
      </c>
      <c r="AM99" s="6">
        <v>240868.51</v>
      </c>
      <c r="AN99" s="6">
        <v>215756.47</v>
      </c>
      <c r="AO99" s="6">
        <v>190644.42</v>
      </c>
      <c r="AP99" s="6">
        <v>165532.35999999999</v>
      </c>
      <c r="AQ99" s="6">
        <v>140420.32</v>
      </c>
      <c r="AR99" s="6">
        <v>115308.27</v>
      </c>
      <c r="AS99" s="6">
        <v>196095.1</v>
      </c>
      <c r="AT99" s="6">
        <v>170200.95</v>
      </c>
      <c r="AU99" s="6">
        <v>119194.75</v>
      </c>
      <c r="AV99" s="6">
        <v>118412.64</v>
      </c>
      <c r="AW99" s="6">
        <v>117630.52</v>
      </c>
      <c r="AX99" s="6">
        <v>116848.42</v>
      </c>
      <c r="AY99" s="6">
        <v>116066.31</v>
      </c>
      <c r="AZ99" s="6">
        <v>115284.2</v>
      </c>
      <c r="BA99" s="6">
        <v>114502.09</v>
      </c>
      <c r="BB99" s="6">
        <v>113719.98</v>
      </c>
      <c r="BC99" s="6">
        <v>112937.87</v>
      </c>
      <c r="BD99" s="6">
        <v>112155.76</v>
      </c>
      <c r="BE99" s="6">
        <v>111373.65</v>
      </c>
      <c r="BF99" s="6">
        <v>110591.54</v>
      </c>
      <c r="BG99" s="6">
        <v>109809.44</v>
      </c>
      <c r="BH99" s="6">
        <v>109027.32</v>
      </c>
      <c r="BI99" s="6">
        <v>108245.21</v>
      </c>
      <c r="BJ99" s="6">
        <v>213361.99</v>
      </c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35"/>
    </row>
    <row r="100" spans="1:86" ht="15" customHeight="1" x14ac:dyDescent="0.25">
      <c r="A100" s="2" t="s">
        <v>24</v>
      </c>
      <c r="B100" s="7">
        <f t="shared" si="9"/>
        <v>-1500039</v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-10417</v>
      </c>
      <c r="N100" s="6">
        <v>-10417</v>
      </c>
      <c r="O100" s="6">
        <v>-10417</v>
      </c>
      <c r="P100" s="6">
        <v>-17917</v>
      </c>
      <c r="Q100" s="6">
        <v>-17917</v>
      </c>
      <c r="R100" s="6">
        <v>-17917</v>
      </c>
      <c r="S100" s="6">
        <v>-17917</v>
      </c>
      <c r="T100" s="6">
        <v>-17917</v>
      </c>
      <c r="U100" s="6">
        <v>-27084</v>
      </c>
      <c r="V100" s="6">
        <v>-27084</v>
      </c>
      <c r="W100" s="6">
        <v>-27084</v>
      </c>
      <c r="X100" s="6">
        <v>-27084</v>
      </c>
      <c r="Y100" s="6">
        <v>-27084</v>
      </c>
      <c r="Z100" s="6">
        <v>-27084</v>
      </c>
      <c r="AA100" s="6">
        <v>-27084</v>
      </c>
      <c r="AB100" s="6">
        <v>-27084</v>
      </c>
      <c r="AC100" s="6">
        <v>-37501</v>
      </c>
      <c r="AD100" s="6">
        <v>-37501</v>
      </c>
      <c r="AE100" s="6">
        <v>-37501</v>
      </c>
      <c r="AF100" s="6">
        <v>-37501</v>
      </c>
      <c r="AG100" s="6">
        <v>-37501</v>
      </c>
      <c r="AH100" s="6">
        <v>-37501</v>
      </c>
      <c r="AI100" s="6">
        <v>-37501</v>
      </c>
      <c r="AJ100" s="6">
        <v>-37501</v>
      </c>
      <c r="AK100" s="6">
        <v>-37501</v>
      </c>
      <c r="AL100" s="6">
        <v>-37501</v>
      </c>
      <c r="AM100" s="6">
        <v>-37501</v>
      </c>
      <c r="AN100" s="6">
        <v>-37501</v>
      </c>
      <c r="AO100" s="6">
        <v>-37501</v>
      </c>
      <c r="AP100" s="6">
        <v>-37501</v>
      </c>
      <c r="AQ100" s="6">
        <v>-37501</v>
      </c>
      <c r="AR100" s="6">
        <v>-37501</v>
      </c>
      <c r="AS100" s="6">
        <v>-37501</v>
      </c>
      <c r="AT100" s="6">
        <v>-37501</v>
      </c>
      <c r="AU100" s="6">
        <v>-37501</v>
      </c>
      <c r="AV100" s="6">
        <v>-37501</v>
      </c>
      <c r="AW100" s="6">
        <v>-37501</v>
      </c>
      <c r="AX100" s="6">
        <v>-37501</v>
      </c>
      <c r="AY100" s="6">
        <v>-37501</v>
      </c>
      <c r="AZ100" s="6">
        <v>-37501</v>
      </c>
      <c r="BA100" s="6">
        <v>-37501</v>
      </c>
      <c r="BB100" s="6">
        <v>-37501</v>
      </c>
      <c r="BC100" s="6">
        <v>-37501</v>
      </c>
      <c r="BD100" s="6">
        <v>-37501</v>
      </c>
      <c r="BE100" s="6">
        <v>-37501</v>
      </c>
      <c r="BF100" s="6">
        <v>-37501</v>
      </c>
      <c r="BG100" s="6">
        <v>-37501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0</v>
      </c>
      <c r="BO100" s="6">
        <v>0</v>
      </c>
      <c r="BP100" s="6">
        <v>0</v>
      </c>
      <c r="BQ100" s="6">
        <v>0</v>
      </c>
      <c r="BR100" s="6">
        <v>0</v>
      </c>
      <c r="BS100" s="6">
        <v>0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>
        <v>0</v>
      </c>
      <c r="CA100" s="6">
        <v>0</v>
      </c>
      <c r="CB100" s="6">
        <v>0</v>
      </c>
      <c r="CC100" s="6">
        <v>0</v>
      </c>
      <c r="CD100" s="6">
        <v>0</v>
      </c>
      <c r="CE100" s="6">
        <v>0</v>
      </c>
      <c r="CF100" s="6">
        <v>0</v>
      </c>
      <c r="CG100" s="6">
        <v>0</v>
      </c>
      <c r="CH100" s="35"/>
    </row>
    <row r="101" spans="1:86" ht="15" customHeight="1" x14ac:dyDescent="0.25">
      <c r="A101" s="2" t="s">
        <v>25</v>
      </c>
      <c r="B101" s="7">
        <f t="shared" si="9"/>
        <v>-456000</v>
      </c>
      <c r="C101" s="6"/>
      <c r="D101" s="6"/>
      <c r="E101" s="6"/>
      <c r="F101" s="6"/>
      <c r="G101" s="6"/>
      <c r="H101" s="6"/>
      <c r="I101" s="6"/>
      <c r="J101" s="6"/>
      <c r="K101" s="6"/>
      <c r="L101" s="6">
        <v>-9500</v>
      </c>
      <c r="M101" s="6">
        <v>-9500</v>
      </c>
      <c r="N101" s="6">
        <v>-9500</v>
      </c>
      <c r="O101" s="6">
        <v>-9500</v>
      </c>
      <c r="P101" s="6">
        <v>-9500</v>
      </c>
      <c r="Q101" s="6">
        <v>-9500</v>
      </c>
      <c r="R101" s="6">
        <v>-9500</v>
      </c>
      <c r="S101" s="6">
        <v>-9500</v>
      </c>
      <c r="T101" s="6">
        <v>-9500</v>
      </c>
      <c r="U101" s="6">
        <v>-9500</v>
      </c>
      <c r="V101" s="6">
        <v>-9500</v>
      </c>
      <c r="W101" s="6">
        <v>-9500</v>
      </c>
      <c r="X101" s="6">
        <v>-9500</v>
      </c>
      <c r="Y101" s="6">
        <v>-9500</v>
      </c>
      <c r="Z101" s="6">
        <v>-9500</v>
      </c>
      <c r="AA101" s="6">
        <v>-9500</v>
      </c>
      <c r="AB101" s="6">
        <v>-9500</v>
      </c>
      <c r="AC101" s="6">
        <v>-9500</v>
      </c>
      <c r="AD101" s="6">
        <v>-9500</v>
      </c>
      <c r="AE101" s="6">
        <v>-9500</v>
      </c>
      <c r="AF101" s="6">
        <v>-9500</v>
      </c>
      <c r="AG101" s="6">
        <v>-9500</v>
      </c>
      <c r="AH101" s="6">
        <v>-9500</v>
      </c>
      <c r="AI101" s="6">
        <v>-9500</v>
      </c>
      <c r="AJ101" s="6">
        <v>-9500</v>
      </c>
      <c r="AK101" s="6">
        <v>-9500</v>
      </c>
      <c r="AL101" s="6">
        <v>-9500</v>
      </c>
      <c r="AM101" s="6">
        <v>-9500</v>
      </c>
      <c r="AN101" s="6">
        <v>-9500</v>
      </c>
      <c r="AO101" s="6">
        <v>-9500</v>
      </c>
      <c r="AP101" s="6">
        <v>-9500</v>
      </c>
      <c r="AQ101" s="6">
        <v>-9500</v>
      </c>
      <c r="AR101" s="6">
        <v>-9500</v>
      </c>
      <c r="AS101" s="6">
        <v>-9500</v>
      </c>
      <c r="AT101" s="6">
        <v>-9500</v>
      </c>
      <c r="AU101" s="6">
        <v>-9500</v>
      </c>
      <c r="AV101" s="6">
        <v>-9500</v>
      </c>
      <c r="AW101" s="6">
        <v>-9500</v>
      </c>
      <c r="AX101" s="6">
        <v>-9500</v>
      </c>
      <c r="AY101" s="6">
        <v>-9500</v>
      </c>
      <c r="AZ101" s="6">
        <v>-9500</v>
      </c>
      <c r="BA101" s="6">
        <v>-9500</v>
      </c>
      <c r="BB101" s="6">
        <v>-9500</v>
      </c>
      <c r="BC101" s="6">
        <v>-9500</v>
      </c>
      <c r="BD101" s="6">
        <v>-9500</v>
      </c>
      <c r="BE101" s="6">
        <v>-9500</v>
      </c>
      <c r="BF101" s="6">
        <v>-9500</v>
      </c>
      <c r="BG101" s="6">
        <v>-9500</v>
      </c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35"/>
    </row>
    <row r="102" spans="1:86" ht="15" customHeight="1" x14ac:dyDescent="0.25">
      <c r="A102" s="2" t="s">
        <v>26</v>
      </c>
      <c r="B102" s="7">
        <f t="shared" si="9"/>
        <v>7053625.9999999991</v>
      </c>
      <c r="C102" s="6">
        <f t="shared" ref="C102:AH102" si="10">C99+C100+C101</f>
        <v>0</v>
      </c>
      <c r="D102" s="6">
        <f t="shared" si="10"/>
        <v>0</v>
      </c>
      <c r="E102" s="6">
        <f t="shared" si="10"/>
        <v>0</v>
      </c>
      <c r="F102" s="6">
        <f t="shared" si="10"/>
        <v>0</v>
      </c>
      <c r="G102" s="6">
        <f t="shared" si="10"/>
        <v>0</v>
      </c>
      <c r="H102" s="6">
        <f t="shared" si="10"/>
        <v>0</v>
      </c>
      <c r="I102" s="6">
        <f t="shared" si="10"/>
        <v>0</v>
      </c>
      <c r="J102" s="6">
        <f t="shared" si="10"/>
        <v>0</v>
      </c>
      <c r="K102" s="6">
        <f t="shared" si="10"/>
        <v>0</v>
      </c>
      <c r="L102" s="6">
        <f t="shared" si="10"/>
        <v>35550.36</v>
      </c>
      <c r="M102" s="6">
        <f t="shared" si="10"/>
        <v>25133.360000000001</v>
      </c>
      <c r="N102" s="6">
        <f t="shared" si="10"/>
        <v>25133.360000000001</v>
      </c>
      <c r="O102" s="6">
        <f t="shared" si="10"/>
        <v>25133.360000000001</v>
      </c>
      <c r="P102" s="6">
        <f t="shared" si="10"/>
        <v>17633.36</v>
      </c>
      <c r="Q102" s="6">
        <f t="shared" si="10"/>
        <v>17633.36</v>
      </c>
      <c r="R102" s="6">
        <f t="shared" si="10"/>
        <v>43527.520000000004</v>
      </c>
      <c r="S102" s="6">
        <f t="shared" si="10"/>
        <v>69421.679999999993</v>
      </c>
      <c r="T102" s="6">
        <f t="shared" si="10"/>
        <v>95315.839999999997</v>
      </c>
      <c r="U102" s="6">
        <f t="shared" si="10"/>
        <v>112042.98999999999</v>
      </c>
      <c r="V102" s="6">
        <f t="shared" si="10"/>
        <v>137937.16</v>
      </c>
      <c r="W102" s="6">
        <f t="shared" si="10"/>
        <v>163831.31</v>
      </c>
      <c r="X102" s="6">
        <f t="shared" si="10"/>
        <v>189725.46</v>
      </c>
      <c r="Y102" s="6">
        <f t="shared" si="10"/>
        <v>215619.62</v>
      </c>
      <c r="Z102" s="6">
        <f t="shared" si="10"/>
        <v>241513.78999999998</v>
      </c>
      <c r="AA102" s="6">
        <f t="shared" si="10"/>
        <v>267407.94</v>
      </c>
      <c r="AB102" s="6">
        <f t="shared" si="10"/>
        <v>293302.11</v>
      </c>
      <c r="AC102" s="6">
        <f t="shared" si="10"/>
        <v>353829.61</v>
      </c>
      <c r="AD102" s="6">
        <f t="shared" si="10"/>
        <v>264511.01</v>
      </c>
      <c r="AE102" s="6">
        <f t="shared" si="10"/>
        <v>265293.13</v>
      </c>
      <c r="AF102" s="6">
        <f t="shared" si="10"/>
        <v>266075.23</v>
      </c>
      <c r="AG102" s="6">
        <f t="shared" si="10"/>
        <v>266857.34000000003</v>
      </c>
      <c r="AH102" s="6">
        <f t="shared" si="10"/>
        <v>267639.44</v>
      </c>
      <c r="AI102" s="6">
        <f t="shared" ref="AI102:BN102" si="11">AI99+AI100+AI101</f>
        <v>294315.71000000002</v>
      </c>
      <c r="AJ102" s="6">
        <f t="shared" si="11"/>
        <v>269203.67</v>
      </c>
      <c r="AK102" s="6">
        <f t="shared" si="11"/>
        <v>244091.62</v>
      </c>
      <c r="AL102" s="6">
        <f t="shared" si="11"/>
        <v>218979.57</v>
      </c>
      <c r="AM102" s="6">
        <f t="shared" si="11"/>
        <v>193867.51</v>
      </c>
      <c r="AN102" s="6">
        <f t="shared" si="11"/>
        <v>168755.47</v>
      </c>
      <c r="AO102" s="6">
        <f t="shared" si="11"/>
        <v>143643.42000000001</v>
      </c>
      <c r="AP102" s="6">
        <f t="shared" si="11"/>
        <v>118531.35999999999</v>
      </c>
      <c r="AQ102" s="6">
        <f t="shared" si="11"/>
        <v>93419.32</v>
      </c>
      <c r="AR102" s="6">
        <f t="shared" si="11"/>
        <v>68307.27</v>
      </c>
      <c r="AS102" s="6">
        <f t="shared" si="11"/>
        <v>149094.1</v>
      </c>
      <c r="AT102" s="6">
        <f t="shared" si="11"/>
        <v>123199.95000000001</v>
      </c>
      <c r="AU102" s="6">
        <f t="shared" si="11"/>
        <v>72193.75</v>
      </c>
      <c r="AV102" s="6">
        <f t="shared" si="11"/>
        <v>71411.64</v>
      </c>
      <c r="AW102" s="6">
        <f t="shared" si="11"/>
        <v>70629.52</v>
      </c>
      <c r="AX102" s="6">
        <f t="shared" si="11"/>
        <v>69847.42</v>
      </c>
      <c r="AY102" s="6">
        <f t="shared" si="11"/>
        <v>69065.31</v>
      </c>
      <c r="AZ102" s="6">
        <f t="shared" si="11"/>
        <v>68283.199999999997</v>
      </c>
      <c r="BA102" s="6">
        <f t="shared" si="11"/>
        <v>67501.09</v>
      </c>
      <c r="BB102" s="6">
        <f t="shared" si="11"/>
        <v>66718.98</v>
      </c>
      <c r="BC102" s="6">
        <f t="shared" si="11"/>
        <v>65936.87</v>
      </c>
      <c r="BD102" s="6">
        <f t="shared" si="11"/>
        <v>65154.759999999995</v>
      </c>
      <c r="BE102" s="6">
        <f t="shared" si="11"/>
        <v>64372.649999999994</v>
      </c>
      <c r="BF102" s="6">
        <f t="shared" si="11"/>
        <v>63590.539999999994</v>
      </c>
      <c r="BG102" s="6">
        <f t="shared" si="11"/>
        <v>62808.44</v>
      </c>
      <c r="BH102" s="6">
        <f t="shared" si="11"/>
        <v>109027.32</v>
      </c>
      <c r="BI102" s="6">
        <f t="shared" si="11"/>
        <v>108245.21</v>
      </c>
      <c r="BJ102" s="6">
        <f t="shared" si="11"/>
        <v>213361.99</v>
      </c>
      <c r="BK102" s="6">
        <f t="shared" si="11"/>
        <v>0</v>
      </c>
      <c r="BL102" s="6">
        <f t="shared" si="11"/>
        <v>0</v>
      </c>
      <c r="BM102" s="6">
        <f t="shared" si="11"/>
        <v>0</v>
      </c>
      <c r="BN102" s="6">
        <f t="shared" si="11"/>
        <v>0</v>
      </c>
      <c r="BO102" s="6">
        <f t="shared" ref="BO102:CT102" si="12">BO99+BO100+BO101</f>
        <v>0</v>
      </c>
      <c r="BP102" s="6">
        <f t="shared" si="12"/>
        <v>0</v>
      </c>
      <c r="BQ102" s="6">
        <f t="shared" si="12"/>
        <v>0</v>
      </c>
      <c r="BR102" s="6">
        <f t="shared" si="12"/>
        <v>0</v>
      </c>
      <c r="BS102" s="6">
        <f t="shared" si="12"/>
        <v>0</v>
      </c>
      <c r="BT102" s="6">
        <f t="shared" si="12"/>
        <v>0</v>
      </c>
      <c r="BU102" s="6">
        <f t="shared" si="12"/>
        <v>0</v>
      </c>
      <c r="BV102" s="6">
        <f t="shared" si="12"/>
        <v>0</v>
      </c>
      <c r="BW102" s="6">
        <f t="shared" si="12"/>
        <v>0</v>
      </c>
      <c r="BX102" s="6">
        <f t="shared" si="12"/>
        <v>0</v>
      </c>
      <c r="BY102" s="6">
        <f t="shared" si="12"/>
        <v>0</v>
      </c>
      <c r="BZ102" s="6">
        <f t="shared" si="12"/>
        <v>0</v>
      </c>
      <c r="CA102" s="6">
        <f t="shared" si="12"/>
        <v>0</v>
      </c>
      <c r="CB102" s="6">
        <f t="shared" si="12"/>
        <v>0</v>
      </c>
      <c r="CC102" s="6">
        <f t="shared" si="12"/>
        <v>0</v>
      </c>
      <c r="CD102" s="6">
        <f t="shared" si="12"/>
        <v>0</v>
      </c>
      <c r="CE102" s="6">
        <f t="shared" si="12"/>
        <v>0</v>
      </c>
      <c r="CF102" s="6">
        <f t="shared" si="12"/>
        <v>0</v>
      </c>
      <c r="CG102" s="6">
        <f t="shared" si="12"/>
        <v>0</v>
      </c>
      <c r="CH102" s="37">
        <f t="shared" si="12"/>
        <v>0</v>
      </c>
    </row>
    <row r="103" spans="1:86" ht="15" customHeight="1" x14ac:dyDescent="0.25">
      <c r="A103" s="2" t="s">
        <v>27</v>
      </c>
      <c r="B103" s="7">
        <f t="shared" si="9"/>
        <v>563192.61699999985</v>
      </c>
      <c r="C103" s="6">
        <f t="shared" ref="C103:K103" si="13">C99*$B$94</f>
        <v>0</v>
      </c>
      <c r="D103" s="6">
        <f t="shared" si="13"/>
        <v>0</v>
      </c>
      <c r="E103" s="6">
        <f t="shared" si="13"/>
        <v>0</v>
      </c>
      <c r="F103" s="6">
        <f t="shared" si="13"/>
        <v>0</v>
      </c>
      <c r="G103" s="6">
        <f t="shared" si="13"/>
        <v>0</v>
      </c>
      <c r="H103" s="6">
        <f t="shared" si="13"/>
        <v>0</v>
      </c>
      <c r="I103" s="6">
        <f t="shared" si="13"/>
        <v>0</v>
      </c>
      <c r="J103" s="6">
        <f t="shared" si="13"/>
        <v>0</v>
      </c>
      <c r="K103" s="6">
        <f t="shared" si="13"/>
        <v>0</v>
      </c>
      <c r="L103" s="6">
        <f t="shared" ref="L103:AQ103" si="14">MIN(L99*$B$94,12500)</f>
        <v>4505.0360000000001</v>
      </c>
      <c r="M103" s="6">
        <f t="shared" si="14"/>
        <v>4505.0360000000001</v>
      </c>
      <c r="N103" s="6">
        <f t="shared" si="14"/>
        <v>4505.0360000000001</v>
      </c>
      <c r="O103" s="6">
        <f t="shared" si="14"/>
        <v>4505.0360000000001</v>
      </c>
      <c r="P103" s="6">
        <f t="shared" si="14"/>
        <v>4505.0360000000001</v>
      </c>
      <c r="Q103" s="6">
        <f t="shared" si="14"/>
        <v>4505.0360000000001</v>
      </c>
      <c r="R103" s="6">
        <f t="shared" si="14"/>
        <v>7094.4520000000011</v>
      </c>
      <c r="S103" s="6">
        <f t="shared" si="14"/>
        <v>9683.8680000000004</v>
      </c>
      <c r="T103" s="6">
        <f t="shared" si="14"/>
        <v>12273.284</v>
      </c>
      <c r="U103" s="6">
        <f t="shared" si="14"/>
        <v>12500</v>
      </c>
      <c r="V103" s="6">
        <f t="shared" si="14"/>
        <v>12500</v>
      </c>
      <c r="W103" s="6">
        <f t="shared" si="14"/>
        <v>12500</v>
      </c>
      <c r="X103" s="6">
        <f t="shared" si="14"/>
        <v>12500</v>
      </c>
      <c r="Y103" s="6">
        <f t="shared" si="14"/>
        <v>12500</v>
      </c>
      <c r="Z103" s="6">
        <f t="shared" si="14"/>
        <v>12500</v>
      </c>
      <c r="AA103" s="6">
        <f t="shared" si="14"/>
        <v>12500</v>
      </c>
      <c r="AB103" s="6">
        <f t="shared" si="14"/>
        <v>12500</v>
      </c>
      <c r="AC103" s="6">
        <f t="shared" si="14"/>
        <v>12500</v>
      </c>
      <c r="AD103" s="6">
        <f t="shared" si="14"/>
        <v>12500</v>
      </c>
      <c r="AE103" s="6">
        <f t="shared" si="14"/>
        <v>12500</v>
      </c>
      <c r="AF103" s="6">
        <f t="shared" si="14"/>
        <v>12500</v>
      </c>
      <c r="AG103" s="6">
        <f t="shared" si="14"/>
        <v>12500</v>
      </c>
      <c r="AH103" s="6">
        <f t="shared" si="14"/>
        <v>12500</v>
      </c>
      <c r="AI103" s="6">
        <f t="shared" si="14"/>
        <v>12500</v>
      </c>
      <c r="AJ103" s="6">
        <f t="shared" si="14"/>
        <v>12500</v>
      </c>
      <c r="AK103" s="6">
        <f t="shared" si="14"/>
        <v>12500</v>
      </c>
      <c r="AL103" s="6">
        <f t="shared" si="14"/>
        <v>12500</v>
      </c>
      <c r="AM103" s="6">
        <f t="shared" si="14"/>
        <v>12500</v>
      </c>
      <c r="AN103" s="6">
        <f t="shared" si="14"/>
        <v>12500</v>
      </c>
      <c r="AO103" s="6">
        <f t="shared" si="14"/>
        <v>12500</v>
      </c>
      <c r="AP103" s="6">
        <f t="shared" si="14"/>
        <v>12500</v>
      </c>
      <c r="AQ103" s="6">
        <f t="shared" si="14"/>
        <v>12500</v>
      </c>
      <c r="AR103" s="6">
        <f t="shared" ref="AR103:BW103" si="15">MIN(AR99*$B$94,12500)</f>
        <v>11530.827000000001</v>
      </c>
      <c r="AS103" s="6">
        <f t="shared" si="15"/>
        <v>12500</v>
      </c>
      <c r="AT103" s="6">
        <f t="shared" si="15"/>
        <v>12500</v>
      </c>
      <c r="AU103" s="6">
        <f t="shared" si="15"/>
        <v>11919.475</v>
      </c>
      <c r="AV103" s="6">
        <f t="shared" si="15"/>
        <v>11841.264000000001</v>
      </c>
      <c r="AW103" s="6">
        <f t="shared" si="15"/>
        <v>11763.052000000001</v>
      </c>
      <c r="AX103" s="6">
        <f t="shared" si="15"/>
        <v>11684.842000000001</v>
      </c>
      <c r="AY103" s="6">
        <f t="shared" si="15"/>
        <v>11606.631000000001</v>
      </c>
      <c r="AZ103" s="6">
        <f t="shared" si="15"/>
        <v>11528.42</v>
      </c>
      <c r="BA103" s="6">
        <f t="shared" si="15"/>
        <v>11450.209000000001</v>
      </c>
      <c r="BB103" s="6">
        <f t="shared" si="15"/>
        <v>11371.998</v>
      </c>
      <c r="BC103" s="6">
        <f t="shared" si="15"/>
        <v>11293.787</v>
      </c>
      <c r="BD103" s="6">
        <f t="shared" si="15"/>
        <v>11215.576000000001</v>
      </c>
      <c r="BE103" s="6">
        <f t="shared" si="15"/>
        <v>11137.365</v>
      </c>
      <c r="BF103" s="6">
        <f t="shared" si="15"/>
        <v>11059.154</v>
      </c>
      <c r="BG103" s="6">
        <f t="shared" si="15"/>
        <v>10980.944000000001</v>
      </c>
      <c r="BH103" s="6">
        <f t="shared" si="15"/>
        <v>10902.732000000002</v>
      </c>
      <c r="BI103" s="6">
        <f t="shared" si="15"/>
        <v>10824.521000000001</v>
      </c>
      <c r="BJ103" s="6">
        <f t="shared" si="15"/>
        <v>12500</v>
      </c>
      <c r="BK103" s="6">
        <f t="shared" si="15"/>
        <v>0</v>
      </c>
      <c r="BL103" s="6">
        <f t="shared" si="15"/>
        <v>0</v>
      </c>
      <c r="BM103" s="6">
        <f t="shared" si="15"/>
        <v>0</v>
      </c>
      <c r="BN103" s="6">
        <f t="shared" si="15"/>
        <v>0</v>
      </c>
      <c r="BO103" s="6">
        <f t="shared" si="15"/>
        <v>0</v>
      </c>
      <c r="BP103" s="6">
        <f t="shared" si="15"/>
        <v>0</v>
      </c>
      <c r="BQ103" s="6">
        <f t="shared" si="15"/>
        <v>0</v>
      </c>
      <c r="BR103" s="6">
        <f t="shared" si="15"/>
        <v>0</v>
      </c>
      <c r="BS103" s="6">
        <f t="shared" si="15"/>
        <v>0</v>
      </c>
      <c r="BT103" s="6">
        <f t="shared" si="15"/>
        <v>0</v>
      </c>
      <c r="BU103" s="6">
        <f t="shared" si="15"/>
        <v>0</v>
      </c>
      <c r="BV103" s="6">
        <f t="shared" si="15"/>
        <v>0</v>
      </c>
      <c r="BW103" s="6">
        <f t="shared" si="15"/>
        <v>0</v>
      </c>
      <c r="BX103" s="6">
        <f t="shared" ref="BX103:CG103" si="16">MIN(BX99*$B$94,12500)</f>
        <v>0</v>
      </c>
      <c r="BY103" s="6">
        <f t="shared" si="16"/>
        <v>0</v>
      </c>
      <c r="BZ103" s="6">
        <f t="shared" si="16"/>
        <v>0</v>
      </c>
      <c r="CA103" s="6">
        <f t="shared" si="16"/>
        <v>0</v>
      </c>
      <c r="CB103" s="6">
        <f t="shared" si="16"/>
        <v>0</v>
      </c>
      <c r="CC103" s="6">
        <f t="shared" si="16"/>
        <v>0</v>
      </c>
      <c r="CD103" s="6">
        <f t="shared" si="16"/>
        <v>0</v>
      </c>
      <c r="CE103" s="6">
        <f t="shared" si="16"/>
        <v>0</v>
      </c>
      <c r="CF103" s="6">
        <f t="shared" si="16"/>
        <v>0</v>
      </c>
      <c r="CG103" s="6">
        <f t="shared" si="16"/>
        <v>0</v>
      </c>
      <c r="CH103" s="37">
        <f>CH99*$B$94</f>
        <v>0</v>
      </c>
    </row>
    <row r="104" spans="1:86" ht="15" customHeight="1" x14ac:dyDescent="0.25">
      <c r="A104" s="2" t="s">
        <v>28</v>
      </c>
      <c r="B104" s="7">
        <f t="shared" si="9"/>
        <v>6490433.3830000013</v>
      </c>
      <c r="C104" s="6">
        <f t="shared" ref="C104:AH104" si="17">C102-C103</f>
        <v>0</v>
      </c>
      <c r="D104" s="6">
        <f t="shared" si="17"/>
        <v>0</v>
      </c>
      <c r="E104" s="6">
        <f t="shared" si="17"/>
        <v>0</v>
      </c>
      <c r="F104" s="6">
        <f t="shared" si="17"/>
        <v>0</v>
      </c>
      <c r="G104" s="6">
        <f t="shared" si="17"/>
        <v>0</v>
      </c>
      <c r="H104" s="6">
        <f t="shared" si="17"/>
        <v>0</v>
      </c>
      <c r="I104" s="6">
        <f t="shared" si="17"/>
        <v>0</v>
      </c>
      <c r="J104" s="6">
        <f t="shared" si="17"/>
        <v>0</v>
      </c>
      <c r="K104" s="6">
        <f t="shared" si="17"/>
        <v>0</v>
      </c>
      <c r="L104" s="6">
        <f t="shared" si="17"/>
        <v>31045.324000000001</v>
      </c>
      <c r="M104" s="6">
        <f t="shared" si="17"/>
        <v>20628.324000000001</v>
      </c>
      <c r="N104" s="6">
        <f t="shared" si="17"/>
        <v>20628.324000000001</v>
      </c>
      <c r="O104" s="6">
        <f t="shared" si="17"/>
        <v>20628.324000000001</v>
      </c>
      <c r="P104" s="6">
        <f t="shared" si="17"/>
        <v>13128.324000000001</v>
      </c>
      <c r="Q104" s="6">
        <f t="shared" si="17"/>
        <v>13128.324000000001</v>
      </c>
      <c r="R104" s="6">
        <f t="shared" si="17"/>
        <v>36433.067999999999</v>
      </c>
      <c r="S104" s="6">
        <f t="shared" si="17"/>
        <v>59737.811999999991</v>
      </c>
      <c r="T104" s="6">
        <f t="shared" si="17"/>
        <v>83042.555999999997</v>
      </c>
      <c r="U104" s="6">
        <f t="shared" si="17"/>
        <v>99542.989999999991</v>
      </c>
      <c r="V104" s="6">
        <f t="shared" si="17"/>
        <v>125437.16</v>
      </c>
      <c r="W104" s="6">
        <f t="shared" si="17"/>
        <v>151331.31</v>
      </c>
      <c r="X104" s="6">
        <f t="shared" si="17"/>
        <v>177225.46</v>
      </c>
      <c r="Y104" s="6">
        <f t="shared" si="17"/>
        <v>203119.62</v>
      </c>
      <c r="Z104" s="6">
        <f t="shared" si="17"/>
        <v>229013.78999999998</v>
      </c>
      <c r="AA104" s="6">
        <f t="shared" si="17"/>
        <v>254907.94</v>
      </c>
      <c r="AB104" s="6">
        <f t="shared" si="17"/>
        <v>280802.11</v>
      </c>
      <c r="AC104" s="6">
        <f t="shared" si="17"/>
        <v>341329.61</v>
      </c>
      <c r="AD104" s="6">
        <f t="shared" si="17"/>
        <v>252011.01</v>
      </c>
      <c r="AE104" s="6">
        <f t="shared" si="17"/>
        <v>252793.13</v>
      </c>
      <c r="AF104" s="6">
        <f t="shared" si="17"/>
        <v>253575.22999999998</v>
      </c>
      <c r="AG104" s="6">
        <f t="shared" si="17"/>
        <v>254357.34000000003</v>
      </c>
      <c r="AH104" s="6">
        <f t="shared" si="17"/>
        <v>255139.44</v>
      </c>
      <c r="AI104" s="6">
        <f t="shared" ref="AI104:BN104" si="18">AI102-AI103</f>
        <v>281815.71000000002</v>
      </c>
      <c r="AJ104" s="6">
        <f t="shared" si="18"/>
        <v>256703.66999999998</v>
      </c>
      <c r="AK104" s="6">
        <f t="shared" si="18"/>
        <v>231591.62</v>
      </c>
      <c r="AL104" s="6">
        <f t="shared" si="18"/>
        <v>206479.57</v>
      </c>
      <c r="AM104" s="6">
        <f t="shared" si="18"/>
        <v>181367.51</v>
      </c>
      <c r="AN104" s="6">
        <f t="shared" si="18"/>
        <v>156255.47</v>
      </c>
      <c r="AO104" s="6">
        <f t="shared" si="18"/>
        <v>131143.42000000001</v>
      </c>
      <c r="AP104" s="6">
        <f t="shared" si="18"/>
        <v>106031.35999999999</v>
      </c>
      <c r="AQ104" s="6">
        <f t="shared" si="18"/>
        <v>80919.320000000007</v>
      </c>
      <c r="AR104" s="6">
        <f t="shared" si="18"/>
        <v>56776.442999999999</v>
      </c>
      <c r="AS104" s="6">
        <f t="shared" si="18"/>
        <v>136594.1</v>
      </c>
      <c r="AT104" s="6">
        <f t="shared" si="18"/>
        <v>110699.95000000001</v>
      </c>
      <c r="AU104" s="6">
        <f t="shared" si="18"/>
        <v>60274.275000000001</v>
      </c>
      <c r="AV104" s="6">
        <f t="shared" si="18"/>
        <v>59570.375999999997</v>
      </c>
      <c r="AW104" s="6">
        <f t="shared" si="18"/>
        <v>58866.468000000001</v>
      </c>
      <c r="AX104" s="6">
        <f t="shared" si="18"/>
        <v>58162.577999999994</v>
      </c>
      <c r="AY104" s="6">
        <f t="shared" si="18"/>
        <v>57458.678999999996</v>
      </c>
      <c r="AZ104" s="6">
        <f t="shared" si="18"/>
        <v>56754.78</v>
      </c>
      <c r="BA104" s="6">
        <f t="shared" si="18"/>
        <v>56050.880999999994</v>
      </c>
      <c r="BB104" s="6">
        <f t="shared" si="18"/>
        <v>55346.981999999996</v>
      </c>
      <c r="BC104" s="6">
        <f t="shared" si="18"/>
        <v>54643.082999999999</v>
      </c>
      <c r="BD104" s="6">
        <f t="shared" si="18"/>
        <v>53939.183999999994</v>
      </c>
      <c r="BE104" s="6">
        <f t="shared" si="18"/>
        <v>53235.284999999996</v>
      </c>
      <c r="BF104" s="6">
        <f t="shared" si="18"/>
        <v>52531.385999999991</v>
      </c>
      <c r="BG104" s="6">
        <f t="shared" si="18"/>
        <v>51827.495999999999</v>
      </c>
      <c r="BH104" s="6">
        <f t="shared" si="18"/>
        <v>98124.588000000003</v>
      </c>
      <c r="BI104" s="6">
        <f t="shared" si="18"/>
        <v>97420.689000000013</v>
      </c>
      <c r="BJ104" s="6">
        <f t="shared" si="18"/>
        <v>200861.99</v>
      </c>
      <c r="BK104" s="6">
        <f t="shared" si="18"/>
        <v>0</v>
      </c>
      <c r="BL104" s="6">
        <f t="shared" si="18"/>
        <v>0</v>
      </c>
      <c r="BM104" s="6">
        <f t="shared" si="18"/>
        <v>0</v>
      </c>
      <c r="BN104" s="6">
        <f t="shared" si="18"/>
        <v>0</v>
      </c>
      <c r="BO104" s="6">
        <f t="shared" ref="BO104:CT104" si="19">BO102-BO103</f>
        <v>0</v>
      </c>
      <c r="BP104" s="6">
        <f t="shared" si="19"/>
        <v>0</v>
      </c>
      <c r="BQ104" s="6">
        <f t="shared" si="19"/>
        <v>0</v>
      </c>
      <c r="BR104" s="6">
        <f t="shared" si="19"/>
        <v>0</v>
      </c>
      <c r="BS104" s="6">
        <f t="shared" si="19"/>
        <v>0</v>
      </c>
      <c r="BT104" s="6">
        <f t="shared" si="19"/>
        <v>0</v>
      </c>
      <c r="BU104" s="6">
        <f t="shared" si="19"/>
        <v>0</v>
      </c>
      <c r="BV104" s="6">
        <f t="shared" si="19"/>
        <v>0</v>
      </c>
      <c r="BW104" s="6">
        <f t="shared" si="19"/>
        <v>0</v>
      </c>
      <c r="BX104" s="6">
        <f t="shared" si="19"/>
        <v>0</v>
      </c>
      <c r="BY104" s="6">
        <f t="shared" si="19"/>
        <v>0</v>
      </c>
      <c r="BZ104" s="6">
        <f t="shared" si="19"/>
        <v>0</v>
      </c>
      <c r="CA104" s="6">
        <f t="shared" si="19"/>
        <v>0</v>
      </c>
      <c r="CB104" s="6">
        <f t="shared" si="19"/>
        <v>0</v>
      </c>
      <c r="CC104" s="6">
        <f t="shared" si="19"/>
        <v>0</v>
      </c>
      <c r="CD104" s="6">
        <f t="shared" si="19"/>
        <v>0</v>
      </c>
      <c r="CE104" s="6">
        <f t="shared" si="19"/>
        <v>0</v>
      </c>
      <c r="CF104" s="6">
        <f t="shared" si="19"/>
        <v>0</v>
      </c>
      <c r="CG104" s="6">
        <f t="shared" si="19"/>
        <v>0</v>
      </c>
      <c r="CH104" s="37">
        <f t="shared" si="19"/>
        <v>0</v>
      </c>
    </row>
    <row r="105" spans="1:86" ht="15" customHeight="1" x14ac:dyDescent="0.25">
      <c r="A105" s="2" t="s">
        <v>29</v>
      </c>
      <c r="B105" s="7">
        <f t="shared" si="9"/>
        <v>2951665.9260000009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f t="shared" ref="L105:Z105" si="20">MAX(0,L104)*0.4</f>
        <v>12418.1296</v>
      </c>
      <c r="M105" s="6">
        <f t="shared" si="20"/>
        <v>8251.3296000000009</v>
      </c>
      <c r="N105" s="6">
        <f t="shared" si="20"/>
        <v>8251.3296000000009</v>
      </c>
      <c r="O105" s="6">
        <f t="shared" si="20"/>
        <v>8251.3296000000009</v>
      </c>
      <c r="P105" s="6">
        <f t="shared" si="20"/>
        <v>5251.3296000000009</v>
      </c>
      <c r="Q105" s="6">
        <f t="shared" si="20"/>
        <v>5251.3296000000009</v>
      </c>
      <c r="R105" s="6">
        <f t="shared" si="20"/>
        <v>14573.227200000001</v>
      </c>
      <c r="S105" s="6">
        <f t="shared" si="20"/>
        <v>23895.124799999998</v>
      </c>
      <c r="T105" s="6">
        <f t="shared" si="20"/>
        <v>33217.022400000002</v>
      </c>
      <c r="U105" s="6">
        <f t="shared" si="20"/>
        <v>39817.195999999996</v>
      </c>
      <c r="V105" s="6">
        <f t="shared" si="20"/>
        <v>50174.864000000001</v>
      </c>
      <c r="W105" s="6">
        <f t="shared" si="20"/>
        <v>60532.524000000005</v>
      </c>
      <c r="X105" s="6">
        <f t="shared" si="20"/>
        <v>70890.183999999994</v>
      </c>
      <c r="Y105" s="6">
        <f t="shared" si="20"/>
        <v>81247.847999999998</v>
      </c>
      <c r="Z105" s="6">
        <f t="shared" si="20"/>
        <v>91605.516000000003</v>
      </c>
      <c r="AA105" s="6">
        <f t="shared" ref="AA105:AM105" si="21">MAX(0,AA104)*0.45</f>
        <v>114708.573</v>
      </c>
      <c r="AB105" s="6">
        <f t="shared" si="21"/>
        <v>126360.9495</v>
      </c>
      <c r="AC105" s="6">
        <f t="shared" si="21"/>
        <v>153598.32449999999</v>
      </c>
      <c r="AD105" s="6">
        <f t="shared" si="21"/>
        <v>113404.95450000001</v>
      </c>
      <c r="AE105" s="6">
        <f t="shared" si="21"/>
        <v>113756.90850000001</v>
      </c>
      <c r="AF105" s="6">
        <f t="shared" si="21"/>
        <v>114108.8535</v>
      </c>
      <c r="AG105" s="6">
        <f t="shared" si="21"/>
        <v>114460.80300000001</v>
      </c>
      <c r="AH105" s="6">
        <f t="shared" si="21"/>
        <v>114812.74800000001</v>
      </c>
      <c r="AI105" s="6">
        <f t="shared" si="21"/>
        <v>126817.06950000001</v>
      </c>
      <c r="AJ105" s="6">
        <f t="shared" si="21"/>
        <v>115516.65149999999</v>
      </c>
      <c r="AK105" s="6">
        <f t="shared" si="21"/>
        <v>104216.22900000001</v>
      </c>
      <c r="AL105" s="6">
        <f t="shared" si="21"/>
        <v>92915.806500000006</v>
      </c>
      <c r="AM105" s="6">
        <f t="shared" si="21"/>
        <v>81615.37950000001</v>
      </c>
      <c r="AN105" s="6">
        <f t="shared" ref="AN105:CG105" si="22">MAX(0,AN104)*0.5</f>
        <v>78127.735000000001</v>
      </c>
      <c r="AO105" s="6">
        <f t="shared" si="22"/>
        <v>65571.710000000006</v>
      </c>
      <c r="AP105" s="6">
        <f t="shared" si="22"/>
        <v>53015.679999999993</v>
      </c>
      <c r="AQ105" s="6">
        <f t="shared" si="22"/>
        <v>40459.660000000003</v>
      </c>
      <c r="AR105" s="6">
        <f t="shared" si="22"/>
        <v>28388.2215</v>
      </c>
      <c r="AS105" s="6">
        <f t="shared" si="22"/>
        <v>68297.05</v>
      </c>
      <c r="AT105" s="6">
        <f t="shared" si="22"/>
        <v>55349.975000000006</v>
      </c>
      <c r="AU105" s="6">
        <f t="shared" si="22"/>
        <v>30137.137500000001</v>
      </c>
      <c r="AV105" s="6">
        <f t="shared" si="22"/>
        <v>29785.187999999998</v>
      </c>
      <c r="AW105" s="6">
        <f t="shared" si="22"/>
        <v>29433.234</v>
      </c>
      <c r="AX105" s="6">
        <f t="shared" si="22"/>
        <v>29081.288999999997</v>
      </c>
      <c r="AY105" s="6">
        <f t="shared" si="22"/>
        <v>28729.339499999998</v>
      </c>
      <c r="AZ105" s="6">
        <f t="shared" si="22"/>
        <v>28377.39</v>
      </c>
      <c r="BA105" s="6">
        <f t="shared" si="22"/>
        <v>28025.440499999997</v>
      </c>
      <c r="BB105" s="6">
        <f t="shared" si="22"/>
        <v>27673.490999999998</v>
      </c>
      <c r="BC105" s="6">
        <f t="shared" si="22"/>
        <v>27321.541499999999</v>
      </c>
      <c r="BD105" s="6">
        <f t="shared" si="22"/>
        <v>26969.591999999997</v>
      </c>
      <c r="BE105" s="6">
        <f t="shared" si="22"/>
        <v>26617.642499999998</v>
      </c>
      <c r="BF105" s="6">
        <f t="shared" si="22"/>
        <v>26265.692999999996</v>
      </c>
      <c r="BG105" s="6">
        <f t="shared" si="22"/>
        <v>25913.748</v>
      </c>
      <c r="BH105" s="6">
        <f t="shared" si="22"/>
        <v>49062.294000000002</v>
      </c>
      <c r="BI105" s="6">
        <f t="shared" si="22"/>
        <v>48710.344500000007</v>
      </c>
      <c r="BJ105" s="6">
        <f t="shared" si="22"/>
        <v>100430.995</v>
      </c>
      <c r="BK105" s="6">
        <f t="shared" si="22"/>
        <v>0</v>
      </c>
      <c r="BL105" s="6">
        <f t="shared" si="22"/>
        <v>0</v>
      </c>
      <c r="BM105" s="6">
        <f t="shared" si="22"/>
        <v>0</v>
      </c>
      <c r="BN105" s="6">
        <f t="shared" si="22"/>
        <v>0</v>
      </c>
      <c r="BO105" s="6">
        <f t="shared" si="22"/>
        <v>0</v>
      </c>
      <c r="BP105" s="6">
        <f t="shared" si="22"/>
        <v>0</v>
      </c>
      <c r="BQ105" s="6">
        <f t="shared" si="22"/>
        <v>0</v>
      </c>
      <c r="BR105" s="6">
        <f t="shared" si="22"/>
        <v>0</v>
      </c>
      <c r="BS105" s="6">
        <f t="shared" si="22"/>
        <v>0</v>
      </c>
      <c r="BT105" s="6">
        <f t="shared" si="22"/>
        <v>0</v>
      </c>
      <c r="BU105" s="6">
        <f t="shared" si="22"/>
        <v>0</v>
      </c>
      <c r="BV105" s="6">
        <f t="shared" si="22"/>
        <v>0</v>
      </c>
      <c r="BW105" s="6">
        <f t="shared" si="22"/>
        <v>0</v>
      </c>
      <c r="BX105" s="6">
        <f t="shared" si="22"/>
        <v>0</v>
      </c>
      <c r="BY105" s="6">
        <f t="shared" si="22"/>
        <v>0</v>
      </c>
      <c r="BZ105" s="6">
        <f t="shared" si="22"/>
        <v>0</v>
      </c>
      <c r="CA105" s="6">
        <f t="shared" si="22"/>
        <v>0</v>
      </c>
      <c r="CB105" s="6">
        <f t="shared" si="22"/>
        <v>0</v>
      </c>
      <c r="CC105" s="6">
        <f t="shared" si="22"/>
        <v>0</v>
      </c>
      <c r="CD105" s="6">
        <f t="shared" si="22"/>
        <v>0</v>
      </c>
      <c r="CE105" s="6">
        <f t="shared" si="22"/>
        <v>0</v>
      </c>
      <c r="CF105" s="6">
        <f t="shared" si="22"/>
        <v>0</v>
      </c>
      <c r="CG105" s="6">
        <f t="shared" si="22"/>
        <v>0</v>
      </c>
      <c r="CH105" s="37">
        <f>MAX(0,CH104)*$B$95</f>
        <v>0</v>
      </c>
    </row>
    <row r="106" spans="1:86" ht="15" customHeight="1" x14ac:dyDescent="0.25">
      <c r="A106" s="2" t="s">
        <v>30</v>
      </c>
      <c r="B106" s="7">
        <f t="shared" ref="B106:AG106" si="23">B104-B105</f>
        <v>3538767.4570000004</v>
      </c>
      <c r="C106" s="6">
        <f t="shared" si="23"/>
        <v>0</v>
      </c>
      <c r="D106" s="6">
        <f t="shared" si="23"/>
        <v>0</v>
      </c>
      <c r="E106" s="6">
        <f t="shared" si="23"/>
        <v>0</v>
      </c>
      <c r="F106" s="6">
        <f t="shared" si="23"/>
        <v>0</v>
      </c>
      <c r="G106" s="6">
        <f t="shared" si="23"/>
        <v>0</v>
      </c>
      <c r="H106" s="6">
        <f t="shared" si="23"/>
        <v>0</v>
      </c>
      <c r="I106" s="6">
        <f t="shared" si="23"/>
        <v>0</v>
      </c>
      <c r="J106" s="6">
        <f t="shared" si="23"/>
        <v>0</v>
      </c>
      <c r="K106" s="6">
        <f t="shared" si="23"/>
        <v>0</v>
      </c>
      <c r="L106" s="6">
        <f t="shared" si="23"/>
        <v>18627.1944</v>
      </c>
      <c r="M106" s="6">
        <f t="shared" si="23"/>
        <v>12376.9944</v>
      </c>
      <c r="N106" s="6">
        <f t="shared" si="23"/>
        <v>12376.9944</v>
      </c>
      <c r="O106" s="6">
        <f t="shared" si="23"/>
        <v>12376.9944</v>
      </c>
      <c r="P106" s="6">
        <f t="shared" si="23"/>
        <v>7876.9943999999996</v>
      </c>
      <c r="Q106" s="6">
        <f t="shared" si="23"/>
        <v>7876.9943999999996</v>
      </c>
      <c r="R106" s="6">
        <f t="shared" si="23"/>
        <v>21859.840799999998</v>
      </c>
      <c r="S106" s="6">
        <f t="shared" si="23"/>
        <v>35842.687199999993</v>
      </c>
      <c r="T106" s="6">
        <f t="shared" si="23"/>
        <v>49825.533599999995</v>
      </c>
      <c r="U106" s="6">
        <f t="shared" si="23"/>
        <v>59725.793999999994</v>
      </c>
      <c r="V106" s="6">
        <f t="shared" si="23"/>
        <v>75262.296000000002</v>
      </c>
      <c r="W106" s="6">
        <f t="shared" si="23"/>
        <v>90798.785999999993</v>
      </c>
      <c r="X106" s="6">
        <f t="shared" si="23"/>
        <v>106335.276</v>
      </c>
      <c r="Y106" s="6">
        <f t="shared" si="23"/>
        <v>121871.772</v>
      </c>
      <c r="Z106" s="6">
        <f t="shared" si="23"/>
        <v>137408.27399999998</v>
      </c>
      <c r="AA106" s="6">
        <f t="shared" si="23"/>
        <v>140199.367</v>
      </c>
      <c r="AB106" s="6">
        <f t="shared" si="23"/>
        <v>154441.1605</v>
      </c>
      <c r="AC106" s="6">
        <f t="shared" si="23"/>
        <v>187731.2855</v>
      </c>
      <c r="AD106" s="6">
        <f t="shared" si="23"/>
        <v>138606.05550000002</v>
      </c>
      <c r="AE106" s="6">
        <f t="shared" si="23"/>
        <v>139036.22149999999</v>
      </c>
      <c r="AF106" s="6">
        <f t="shared" si="23"/>
        <v>139466.37649999998</v>
      </c>
      <c r="AG106" s="6">
        <f t="shared" si="23"/>
        <v>139896.53700000001</v>
      </c>
      <c r="AH106" s="6">
        <f t="shared" ref="AH106:BM106" si="24">AH104-AH105</f>
        <v>140326.69199999998</v>
      </c>
      <c r="AI106" s="6">
        <f t="shared" si="24"/>
        <v>154998.64050000001</v>
      </c>
      <c r="AJ106" s="6">
        <f t="shared" si="24"/>
        <v>141187.01850000001</v>
      </c>
      <c r="AK106" s="6">
        <f t="shared" si="24"/>
        <v>127375.39099999999</v>
      </c>
      <c r="AL106" s="6">
        <f t="shared" si="24"/>
        <v>113563.7635</v>
      </c>
      <c r="AM106" s="6">
        <f t="shared" si="24"/>
        <v>99752.130499999999</v>
      </c>
      <c r="AN106" s="6">
        <f t="shared" si="24"/>
        <v>78127.735000000001</v>
      </c>
      <c r="AO106" s="6">
        <f t="shared" si="24"/>
        <v>65571.710000000006</v>
      </c>
      <c r="AP106" s="6">
        <f t="shared" si="24"/>
        <v>53015.679999999993</v>
      </c>
      <c r="AQ106" s="6">
        <f t="shared" si="24"/>
        <v>40459.660000000003</v>
      </c>
      <c r="AR106" s="6">
        <f t="shared" si="24"/>
        <v>28388.2215</v>
      </c>
      <c r="AS106" s="6">
        <f t="shared" si="24"/>
        <v>68297.05</v>
      </c>
      <c r="AT106" s="6">
        <f t="shared" si="24"/>
        <v>55349.975000000006</v>
      </c>
      <c r="AU106" s="6">
        <f t="shared" si="24"/>
        <v>30137.137500000001</v>
      </c>
      <c r="AV106" s="6">
        <f t="shared" si="24"/>
        <v>29785.187999999998</v>
      </c>
      <c r="AW106" s="6">
        <f t="shared" si="24"/>
        <v>29433.234</v>
      </c>
      <c r="AX106" s="6">
        <f t="shared" si="24"/>
        <v>29081.288999999997</v>
      </c>
      <c r="AY106" s="6">
        <f t="shared" si="24"/>
        <v>28729.339499999998</v>
      </c>
      <c r="AZ106" s="6">
        <f t="shared" si="24"/>
        <v>28377.39</v>
      </c>
      <c r="BA106" s="6">
        <f t="shared" si="24"/>
        <v>28025.440499999997</v>
      </c>
      <c r="BB106" s="6">
        <f t="shared" si="24"/>
        <v>27673.490999999998</v>
      </c>
      <c r="BC106" s="6">
        <f t="shared" si="24"/>
        <v>27321.541499999999</v>
      </c>
      <c r="BD106" s="6">
        <f t="shared" si="24"/>
        <v>26969.591999999997</v>
      </c>
      <c r="BE106" s="6">
        <f t="shared" si="24"/>
        <v>26617.642499999998</v>
      </c>
      <c r="BF106" s="6">
        <f t="shared" si="24"/>
        <v>26265.692999999996</v>
      </c>
      <c r="BG106" s="6">
        <f t="shared" si="24"/>
        <v>25913.748</v>
      </c>
      <c r="BH106" s="6">
        <f t="shared" si="24"/>
        <v>49062.294000000002</v>
      </c>
      <c r="BI106" s="6">
        <f t="shared" si="24"/>
        <v>48710.344500000007</v>
      </c>
      <c r="BJ106" s="6">
        <f t="shared" si="24"/>
        <v>100430.995</v>
      </c>
      <c r="BK106" s="6">
        <f t="shared" si="24"/>
        <v>0</v>
      </c>
      <c r="BL106" s="6">
        <f t="shared" si="24"/>
        <v>0</v>
      </c>
      <c r="BM106" s="6">
        <f t="shared" si="24"/>
        <v>0</v>
      </c>
      <c r="BN106" s="6">
        <f t="shared" ref="BN106:CS106" si="25">BN104-BN105</f>
        <v>0</v>
      </c>
      <c r="BO106" s="6">
        <f t="shared" si="25"/>
        <v>0</v>
      </c>
      <c r="BP106" s="6">
        <f t="shared" si="25"/>
        <v>0</v>
      </c>
      <c r="BQ106" s="6">
        <f t="shared" si="25"/>
        <v>0</v>
      </c>
      <c r="BR106" s="6">
        <f t="shared" si="25"/>
        <v>0</v>
      </c>
      <c r="BS106" s="6">
        <f t="shared" si="25"/>
        <v>0</v>
      </c>
      <c r="BT106" s="6">
        <f t="shared" si="25"/>
        <v>0</v>
      </c>
      <c r="BU106" s="6">
        <f t="shared" si="25"/>
        <v>0</v>
      </c>
      <c r="BV106" s="6">
        <f t="shared" si="25"/>
        <v>0</v>
      </c>
      <c r="BW106" s="6">
        <f t="shared" si="25"/>
        <v>0</v>
      </c>
      <c r="BX106" s="6">
        <f t="shared" si="25"/>
        <v>0</v>
      </c>
      <c r="BY106" s="6">
        <f t="shared" si="25"/>
        <v>0</v>
      </c>
      <c r="BZ106" s="6">
        <f t="shared" si="25"/>
        <v>0</v>
      </c>
      <c r="CA106" s="6">
        <f t="shared" si="25"/>
        <v>0</v>
      </c>
      <c r="CB106" s="6">
        <f t="shared" si="25"/>
        <v>0</v>
      </c>
      <c r="CC106" s="6">
        <f t="shared" si="25"/>
        <v>0</v>
      </c>
      <c r="CD106" s="6">
        <f t="shared" si="25"/>
        <v>0</v>
      </c>
      <c r="CE106" s="6">
        <f t="shared" si="25"/>
        <v>0</v>
      </c>
      <c r="CF106" s="6">
        <f t="shared" si="25"/>
        <v>0</v>
      </c>
      <c r="CG106" s="6">
        <f t="shared" si="25"/>
        <v>0</v>
      </c>
      <c r="CH106" s="37">
        <f t="shared" si="25"/>
        <v>0</v>
      </c>
    </row>
    <row r="107" spans="1:86" ht="15" customHeight="1" x14ac:dyDescent="0.25">
      <c r="A107" s="2" t="s">
        <v>31</v>
      </c>
      <c r="B107" s="7">
        <f t="shared" ref="B107:AG107" si="26">B103+B106</f>
        <v>4101960.074</v>
      </c>
      <c r="C107" s="6">
        <f t="shared" si="26"/>
        <v>0</v>
      </c>
      <c r="D107" s="6">
        <f t="shared" si="26"/>
        <v>0</v>
      </c>
      <c r="E107" s="6">
        <f t="shared" si="26"/>
        <v>0</v>
      </c>
      <c r="F107" s="6">
        <f t="shared" si="26"/>
        <v>0</v>
      </c>
      <c r="G107" s="6">
        <f t="shared" si="26"/>
        <v>0</v>
      </c>
      <c r="H107" s="6">
        <f t="shared" si="26"/>
        <v>0</v>
      </c>
      <c r="I107" s="6">
        <f t="shared" si="26"/>
        <v>0</v>
      </c>
      <c r="J107" s="6">
        <f t="shared" si="26"/>
        <v>0</v>
      </c>
      <c r="K107" s="6">
        <f t="shared" si="26"/>
        <v>0</v>
      </c>
      <c r="L107" s="6">
        <f t="shared" si="26"/>
        <v>23132.2304</v>
      </c>
      <c r="M107" s="6">
        <f t="shared" si="26"/>
        <v>16882.0304</v>
      </c>
      <c r="N107" s="6">
        <f t="shared" si="26"/>
        <v>16882.0304</v>
      </c>
      <c r="O107" s="6">
        <f t="shared" si="26"/>
        <v>16882.0304</v>
      </c>
      <c r="P107" s="6">
        <f t="shared" si="26"/>
        <v>12382.0304</v>
      </c>
      <c r="Q107" s="6">
        <f t="shared" si="26"/>
        <v>12382.0304</v>
      </c>
      <c r="R107" s="6">
        <f t="shared" si="26"/>
        <v>28954.292799999999</v>
      </c>
      <c r="S107" s="6">
        <f t="shared" si="26"/>
        <v>45526.555199999995</v>
      </c>
      <c r="T107" s="6">
        <f t="shared" si="26"/>
        <v>62098.817599999995</v>
      </c>
      <c r="U107" s="6">
        <f t="shared" si="26"/>
        <v>72225.793999999994</v>
      </c>
      <c r="V107" s="6">
        <f t="shared" si="26"/>
        <v>87762.296000000002</v>
      </c>
      <c r="W107" s="6">
        <f t="shared" si="26"/>
        <v>103298.78599999999</v>
      </c>
      <c r="X107" s="6">
        <f t="shared" si="26"/>
        <v>118835.276</v>
      </c>
      <c r="Y107" s="6">
        <f t="shared" si="26"/>
        <v>134371.772</v>
      </c>
      <c r="Z107" s="6">
        <f t="shared" si="26"/>
        <v>149908.27399999998</v>
      </c>
      <c r="AA107" s="6">
        <f t="shared" si="26"/>
        <v>152699.367</v>
      </c>
      <c r="AB107" s="6">
        <f t="shared" si="26"/>
        <v>166941.1605</v>
      </c>
      <c r="AC107" s="6">
        <f t="shared" si="26"/>
        <v>200231.2855</v>
      </c>
      <c r="AD107" s="6">
        <f t="shared" si="26"/>
        <v>151106.05550000002</v>
      </c>
      <c r="AE107" s="6">
        <f t="shared" si="26"/>
        <v>151536.22149999999</v>
      </c>
      <c r="AF107" s="6">
        <f t="shared" si="26"/>
        <v>151966.37649999998</v>
      </c>
      <c r="AG107" s="6">
        <f t="shared" si="26"/>
        <v>152396.53700000001</v>
      </c>
      <c r="AH107" s="6">
        <f t="shared" ref="AH107:BM107" si="27">AH103+AH106</f>
        <v>152826.69199999998</v>
      </c>
      <c r="AI107" s="6">
        <f t="shared" si="27"/>
        <v>167498.64050000001</v>
      </c>
      <c r="AJ107" s="6">
        <f t="shared" si="27"/>
        <v>153687.01850000001</v>
      </c>
      <c r="AK107" s="6">
        <f t="shared" si="27"/>
        <v>139875.391</v>
      </c>
      <c r="AL107" s="6">
        <f t="shared" si="27"/>
        <v>126063.7635</v>
      </c>
      <c r="AM107" s="6">
        <f t="shared" si="27"/>
        <v>112252.1305</v>
      </c>
      <c r="AN107" s="6">
        <f t="shared" si="27"/>
        <v>90627.735000000001</v>
      </c>
      <c r="AO107" s="6">
        <f t="shared" si="27"/>
        <v>78071.710000000006</v>
      </c>
      <c r="AP107" s="6">
        <f t="shared" si="27"/>
        <v>65515.679999999993</v>
      </c>
      <c r="AQ107" s="6">
        <f t="shared" si="27"/>
        <v>52959.66</v>
      </c>
      <c r="AR107" s="6">
        <f t="shared" si="27"/>
        <v>39919.048500000004</v>
      </c>
      <c r="AS107" s="6">
        <f t="shared" si="27"/>
        <v>80797.05</v>
      </c>
      <c r="AT107" s="6">
        <f t="shared" si="27"/>
        <v>67849.975000000006</v>
      </c>
      <c r="AU107" s="6">
        <f t="shared" si="27"/>
        <v>42056.612500000003</v>
      </c>
      <c r="AV107" s="6">
        <f t="shared" si="27"/>
        <v>41626.451999999997</v>
      </c>
      <c r="AW107" s="6">
        <f t="shared" si="27"/>
        <v>41196.286</v>
      </c>
      <c r="AX107" s="6">
        <f t="shared" si="27"/>
        <v>40766.130999999994</v>
      </c>
      <c r="AY107" s="6">
        <f t="shared" si="27"/>
        <v>40335.970499999996</v>
      </c>
      <c r="AZ107" s="6">
        <f t="shared" si="27"/>
        <v>39905.81</v>
      </c>
      <c r="BA107" s="6">
        <f t="shared" si="27"/>
        <v>39475.6495</v>
      </c>
      <c r="BB107" s="6">
        <f t="shared" si="27"/>
        <v>39045.489000000001</v>
      </c>
      <c r="BC107" s="6">
        <f t="shared" si="27"/>
        <v>38615.328500000003</v>
      </c>
      <c r="BD107" s="6">
        <f t="shared" si="27"/>
        <v>38185.167999999998</v>
      </c>
      <c r="BE107" s="6">
        <f t="shared" si="27"/>
        <v>37755.0075</v>
      </c>
      <c r="BF107" s="6">
        <f t="shared" si="27"/>
        <v>37324.846999999994</v>
      </c>
      <c r="BG107" s="6">
        <f t="shared" si="27"/>
        <v>36894.692000000003</v>
      </c>
      <c r="BH107" s="6">
        <f t="shared" si="27"/>
        <v>59965.026000000005</v>
      </c>
      <c r="BI107" s="6">
        <f t="shared" si="27"/>
        <v>59534.865500000007</v>
      </c>
      <c r="BJ107" s="6">
        <f t="shared" si="27"/>
        <v>112930.995</v>
      </c>
      <c r="BK107" s="6">
        <f t="shared" si="27"/>
        <v>0</v>
      </c>
      <c r="BL107" s="6">
        <f t="shared" si="27"/>
        <v>0</v>
      </c>
      <c r="BM107" s="6">
        <f t="shared" si="27"/>
        <v>0</v>
      </c>
      <c r="BN107" s="6">
        <f t="shared" ref="BN107:CS107" si="28">BN103+BN106</f>
        <v>0</v>
      </c>
      <c r="BO107" s="6">
        <f t="shared" si="28"/>
        <v>0</v>
      </c>
      <c r="BP107" s="6">
        <f t="shared" si="28"/>
        <v>0</v>
      </c>
      <c r="BQ107" s="6">
        <f t="shared" si="28"/>
        <v>0</v>
      </c>
      <c r="BR107" s="6">
        <f t="shared" si="28"/>
        <v>0</v>
      </c>
      <c r="BS107" s="6">
        <f t="shared" si="28"/>
        <v>0</v>
      </c>
      <c r="BT107" s="6">
        <f t="shared" si="28"/>
        <v>0</v>
      </c>
      <c r="BU107" s="6">
        <f t="shared" si="28"/>
        <v>0</v>
      </c>
      <c r="BV107" s="6">
        <f t="shared" si="28"/>
        <v>0</v>
      </c>
      <c r="BW107" s="6">
        <f t="shared" si="28"/>
        <v>0</v>
      </c>
      <c r="BX107" s="6">
        <f t="shared" si="28"/>
        <v>0</v>
      </c>
      <c r="BY107" s="6">
        <f t="shared" si="28"/>
        <v>0</v>
      </c>
      <c r="BZ107" s="6">
        <f t="shared" si="28"/>
        <v>0</v>
      </c>
      <c r="CA107" s="6">
        <f t="shared" si="28"/>
        <v>0</v>
      </c>
      <c r="CB107" s="6">
        <f t="shared" si="28"/>
        <v>0</v>
      </c>
      <c r="CC107" s="6">
        <f t="shared" si="28"/>
        <v>0</v>
      </c>
      <c r="CD107" s="6">
        <f t="shared" si="28"/>
        <v>0</v>
      </c>
      <c r="CE107" s="6">
        <f t="shared" si="28"/>
        <v>0</v>
      </c>
      <c r="CF107" s="6">
        <f t="shared" si="28"/>
        <v>0</v>
      </c>
      <c r="CG107" s="6">
        <f t="shared" si="28"/>
        <v>0</v>
      </c>
      <c r="CH107" s="37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