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<sst xmlns="http://schemas.openxmlformats.org/spreadsheetml/2006/main" count="1212" uniqueCount="706">
  <si>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</si>
  <si>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</si>
  <si>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</si>
  <si>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</si>
  <si>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</si>
  <si>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</si>
  <si>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</si>
  <si>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</si>
  <si>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</si>
  <si>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</si>
  <si>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</si>
  <si>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</si>
  <si>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</si>
  <si>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</si>
  <si>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</si>
  <si>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</si>
  <si>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</si>
  <si>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</si>
  <si>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</si>
  <si>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</si>
  <si>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</si>
  <si>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</si>
  <si>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</si>
  <si>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</si>
  <si>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</si>
  <si>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</si>
  <si>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</si>
  <si>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</si>
  <si>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</si>
  <si>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</si>
  <si>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</si>
  <si>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</si>
  <si>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</si>
  <si>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</si>
  <si>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</si>
  <si>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</si>
  <si>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</si>
  <si>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</si>
  <si>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</si>
  <si>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</si>
  <si>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</si>
  <si>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</si>
  <si>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</si>
  <si>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</si>
  <si>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</si>
  <si>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</si>
  <si>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</si>
  <si>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</si>
  <si>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</si>
  <si>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</si>
  <si>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</si>
  <si>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</si>
  <si>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</si>
  <si>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</si>
  <si>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</si>
  <si>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</si>
  <si>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</si>
  <si>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</si>
  <si>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</si>
  <si>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</si>
  <si>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</si>
  <si>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</si>
  <si>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</si>
  <si>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Job Payroll</t>
  </si>
  <si>
    <t xml:space="preserve">GC Corporate Payroll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</si>
  <si>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</si>
  <si>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</si>
  <si>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</si>
  <si>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</si>
  <si>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</si>
  <si>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</si>
  <si>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</si>
  <si>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</si>
  <si>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</si>
  <si>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</si>
  <si>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</si>
  <si>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</si>
  <si>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</si>
  <si>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</si>
  <si>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</si>
  <si>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</si>
  <si>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</si>
  <si>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</si>
  <si>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</si>
  <si>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</si>
  <si>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</si>
  <si>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</si>
  <si>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</si>
  <si>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</si>
  <si>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</si>
  <si>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</si>
  <si>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</si>
  <si>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</si>
  <si>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</si>
  <si>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</si>
  <si>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</si>
  <si>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</si>
  <si>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</si>
  <si>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</si>
  <si>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</si>
  <si>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</si>
  <si>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</si>
  <si>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</si>
  <si>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</si>
  <si>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</si>
  <si>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</si>
  <si>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</si>
  <si>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</si>
  <si>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</si>
  <si>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</si>
  <si>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</si>
  <si>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</si>
  <si>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</si>
  <si>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</si>
  <si>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</si>
  <si>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</si>
  <si>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</si>
  <si>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</si>
  <si>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</si>
  <si>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</si>
  <si>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</si>
  <si>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</si>
  <si>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</si>
  <si>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</si>
  <si>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</si>
  <si>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</si>
  <si>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</si>
  <si>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</si>
  <si>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</si>
  <si>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</si>
  <si>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</si>
  <si>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</si>
  <si>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</si>
  <si>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</si>
  <si>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</si>
  <si>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</si>
  <si>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</si>
  <si>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</si>
  <si>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</si>
  <si>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</si>
  <si>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</si>
  <si>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</si>
  <si>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</si>
  <si>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</si>
  <si>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</si>
  <si>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</si>
  <si>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</si>
  <si>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</si>
  <si>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</si>
  <si>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</si>
  <si>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</si>
  <si>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</si>
  <si>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</si>
  <si>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</si>
  <si>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</si>
  <si>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</si>
  <si>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</si>
  <si>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</si>
  <si>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</si>
  <si>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</si>
  <si>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</si>
  <si>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</si>
  <si>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</si>
  <si>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</si>
  <si>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</si>
  <si>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</si>
  <si>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</si>
  <si>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</si>
  <si>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</si>
  <si>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</si>
  <si>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</si>
  <si>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</si>
  <si>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</si>
  <si>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</si>
  <si>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</si>
  <si>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</si>
  <si>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</si>
  <si>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</si>
  <si>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</si>
  <si>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</si>
  <si>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</si>
  <si>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</si>
  <si>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</si>
  <si>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</si>
  <si>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</si>
  <si>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</si>
  <si>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</si>
  <si>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</si>
  <si>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</si>
  <si>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</si>
  <si>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</si>
  <si>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</si>
  <si>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</si>
  <si>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</si>
  <si>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</si>
  <si>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</si>
  <si>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</si>
  <si>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</si>
  <si>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</si>
  <si>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</si>
  <si>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</si>
  <si>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</si>
  <si>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</si>
  <si>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</si>
  <si>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</si>
  <si>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</si>
  <si>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</si>
  <si>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</si>
  <si>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</si>
  <si>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</si>
  <si>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</si>
  <si>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</si>
  <si>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</si>
  <si>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</si>
  <si>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</si>
  <si>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</si>
  <si>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</si>
  <si>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</si>
  <si>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</si>
  <si>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</si>
  <si>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</si>
  <si>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</si>
  <si>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</si>
  <si>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</si>
  <si>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</si>
  <si>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</si>
  <si>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</si>
  <si>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</si>
  <si>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</si>
  <si>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</si>
  <si>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</si>
  <si>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</si>
  <si>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</si>
  <si>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</si>
  <si>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</si>
  <si>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</si>
  <si>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</si>
  <si>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</si>
  <si>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</si>
  <si>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</si>
  <si>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</si>
  <si>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</si>
  <si>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</si>
  <si>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</si>
  <si>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</si>
  <si>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</si>
  <si>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</si>
  <si>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</si>
  <si>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</si>
  <si>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</si>
  <si>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</si>
  <si>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</si>
  <si>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</si>
  <si>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</si>
  <si>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</si>
  <si>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</si>
  <si>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</si>
  <si>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</si>
  <si>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</si>
  <si>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</si>
  <si>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</si>
  <si>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</si>
  <si>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</si>
  <si>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</si>
  <si>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</si>
  <si>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</si>
  <si>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</si>
  <si>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</si>
  <si>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</si>
  <si>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</si>
  <si>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</si>
  <si>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</si>
  <si>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</si>
  <si>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</si>
  <si>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</si>
  <si>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</si>
  <si>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</si>
  <si>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</si>
  <si>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</si>
  <si>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</si>
  <si>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</si>
  <si>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</si>
  <si>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</si>
  <si>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</si>
  <si>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</si>
  <si>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</si>
  <si>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</si>
  <si>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</si>
  <si>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</si>
  <si>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</si>
  <si>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</si>
  <si>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</si>
  <si>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</si>
  <si>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</si>
  <si>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</si>
  <si>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</si>
  <si>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</si>
  <si>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</si>
  <si>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</si>
  <si>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</si>
  <si>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</si>
  <si>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</si>
  <si>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</si>
  <si>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</si>
  <si>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</si>
  <si>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</si>
  <si>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</si>
  <si>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</si>
  <si>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</si>
  <si>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</si>
  <si>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</si>
  <si>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</si>
  <si>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</si>
  <si>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</si>
  <si>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</si>
  <si>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</si>
  <si>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</si>
  <si>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</si>
  <si>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</si>
  <si>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</si>
  <si>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</si>
  <si>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</si>
  <si>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</si>
  <si>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</si>
  <si>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</si>
  <si>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</si>
  <si>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</si>
  <si>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</si>
  <si>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</si>
  <si>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</si>
  <si>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</si>
  <si>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</si>
  <si>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</si>
  <si>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</si>
  <si>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</si>
  <si>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</si>
  <si>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</si>
  <si>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</si>
  <si>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</si>
  <si>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</si>
  <si>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</si>
  <si>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</si>
  <si>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</si>
  <si>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</si>
  <si>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</si>
  <si>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</si>
  <si>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</si>
  <si>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</si>
  <si>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</si>
  <si>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</si>
  <si>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</si>
  <si>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</si>
  <si>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</si>
  <si>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</si>
  <si>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</si>
  <si>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</si>
  <si>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</si>
  <si>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</si>
  <si>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</si>
  <si>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</si>
  <si>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</si>
  <si>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</si>
  <si>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</si>
  <si>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</si>
  <si>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</si>
  <si>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</si>
  <si>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</si>
  <si>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</si>
  <si>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</si>
  <si>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</si>
  <si>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</si>
  <si>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</si>
  <si>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</si>
  <si>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</si>
  <si>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</si>
  <si>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</si>
  <si>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</si>
  <si>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</si>
  <si>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</si>
  <si>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</si>
  <si>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</si>
  <si>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</si>
  <si>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</si>
  <si>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</si>
  <si>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</si>
  <si>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</si>
  <si>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</si>
  <si>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</si>
  <si>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</si>
  <si>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</si>
  <si>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</si>
  <si>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</si>
  <si>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</si>
  <si>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</si>
  <si>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</si>
  <si>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</si>
  <si>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</si>
  <si>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</si>
  <si>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</si>
  <si>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</si>
  <si>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</si>
  <si>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</si>
  <si>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</si>
  <si>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</si>
  <si>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</si>
  <si>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</si>
  <si>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</si>
  <si>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</si>
  <si>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</si>
  <si>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</si>
  <si>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</si>
  <si>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</si>
  <si>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</si>
  <si>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</si>
  <si>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</si>
  <si>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</si>
  <si>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</si>
  <si>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</si>
  <si>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</si>
  <si>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</si>
  <si>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</si>
  <si>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</si>
  <si>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</si>
  <si>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</si>
  <si>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</si>
  <si>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</si>
  <si>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</si>
  <si>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</si>
  <si>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</si>
  <si>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</si>
  <si>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</si>
  <si>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</si>
  <si>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</si>
  <si>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</si>
  <si>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</si>
  <si>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</si>
  <si>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</si>
  <si>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</si>
  <si>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</si>
  <si>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</si>
  <si>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</si>
  <si>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</si>
  <si>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</si>
  <si>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</si>
  <si>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</si>
  <si>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</si>
  <si>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</si>
  <si>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</si>
  <si>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</si>
  <si>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</si>
  <si>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</si>
  <si>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</si>
  <si>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</si>
  <si>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</si>
  <si>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</si>
  <si>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</si>
  <si>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</si>
  <si>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</si>
  <si>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</si>
  <si>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</si>
  <si>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</si>
  <si>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</si>
  <si>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</si>
  <si>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</si>
  <si>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</si>
  <si>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</si>
  <si>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</si>
  <si>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</si>
  <si>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</si>
  <si>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</si>
  <si>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</si>
  <si>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</si>
  <si>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</si>
  <si>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</si>
  <si>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</si>
  <si>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</si>
  <si>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</si>
  <si>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</si>
  <si>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</si>
  <si>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</si>
  <si>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</si>
  <si>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Grady LaKamp</t>
  </si>
  <si>
    <t xml:space="preserve">Executive</t>
  </si>
  <si>
    <t xml:space="preserve">GC</t>
  </si>
  <si>
    <t xml:space="preserve">Corporate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</si>
  <si>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</si>
  <si>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</si>
  <si>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</si>
  <si>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</si>
  <si>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</si>
  <si>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</si>
  <si>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</si>
  <si>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</si>
  <si>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</si>
  <si>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</si>
  <si>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</si>
  <si>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</si>
  <si>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Field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</si>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</sst>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"/>
    <numFmt numFmtId="172" formatCode="0.0000"/>
    <numFmt numFmtId="173" formatCode="[$$-409]#,##0.00;[RED]\-[$$-409]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49799774.8170812</v>
      </c>
      <c r="C3" s="7" t="n">
        <f aca="false">Model!L7+Model!M7+Model!N7+Model!O7+Model!P7+Model!Q7+Model!R7+Model!S7+Model!T7+Model!U7+Model!V7+Model!W7</f>
        <v>87218736.6250868</v>
      </c>
      <c r="D3" s="7" t="n">
        <f aca="false">Model!X7+Model!Y7+Model!Z7+Model!AA7+Model!AB7+Model!AC7+Model!AD7+Model!AE7+Model!AF7+Model!AG7+Model!AH7+Model!AI7</f>
        <v>51675800.678054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2130762.97508117</v>
      </c>
      <c r="C5" s="10" t="n">
        <f aca="false">Model!L8+Model!M8+Model!N8+Model!O8+Model!P8+Model!Q8+Model!R8+Model!S8+Model!T8+Model!U8+Model!V8+Model!W8</f>
        <v>3682035.49760552</v>
      </c>
      <c r="D5" s="10" t="n">
        <f aca="false">Model!X8+Model!Y8+Model!Z8+Model!AA8+Model!AB8+Model!AC8+Model!AD8+Model!AE8+Model!AF8+Model!AG8+Model!AH8+Model!AI8</f>
        <v>3104814.05531656</v>
      </c>
      <c r="E5" s="10" t="n">
        <f aca="false">Model!AJ8+Model!AK8+Model!AL8+Model!AM8+Model!AN8+Model!AO8+Model!AP8+Model!AQ8+Model!AR8+Model!AS8+Model!AT8+Model!AU8</f>
        <v>1615745.26680195</v>
      </c>
      <c r="F5" s="10" t="n">
        <f aca="false">Model!AV8+Model!AW8+Model!AX8+Model!AY8+Model!AZ8+Model!BA8+Model!BB8+Model!BC8+Model!BD8+Model!BE8+Model!BF8+Model!BG8</f>
        <v>802253.007142857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2317007.36816041</v>
      </c>
      <c r="C6" s="10" t="n">
        <f aca="false">Model!L9+Model!M9+Model!N9+Model!O9+Model!P9+Model!Q9+Model!R9+Model!S9+Model!T9+Model!U9+Model!V9+Model!W9</f>
        <v>4155089.10846587</v>
      </c>
      <c r="D6" s="10" t="n">
        <f aca="false">Model!X9+Model!Y9+Model!Z9+Model!AA9+Model!AB9+Model!AC9+Model!AD9+Model!AE9+Model!AF9+Model!AG9+Model!AH9+Model!AI9</f>
        <v>2580433.04679308</v>
      </c>
      <c r="E6" s="10" t="n">
        <f aca="false">Model!AJ9+Model!AK9+Model!AL9+Model!AM9+Model!AN9+Model!AO9+Model!AP9+Model!AQ9+Model!AR9+Model!AS9+Model!AT9+Model!AU9</f>
        <v>1670684.32468479</v>
      </c>
      <c r="F6" s="10" t="n">
        <f aca="false">Model!AV9+Model!AW9+Model!AX9+Model!AY9+Model!AZ9+Model!BA9+Model!BB9+Model!BC9+Model!BD9+Model!BE9+Model!BF9+Model!BG9</f>
        <v>714133.6375395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591047.576068723</v>
      </c>
      <c r="C7" s="10" t="n">
        <f aca="false">Model!L10+Model!M10+Model!N10+Model!O10+Model!P10+Model!Q10+Model!R10+Model!S10+Model!T10+Model!U10+Model!V10+Model!W10</f>
        <v>1126834.58149351</v>
      </c>
      <c r="D7" s="10" t="n">
        <f aca="false">Model!X10+Model!Y10+Model!Z10+Model!AA10+Model!AB10+Model!AC10+Model!AD10+Model!AE10+Model!AF10+Model!AG10+Model!AH10+Model!AI10</f>
        <v>1034938.01843885</v>
      </c>
      <c r="E7" s="10" t="n">
        <f aca="false">Model!AJ10+Model!AK10+Model!AL10+Model!AM10+Model!AN10+Model!AO10+Model!AP10+Model!AQ10+Model!AR10+Model!AS10+Model!AT10+Model!AU10</f>
        <v>538581.755600649</v>
      </c>
      <c r="F7" s="10" t="n">
        <f aca="false">Model!AV10+Model!AW10+Model!AX10+Model!AY10+Model!AZ10+Model!BA10+Model!BB10+Model!BC10+Model!BD10+Model!BE10+Model!BF10+Model!BG10</f>
        <v>267417.669047619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6444355.5393103</v>
      </c>
      <c r="C9" s="12" t="n">
        <f aca="false">Model!L12+Model!M12+Model!N12+Model!O12+Model!P12+Model!Q12+Model!R12+Model!S12+Model!T12+Model!U12+Model!V12+Model!W12</f>
        <v>9642960.73756489</v>
      </c>
      <c r="D9" s="12" t="n">
        <f aca="false">Model!X12+Model!Y12+Model!Z12+Model!AA12+Model!AB12+Model!AC12+Model!AD12+Model!AE12+Model!AF12+Model!AG12+Model!AH12+Model!AI12</f>
        <v>7340504.60054849</v>
      </c>
      <c r="E9" s="12" t="n">
        <f aca="false">Model!AJ12+Model!AK12+Model!AL12+Model!AM12+Model!AN12+Model!AO12+Model!AP12+Model!AQ12+Model!AR12+Model!AS12+Model!AT12+Model!AU12</f>
        <v>3825011.34708739</v>
      </c>
      <c r="F9" s="12" t="n">
        <f aca="false">Model!AV12+Model!AW12+Model!AX12+Model!AY12+Model!AZ12+Model!BA12+Model!BB12+Model!BC12+Model!BD12+Model!BE12+Model!BF12+Model!BG12</f>
        <v>1783804.31372998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Model!C16+Model!C17+Model!D16+Model!D17+Model!E16+Model!E17+Model!F16+Model!F17+Model!G16+Model!G17+Model!H16+Model!H17+Model!I16+Model!I17+Model!J16+Model!J17+Model!K16+Model!K17</f>
        <v>-2218919</v>
      </c>
      <c r="C13" s="10" t="n">
        <f aca="false"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10" t="n">
        <f aca="false"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10" t="n">
        <f aca="false"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10" t="n">
        <f aca="false"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10" t="n">
        <f aca="false"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10" t="n">
        <f aca="false"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10" t="n">
        <f aca="false">Model!CF16+Model!CF17+Model!CG16+Model!CG17+Model!CH16+Model!CH17</f>
        <v>-771723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Model!C18+Model!D18+Model!E18+Model!F18+Model!G18+Model!H18+Model!I18+Model!J18+Model!K18</f>
        <v>-491250</v>
      </c>
      <c r="C14" s="10" t="n">
        <f aca="false">Model!L18+Model!M18+Model!N18+Model!O18+Model!P18+Model!Q18+Model!R18+Model!S18+Model!T18+Model!U18+Model!V18+Model!W18</f>
        <v>-664825</v>
      </c>
      <c r="D14" s="10" t="n">
        <f aca="false">Model!X18+Model!Y18+Model!Z18+Model!AA18+Model!AB18+Model!AC18+Model!AD18+Model!AE18+Model!AF18+Model!AG18+Model!AH18+Model!AI18</f>
        <v>-678121.5</v>
      </c>
      <c r="E14" s="10" t="n">
        <f aca="false">Model!AJ18+Model!AK18+Model!AL18+Model!AM18+Model!AN18+Model!AO18+Model!AP18+Model!AQ18+Model!AR18+Model!AS18+Model!AT18+Model!AU18</f>
        <v>-691683.93</v>
      </c>
      <c r="F14" s="10" t="n">
        <f aca="false">Model!AV18+Model!AW18+Model!AX18+Model!AY18+Model!AZ18+Model!BA18+Model!BB18+Model!BC18+Model!BD18+Model!BE18+Model!BF18+Model!BG18</f>
        <v>-705517.6086</v>
      </c>
      <c r="G14" s="10" t="n">
        <f aca="false">Model!BH18+Model!BI18+Model!BJ18+Model!BK18+Model!BL18+Model!BM18+Model!BN18+Model!BO18+Model!BP18+Model!BQ18+Model!BR18+Model!BS18</f>
        <v>-719627.960772</v>
      </c>
      <c r="H14" s="10" t="n">
        <f aca="false">Model!BT18+Model!BU18+Model!BV18+Model!BW18+Model!BX18+Model!BY18+Model!BZ18+Model!CA18+Model!CB18+Model!CC18+Model!CD18+Model!CE18</f>
        <v>-734020.51998744</v>
      </c>
      <c r="I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Model!C39+Model!D39+Model!E39+Model!F39+Model!G39+Model!H39+Model!I39+Model!J39+Model!K39</f>
        <v>-4068226.8442</v>
      </c>
      <c r="C15" s="12" t="n">
        <f aca="false">Model!L39+Model!M39+Model!N39+Model!O39+Model!P39+Model!Q39+Model!R39+Model!S39+Model!T39+Model!U39+Model!V39+Model!W39</f>
        <v>-6143885.2157</v>
      </c>
      <c r="D15" s="12" t="n">
        <f aca="false">Model!X39+Model!Y39+Model!Z39+Model!AA39+Model!AB39+Model!AC39+Model!AD39+Model!AE39+Model!AF39+Model!AG39+Model!AH39+Model!AI39</f>
        <v>-6048457.194514</v>
      </c>
      <c r="E15" s="12" t="n">
        <f aca="false">Model!AJ39+Model!AK39+Model!AL39+Model!AM39+Model!AN39+Model!AO39+Model!AP39+Model!AQ39+Model!AR39+Model!AS39+Model!AT39+Model!AU39</f>
        <v>-4736782.44760428</v>
      </c>
      <c r="F15" s="12" t="n">
        <f aca="false">Model!AV39+Model!AW39+Model!AX39+Model!AY39+Model!AZ39+Model!BA39+Model!BB39+Model!BC39+Model!BD39+Model!BE39+Model!BF39+Model!BG39</f>
        <v>-4769780.25655637</v>
      </c>
      <c r="G15" s="12" t="n">
        <f aca="false">Model!BH39+Model!BI39+Model!BJ39+Model!BK39+Model!BL39+Model!BM39+Model!BN39+Model!BO39+Model!BP39+Model!BQ39+Model!BR39+Model!BS39</f>
        <v>-4803438.0216875</v>
      </c>
      <c r="H15" s="12" t="n">
        <f aca="false">Model!BT39+Model!BU39+Model!BV39+Model!BW39+Model!BX39+Model!BY39+Model!BZ39+Model!CA39+Model!CB39+Model!CC39+Model!CD39+Model!CE39</f>
        <v>-4837768.94212125</v>
      </c>
      <c r="I15" s="12" t="n">
        <f aca="false">Model!CF39+Model!CG39+Model!CH39</f>
        <v>-1211598.48792209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Model!C41+Model!D41+Model!E41+Model!F41+Model!G41+Model!H41+Model!I41+Model!J41+Model!K41</f>
        <v>2376128.6951103</v>
      </c>
      <c r="C16" s="16" t="n">
        <f aca="false">Model!L41+Model!M41+Model!N41+Model!O41+Model!P41+Model!Q41+Model!R41+Model!S41+Model!T41+Model!U41+Model!V41+Model!W41</f>
        <v>3499075.52186489</v>
      </c>
      <c r="D16" s="16" t="n">
        <f aca="false">Model!X41+Model!Y41+Model!Z41+Model!AA41+Model!AB41+Model!AC41+Model!AD41+Model!AE41+Model!AF41+Model!AG41+Model!AH41+Model!AI41</f>
        <v>1292047.40603449</v>
      </c>
      <c r="E16" s="16" t="n">
        <f aca="false">Model!AJ41+Model!AK41+Model!AL41+Model!AM41+Model!AN41+Model!AO41+Model!AP41+Model!AQ41+Model!AR41+Model!AS41+Model!AT41+Model!AU41</f>
        <v>-911771.100516892</v>
      </c>
      <c r="F16" s="16" t="n">
        <f aca="false">Model!AV41+Model!AW41+Model!AX41+Model!AY41+Model!AZ41+Model!BA41+Model!BB41+Model!BC41+Model!BD41+Model!BE41+Model!BF41+Model!BG41</f>
        <v>-2985975.94282639</v>
      </c>
      <c r="G16" s="16" t="n">
        <f aca="false">Model!BH41+Model!BI41+Model!BJ41+Model!BK41+Model!BL41+Model!BM41+Model!BN41+Model!BO41+Model!BP41+Model!BQ41+Model!BR41+Model!BS41</f>
        <v>-4803438.0216875</v>
      </c>
      <c r="H16" s="16" t="n">
        <f aca="false">Model!BT41+Model!BU41+Model!BV41+Model!BW41+Model!BX41+Model!BY41+Model!BZ41+Model!CA41+Model!CB41+Model!CC41+Model!CD41+Model!CE41</f>
        <v>-4837768.94212125</v>
      </c>
      <c r="I16" s="16" t="n">
        <f aca="false">Model!CF41+Model!CG41+Model!CH41</f>
        <v>-1211598.48792209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0.368714711752947</v>
      </c>
      <c r="C17" s="17" t="n">
        <f aca="false"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0.362863192860879</v>
      </c>
      <c r="D17" s="17" t="n">
        <f aca="false"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0.176016156428531</v>
      </c>
      <c r="E17" s="17" t="n">
        <f aca="false"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-0.23837082240584</v>
      </c>
      <c r="F17" s="17" t="n">
        <f aca="false"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-1.67393694467677</v>
      </c>
      <c r="G17" s="17" t="n">
        <f aca="false"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IF((Model!CF12+Model!CG12+Model!CH12)&lt;&gt;0,(Model!CF41+Model!CG41+Model!CH41)/(Model!CF12+Model!CG12+Model!CH12),0)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Model!C64+Model!D64+Model!E64+Model!F64+Model!G64+Model!H64+Model!I64+Model!J64+Model!K64</f>
        <v>370447.9</v>
      </c>
      <c r="C19" s="19" t="n">
        <f aca="false">Model!L64+Model!M64+Model!N64+Model!O64+Model!P64+Model!Q64+Model!R64+Model!S64+Model!T64+Model!U64+Model!V64+Model!W64</f>
        <v>733409.5624</v>
      </c>
      <c r="D19" s="19" t="n">
        <f aca="false">Model!X64+Model!Y64+Model!Z64+Model!AA64+Model!AB64+Model!AC64+Model!AD64+Model!AE64+Model!AF64+Model!AG64+Model!AH64+Model!AI64</f>
        <v>2216571.5296</v>
      </c>
      <c r="E19" s="19" t="n">
        <f aca="false">Model!AJ64+Model!AK64+Model!AL64+Model!AM64+Model!AN64+Model!AO64+Model!AP64+Model!AQ64+Model!AR64+Model!AS64+Model!AT64+Model!AU64</f>
        <v>1366426.7664</v>
      </c>
      <c r="F19" s="19" t="n">
        <f aca="false">Model!AV64+Model!AW64+Model!AX64+Model!AY64+Model!AZ64+Model!BA64+Model!BB64+Model!BC64+Model!BD64+Model!BE64+Model!BF64+Model!BG64</f>
        <v>1802920.1488</v>
      </c>
      <c r="G19" s="19" t="n">
        <f aca="false">Model!BH64+Model!BI64+Model!BJ64+Model!BK64+Model!BL64+Model!BM64+Model!BN64+Model!BO64+Model!BP64+Model!BQ64+Model!BR64+Model!BS64</f>
        <v>822166.0928</v>
      </c>
      <c r="H19" s="19" t="n">
        <f aca="false">Model!BT64+Model!BU64+Model!BV64+Model!BW64+Model!BX64+Model!BY64+Model!BZ64+Model!CA64+Model!CB64+Model!CC64+Model!CD64+Model!CE64</f>
        <v>819993</v>
      </c>
      <c r="I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Model!C85+Model!D85+Model!E85+Model!F85+Model!G85+Model!H85+Model!I85+Model!J85+Model!K85</f>
        <v>-1095331.25</v>
      </c>
      <c r="C20" s="10" t="n">
        <f aca="false">Model!L85+Model!M85+Model!N85+Model!O85+Model!P85+Model!Q85+Model!R85+Model!S85+Model!T85+Model!U85+Model!V85+Model!W85</f>
        <v>-1467681.625</v>
      </c>
      <c r="D20" s="10" t="n">
        <f aca="false">Model!X85+Model!Y85+Model!Z85+Model!AA85+Model!AB85+Model!AC85+Model!AD85+Model!AE85+Model!AF85+Model!AG85+Model!AH85+Model!AI85</f>
        <v>-1497035.2575</v>
      </c>
      <c r="E20" s="10" t="n">
        <f aca="false">Model!AJ85+Model!AK85+Model!AL85+Model!AM85+Model!AN85+Model!AO85+Model!AP85+Model!AQ85+Model!AR85+Model!AS85+Model!AT85+Model!AU85</f>
        <v>-1690340.96265</v>
      </c>
      <c r="F20" s="10" t="n">
        <f aca="false">Model!AV85+Model!AW85+Model!AX85+Model!AY85+Model!AZ85+Model!BA85+Model!BB85+Model!BC85+Model!BD85+Model!BE85+Model!BF85+Model!BG85</f>
        <v>-2834472.481903</v>
      </c>
      <c r="G20" s="10" t="n">
        <f aca="false">Model!BH85+Model!BI85+Model!BJ85+Model!BK85+Model!BL85+Model!BM85+Model!BN85+Model!BO85+Model!BP85+Model!BQ85+Model!BR85+Model!BS85</f>
        <v>-2015950.27154106</v>
      </c>
      <c r="H20" s="10" t="n">
        <f aca="false">Model!BT85+Model!BU85+Model!BV85+Model!BW85+Model!BX85+Model!BY85+Model!BZ85+Model!CA85+Model!CB85+Model!CC85+Model!CD85+Model!CE85</f>
        <v>-2151910.10737188</v>
      </c>
      <c r="I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Model!C87+Model!D87+Model!E87+Model!F87+Model!G87+Model!H87+Model!I87+Model!J87+Model!K87</f>
        <v>-724883.35</v>
      </c>
      <c r="C21" s="16" t="n">
        <f aca="false">Model!L87+Model!M87+Model!N87+Model!O87+Model!P87+Model!Q87+Model!R87+Model!S87+Model!T87+Model!U87+Model!V87+Model!W87</f>
        <v>-734272.0626</v>
      </c>
      <c r="D21" s="16" t="n">
        <f aca="false">Model!X87+Model!Y87+Model!Z87+Model!AA87+Model!AB87+Model!AC87+Model!AD87+Model!AE87+Model!AF87+Model!AG87+Model!AH87+Model!AI87</f>
        <v>719536.2721</v>
      </c>
      <c r="E21" s="16" t="n">
        <f aca="false">Model!AJ87+Model!AK87+Model!AL87+Model!AM87+Model!AN87+Model!AO87+Model!AP87+Model!AQ87+Model!AR87+Model!AS87+Model!AT87+Model!AU87</f>
        <v>-323914.19625</v>
      </c>
      <c r="F21" s="16" t="n">
        <f aca="false">Model!AV87+Model!AW87+Model!AX87+Model!AY87+Model!AZ87+Model!BA87+Model!BB87+Model!BC87+Model!BD87+Model!BE87+Model!BF87+Model!BG87</f>
        <v>-1031552.333103</v>
      </c>
      <c r="G21" s="16" t="n">
        <f aca="false">Model!BH87+Model!BI87+Model!BJ87+Model!BK87+Model!BL87+Model!BM87+Model!BN87+Model!BO87+Model!BP87+Model!BQ87+Model!BR87+Model!BS87</f>
        <v>-1193784.17874106</v>
      </c>
      <c r="H21" s="16" t="n">
        <f aca="false">Model!BT87+Model!BU87+Model!BV87+Model!BW87+Model!BX87+Model!BY87+Model!BZ87+Model!CA87+Model!CB87+Model!CC87+Model!CD87+Model!CE87</f>
        <v>-1331917.10737188</v>
      </c>
      <c r="I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Model!C96+Model!D96+Model!E96+Model!F96+Model!G96+Model!H96+Model!I96+Model!J96+Model!K96</f>
        <v>1651245.3451103</v>
      </c>
      <c r="C23" s="16" t="n">
        <f aca="false">Model!L96+Model!M96+Model!N96+Model!O96+Model!P96+Model!Q96+Model!R96+Model!S96+Model!T96+Model!U96+Model!V96+Model!W96</f>
        <v>2764803.45926489</v>
      </c>
      <c r="D23" s="16" t="n">
        <f aca="false">Model!X96+Model!Y96+Model!Z96+Model!AA96+Model!AB96+Model!AC96+Model!AD96+Model!AE96+Model!AF96+Model!AG96+Model!AH96+Model!AI96</f>
        <v>2011583.67813449</v>
      </c>
      <c r="E23" s="16" t="n">
        <f aca="false">Model!AJ96+Model!AK96+Model!AL96+Model!AM96+Model!AN96+Model!AO96+Model!AP96+Model!AQ96+Model!AR96+Model!AS96+Model!AT96+Model!AU96</f>
        <v>-1235685.29676689</v>
      </c>
      <c r="F23" s="16" t="n">
        <f aca="false">Model!AV96+Model!AW96+Model!AX96+Model!AY96+Model!AZ96+Model!BA96+Model!BB96+Model!BC96+Model!BD96+Model!BE96+Model!BF96+Model!BG96</f>
        <v>-4017528.27592939</v>
      </c>
      <c r="G23" s="16" t="n">
        <f aca="false">Model!BH96+Model!BI96+Model!BJ96+Model!BK96+Model!BL96+Model!BM96+Model!BN96+Model!BO96+Model!BP96+Model!BQ96+Model!BR96+Model!BS96</f>
        <v>-5997222.20042856</v>
      </c>
      <c r="H23" s="16" t="n">
        <f aca="false">Model!BT96+Model!BU96+Model!BV96+Model!BW96+Model!BX96+Model!BY96+Model!BZ96+Model!CA96+Model!CB96+Model!CC96+Model!CD96+Model!CE96</f>
        <v>-6169686.04949312</v>
      </c>
      <c r="I23" s="16" t="n">
        <f aca="false">Model!CF96+Model!CG96+Model!CH96</f>
        <v>-1523148.04263155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Model!C80+Model!D80+Model!E80+Model!F80+Model!G80+Model!H80+Model!I80+Model!J80+Model!K80</f>
        <v>-0</v>
      </c>
      <c r="C26" s="10" t="n">
        <f aca="false">Model!L80+Model!M80+Model!N80+Model!O80+Model!P80+Model!Q80+Model!R80+Model!S80+Model!T80+Model!U80+Model!V80+Model!W80</f>
        <v>-0</v>
      </c>
      <c r="D26" s="10" t="n">
        <f aca="false">Model!X80+Model!Y80+Model!Z80+Model!AA80+Model!AB80+Model!AC80+Model!AD80+Model!AE80+Model!AF80+Model!AG80+Model!AH80+Model!AI80</f>
        <v>-0</v>
      </c>
      <c r="E26" s="10" t="n">
        <f aca="false">Model!AJ80+Model!AK80+Model!AL80+Model!AM80+Model!AN80+Model!AO80+Model!AP80+Model!AQ80+Model!AR80+Model!AS80+Model!AT80+Model!AU80</f>
        <v>-0</v>
      </c>
      <c r="F26" s="10" t="n">
        <f aca="false">Model!AV80+Model!AW80+Model!AX80+Model!AY80+Model!AZ80+Model!BA80+Model!BB80+Model!BC80+Model!BD80+Model!BE80+Model!BF80+Model!BG80</f>
        <v>-0</v>
      </c>
      <c r="G26" s="10" t="n">
        <f aca="false">Model!BH80+Model!BI80+Model!BJ80+Model!BK80+Model!BL80+Model!BM80+Model!BN80+Model!BO80+Model!BP80+Model!BQ80+Model!BR80+Model!BS80</f>
        <v>-0</v>
      </c>
      <c r="H26" s="10" t="n">
        <f aca="false">Model!BT80+Model!BU80+Model!BV80+Model!BW80+Model!BX80+Model!BY80+Model!BZ80+Model!CA80+Model!CB80+Model!CC80+Model!CD80+Model!CE80</f>
        <v>-0</v>
      </c>
      <c r="I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Model!C81+Model!D81+Model!E81+Model!F81+Model!G81+Model!H81+Model!I81+Model!J81+Model!K81</f>
        <v>-0</v>
      </c>
      <c r="C27" s="10" t="n">
        <f aca="false">Model!L81+Model!M81+Model!N81+Model!O81+Model!P81+Model!Q81+Model!R81+Model!S81+Model!T81+Model!U81+Model!V81+Model!W81</f>
        <v>-0</v>
      </c>
      <c r="D27" s="10" t="n">
        <f aca="false">Model!X81+Model!Y81+Model!Z81+Model!AA81+Model!AB81+Model!AC81+Model!AD81+Model!AE81+Model!AF81+Model!AG81+Model!AH81+Model!AI81</f>
        <v>-0</v>
      </c>
      <c r="E27" s="10" t="n">
        <f aca="false">Model!AJ81+Model!AK81+Model!AL81+Model!AM81+Model!AN81+Model!AO81+Model!AP81+Model!AQ81+Model!AR81+Model!AS81+Model!AT81+Model!AU81</f>
        <v>-0</v>
      </c>
      <c r="F27" s="10" t="n">
        <f aca="false">Model!AV81+Model!AW81+Model!AX81+Model!AY81+Model!AZ81+Model!BA81+Model!BB81+Model!BC81+Model!BD81+Model!BE81+Model!BF81+Model!BG81</f>
        <v>-0</v>
      </c>
      <c r="G27" s="10" t="n">
        <f aca="false">Model!BH81+Model!BI81+Model!BJ81+Model!BK81+Model!BL81+Model!BM81+Model!BN81+Model!BO81+Model!BP81+Model!BQ81+Model!BR81+Model!BS81</f>
        <v>-0</v>
      </c>
      <c r="H27" s="10" t="n">
        <f aca="false">Model!BT81+Model!BU81+Model!BV81+Model!BW81+Model!BX81+Model!BY81+Model!BZ81+Model!CA81+Model!CB81+Model!CC81+Model!CD81+Model!CE81</f>
        <v>-0</v>
      </c>
      <c r="I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Model!C82+Model!D82+Model!E82+Model!F82+Model!G82+Model!H82+Model!I82+Model!J82+Model!K82</f>
        <v>-0</v>
      </c>
      <c r="C28" s="10" t="n">
        <f aca="false">Model!L82+Model!M82+Model!N82+Model!O82+Model!P82+Model!Q82+Model!R82+Model!S82+Model!T82+Model!U82+Model!V82+Model!W82</f>
        <v>-0</v>
      </c>
      <c r="D28" s="10" t="n">
        <f aca="false">Model!X82+Model!Y82+Model!Z82+Model!AA82+Model!AB82+Model!AC82+Model!AD82+Model!AE82+Model!AF82+Model!AG82+Model!AH82+Model!AI82</f>
        <v>-0</v>
      </c>
      <c r="E28" s="10" t="n">
        <f aca="false">Model!AJ82+Model!AK82+Model!AL82+Model!AM82+Model!AN82+Model!AO82+Model!AP82+Model!AQ82+Model!AR82+Model!AS82+Model!AT82+Model!AU82</f>
        <v>-163365</v>
      </c>
      <c r="F28" s="10" t="n">
        <f aca="false">Model!AV82+Model!AW82+Model!AX82+Model!AY82+Model!AZ82+Model!BA82+Model!BB82+Model!BC82+Model!BD82+Model!BE82+Model!BF82+Model!BG82</f>
        <v>-281718</v>
      </c>
      <c r="G28" s="10" t="n">
        <f aca="false">Model!BH82+Model!BI82+Model!BJ82+Model!BK82+Model!BL82+Model!BM82+Model!BN82+Model!BO82+Model!BP82+Model!BQ82+Model!BR82+Model!BS82</f>
        <v>-134601.48</v>
      </c>
      <c r="H28" s="10" t="n">
        <f aca="false">Model!BT82+Model!BU82+Model!BV82+Model!BW82+Model!BX82+Model!BY82+Model!BZ82+Model!CA82+Model!CB82+Model!CC82+Model!CD82+Model!CE82</f>
        <v>-0</v>
      </c>
      <c r="I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Model!C83+Model!D83+Model!E83+Model!F83+Model!G83+Model!H83+Model!I83+Model!J83+Model!K83</f>
        <v>-0</v>
      </c>
      <c r="C29" s="10" t="n">
        <f aca="false">Model!L83+Model!M83+Model!N83+Model!O83+Model!P83+Model!Q83+Model!R83+Model!S83+Model!T83+Model!U83+Model!V83+Model!W83</f>
        <v>-0</v>
      </c>
      <c r="D29" s="10" t="n">
        <f aca="false">Model!X83+Model!Y83+Model!Z83+Model!AA83+Model!AB83+Model!AC83+Model!AD83+Model!AE83+Model!AF83+Model!AG83+Model!AH83+Model!AI83</f>
        <v>-0</v>
      </c>
      <c r="E29" s="10" t="n">
        <f aca="false">Model!AJ83+Model!AK83+Model!AL83+Model!AM83+Model!AN83+Model!AO83+Model!AP83+Model!AQ83+Model!AR83+Model!AS83+Model!AT83+Model!AU83</f>
        <v>-0</v>
      </c>
      <c r="F29" s="10" t="n">
        <f aca="false">Model!AV83+Model!AW83+Model!AX83+Model!AY83+Model!AZ83+Model!BA83+Model!BB83+Model!BC83+Model!BD83+Model!BE83+Model!BF83+Model!BG83</f>
        <v>-995239</v>
      </c>
      <c r="G29" s="10" t="n">
        <f aca="false">Model!BH83+Model!BI83+Model!BJ83+Model!BK83+Model!BL83+Model!BM83+Model!BN83+Model!BO83+Model!BP83+Model!BQ83+Model!BR83+Model!BS83</f>
        <v>-292683</v>
      </c>
      <c r="H29" s="10" t="n">
        <f aca="false">Model!BT83+Model!BU83+Model!BV83+Model!BW83+Model!BX83+Model!BY83+Model!BZ83+Model!CA83+Model!CB83+Model!CC83+Model!CD83+Model!CE83</f>
        <v>-312005</v>
      </c>
      <c r="I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Model!C84+Model!D84+Model!E84+Model!F84+Model!G84+Model!H84+Model!I84+Model!J84+Model!K84</f>
        <v>-0</v>
      </c>
      <c r="C30" s="10" t="n">
        <f aca="false">Model!L84+Model!M84+Model!N84+Model!O84+Model!P84+Model!Q84+Model!R84+Model!S84+Model!T84+Model!U84+Model!V84+Model!W84</f>
        <v>-0</v>
      </c>
      <c r="D30" s="10" t="n">
        <f aca="false">Model!X84+Model!Y84+Model!Z84+Model!AA84+Model!AB84+Model!AC84+Model!AD84+Model!AE84+Model!AF84+Model!AG84+Model!AH84+Model!AI84</f>
        <v>-0</v>
      </c>
      <c r="E30" s="10" t="n">
        <f aca="false">Model!AJ84+Model!AK84+Model!AL84+Model!AM84+Model!AN84+Model!AO84+Model!AP84+Model!AQ84+Model!AR84+Model!AS84+Model!AT84+Model!AU84</f>
        <v>-0</v>
      </c>
      <c r="F30" s="10" t="n">
        <f aca="false">Model!AV84+Model!AW84+Model!AX84+Model!AY84+Model!AZ84+Model!BA84+Model!BB84+Model!BC84+Model!BD84+Model!BE84+Model!BF84+Model!BG84</f>
        <v>-0</v>
      </c>
      <c r="G30" s="10" t="n">
        <f aca="false">Model!BH84+Model!BI84+Model!BJ84+Model!BK84+Model!BL84+Model!BM84+Model!BN84+Model!BO84+Model!BP84+Model!BQ84+Model!BR84+Model!BS84</f>
        <v>-0</v>
      </c>
      <c r="H30" s="10" t="n">
        <f aca="false">Model!BT84+Model!BU84+Model!BV84+Model!BW84+Model!BX84+Model!BY84+Model!BZ84+Model!CA84+Model!CB84+Model!CC84+Model!CD84+Model!CE84</f>
        <v>-219466</v>
      </c>
      <c r="I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Model!C101+Model!D101+Model!E101+Model!F101+Model!G101+Model!H101+Model!I101+Model!J101+Model!K101</f>
        <v>-390000</v>
      </c>
      <c r="C33" s="10" t="n">
        <f aca="false">Model!L101+Model!M101+Model!N101+Model!O101+Model!P101+Model!Q101+Model!R101+Model!S101+Model!T101+Model!U101+Model!V101+Model!W101</f>
        <v>-1495969.24328545</v>
      </c>
      <c r="D33" s="10" t="n">
        <f aca="false">Model!X101+Model!Y101+Model!Z101+Model!AA101+Model!AB101+Model!AC101+Model!AD101+Model!AE101+Model!AF101+Model!AG101+Model!AH101+Model!AI101</f>
        <v>0</v>
      </c>
      <c r="E33" s="10" t="n">
        <f aca="false">Model!AJ101+Model!AK101+Model!AL101+Model!AM101+Model!AN101+Model!AO101+Model!AP101+Model!AQ101+Model!AR101+Model!AS101+Model!AT101+Model!AU101</f>
        <v>0</v>
      </c>
      <c r="F33" s="10" t="n">
        <f aca="false">Model!AV101+Model!AW101+Model!AX101+Model!AY101+Model!AZ101+Model!BA101+Model!BB101+Model!BC101+Model!BD101+Model!BE101+Model!BF101+Model!BG101</f>
        <v>0</v>
      </c>
      <c r="G33" s="10" t="n">
        <f aca="false">Model!BH101+Model!BI101+Model!BJ101+Model!BK101+Model!BL101+Model!BM101+Model!BN101+Model!BO101+Model!BP101+Model!BQ101+Model!BR101+Model!BS101</f>
        <v>0</v>
      </c>
      <c r="H33" s="10" t="n">
        <f aca="false">Model!BT101+Model!BU101+Model!BV101+Model!BW101+Model!BX101+Model!BY101+Model!BZ101+Model!CA101+Model!CB101+Model!CC101+Model!CD101+Model!CE101</f>
        <v>0</v>
      </c>
      <c r="I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Model!K102</f>
        <v>1404377.58143555</v>
      </c>
      <c r="C34" s="10" t="n">
        <f aca="false">Model!W102</f>
        <v>0</v>
      </c>
      <c r="D34" s="10" t="n">
        <f aca="false">Model!AI102</f>
        <v>0</v>
      </c>
      <c r="E34" s="10" t="n">
        <f aca="false">Model!AU102</f>
        <v>0</v>
      </c>
      <c r="F34" s="10" t="n">
        <f aca="false">Model!BG102</f>
        <v>0</v>
      </c>
      <c r="G34" s="10" t="n">
        <f aca="false">Model!BS102</f>
        <v>0</v>
      </c>
      <c r="H34" s="10" t="n">
        <f aca="false">Model!CE102</f>
        <v>0</v>
      </c>
      <c r="I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Model!C107+Model!D107+Model!E107+Model!F107+Model!G107+Model!H107+Model!I107+Model!J107+Model!K107</f>
        <v>0</v>
      </c>
      <c r="C35" s="10" t="n">
        <f aca="false">Model!L107+Model!M107+Model!N107+Model!O107+Model!P107+Model!Q107+Model!R107+Model!S107+Model!T107+Model!U107+Model!V107+Model!W107</f>
        <v>-250000</v>
      </c>
      <c r="D35" s="10" t="n">
        <f aca="false">Model!X107+Model!Y107+Model!Z107+Model!AA107+Model!AB107+Model!AC107+Model!AD107+Model!AE107+Model!AF107+Model!AG107+Model!AH107+Model!AI107</f>
        <v>-250000</v>
      </c>
      <c r="E35" s="10" t="n">
        <f aca="false">Model!AJ107+Model!AK107+Model!AL107+Model!AM107+Model!AN107+Model!AO107+Model!AP107+Model!AQ107+Model!AR107+Model!AS107+Model!AT107+Model!AU107</f>
        <v>-250000</v>
      </c>
      <c r="F35" s="10" t="n">
        <f aca="false">Model!AV107+Model!AW107+Model!AX107+Model!AY107+Model!AZ107+Model!BA107+Model!BB107+Model!BC107+Model!BD107+Model!BE107+Model!BF107+Model!BG107</f>
        <v>0</v>
      </c>
      <c r="G35" s="10" t="n">
        <f aca="false">Model!BH107+Model!BI107+Model!BJ107+Model!BK107+Model!BL107+Model!BM107+Model!BN107+Model!BO107+Model!BP107+Model!BQ107+Model!BR107+Model!BS107</f>
        <v>0</v>
      </c>
      <c r="H35" s="10" t="n">
        <f aca="false">Model!BT107+Model!BU107+Model!BV107+Model!BW107+Model!BX107+Model!BY107+Model!BZ107+Model!CA107+Model!CB107+Model!CC107+Model!CD107+Model!CE107</f>
        <v>0</v>
      </c>
      <c r="I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Model!K108</f>
        <v>1000000</v>
      </c>
      <c r="C36" s="10" t="n">
        <f aca="false">Model!W108</f>
        <v>750000</v>
      </c>
      <c r="D36" s="10" t="n">
        <f aca="false">Model!AI108</f>
        <v>500000</v>
      </c>
      <c r="E36" s="10" t="n">
        <f aca="false">Model!AU108</f>
        <v>250000</v>
      </c>
      <c r="F36" s="10" t="n">
        <f aca="false">Model!BG108</f>
        <v>250000</v>
      </c>
      <c r="G36" s="10" t="n">
        <f aca="false">Model!BS108</f>
        <v>250000</v>
      </c>
      <c r="H36" s="10" t="n">
        <f aca="false">Model!CE108</f>
        <v>250000</v>
      </c>
      <c r="I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Model!C155+Model!D155+Model!E155+Model!F155+Model!G155+Model!H155+Model!I155+Model!J155+Model!K155</f>
        <v>0</v>
      </c>
      <c r="C37" s="10" t="n">
        <f aca="false">Model!L155+Model!M155+Model!N155+Model!O155+Model!P155+Model!Q155+Model!R155+Model!S155+Model!T155+Model!U155+Model!V155+Model!W155</f>
        <v>0</v>
      </c>
      <c r="D37" s="10" t="n">
        <f aca="false">Model!X155+Model!Y155+Model!Z155+Model!AA155+Model!AB155+Model!AC155+Model!AD155+Model!AE155+Model!AF155+Model!AG155+Model!AH155+Model!AI155</f>
        <v>0</v>
      </c>
      <c r="E37" s="10" t="n">
        <f aca="false">Model!AJ155+Model!AK155+Model!AL155+Model!AM155+Model!AN155+Model!AO155+Model!AP155+Model!AQ155+Model!AR155+Model!AS155+Model!AT155+Model!AU155</f>
        <v>0</v>
      </c>
      <c r="F37" s="10" t="n">
        <f aca="false">Model!AV155+Model!AW155+Model!AX155+Model!AY155+Model!AZ155+Model!BA155+Model!BB155+Model!BC155+Model!BD155+Model!BE155+Model!BF155+Model!BG155</f>
        <v>0</v>
      </c>
      <c r="G37" s="10" t="n">
        <f aca="false">Model!BH155+Model!BI155+Model!BJ155+Model!BK155+Model!BL155+Model!BM155+Model!BN155+Model!BO155+Model!BP155+Model!BQ155+Model!BR155+Model!BS155</f>
        <v>0</v>
      </c>
      <c r="H37" s="10" t="n">
        <f aca="false">Model!BT155+Model!BU155+Model!BV155+Model!BW155+Model!BX155+Model!BY155+Model!BZ155+Model!CA155+Model!CB155+Model!CC155+Model!CD155+Model!CE155</f>
        <v>0</v>
      </c>
      <c r="I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Model!K115+Model!K120+Model!K125+Model!K130</f>
        <v>2378399.92018311</v>
      </c>
      <c r="C38" s="10" t="n">
        <f aca="false">Model!W115+Model!W120+Model!W125+Model!W130</f>
        <v>1714451.09866009</v>
      </c>
      <c r="D38" s="10" t="n">
        <f aca="false">Model!AI115+Model!AI120+Model!AI125+Model!AI130</f>
        <v>1035128.51554915</v>
      </c>
      <c r="E38" s="10" t="n">
        <f aca="false">Model!AU115+Model!AU120+Model!AU125+Model!AU130</f>
        <v>1199352.08415979</v>
      </c>
      <c r="F38" s="10" t="n">
        <f aca="false">Model!BG115+Model!BG120+Model!BG125+Model!BG130</f>
        <v>975331.495449082</v>
      </c>
      <c r="G38" s="10" t="n">
        <f aca="false">Model!BS115+Model!BS120+Model!BS125+Model!BS130</f>
        <v>820735.28594806</v>
      </c>
      <c r="H38" s="10" t="n">
        <f aca="false">Model!CE115+Model!CE120+Model!CE125+Model!CE130</f>
        <v>621470.381107174</v>
      </c>
      <c r="I38" s="10" t="n">
        <f aca="false">Model!CH115+Model!CH120+Model!CH125+Model!CH130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Model!K141</f>
        <v>89880219.2871105</v>
      </c>
      <c r="C40" s="10" t="n">
        <f aca="false">Model!W141</f>
        <v>56473335.557832</v>
      </c>
      <c r="D40" s="10" t="n">
        <f aca="false">Model!AI141</f>
        <v>46152166.879778</v>
      </c>
      <c r="E40" s="10" t="n">
        <f aca="false">Model!AU141</f>
        <v>13258584.501624</v>
      </c>
      <c r="F40" s="10" t="n">
        <f aca="false">Model!BG141</f>
        <v>0</v>
      </c>
      <c r="G40" s="10" t="n">
        <f aca="false">Model!BS141</f>
        <v>0</v>
      </c>
      <c r="H40" s="10" t="n">
        <f aca="false">Model!CE141</f>
        <v>0</v>
      </c>
      <c r="I40" s="10" t="n">
        <f aca="false">Model!CH141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Model!K148</f>
        <v>4028044.3851103</v>
      </c>
      <c r="C42" s="21" t="n">
        <f aca="false">Model!W148</f>
        <v>7527119.9069752</v>
      </c>
      <c r="D42" s="21" t="n">
        <f aca="false">Model!AI148</f>
        <v>8819167.31300969</v>
      </c>
      <c r="E42" s="21" t="n">
        <f aca="false">Model!AU148</f>
        <v>7907396.2124928</v>
      </c>
      <c r="F42" s="21" t="n">
        <f aca="false">Model!BG148</f>
        <v>4921420.2696664</v>
      </c>
      <c r="G42" s="21" t="n">
        <f aca="false">Model!BS148</f>
        <v>117982.24797891</v>
      </c>
      <c r="H42" s="21" t="n">
        <f aca="false">Model!CE148</f>
        <v>-4719786.69414233</v>
      </c>
      <c r="I42" s="21" t="n">
        <f aca="false">Model!CH148</f>
        <v>-5931385.18206442</v>
      </c>
    </row>
    <row r="43" customFormat="false" ht="15" hidden="false" customHeight="true" outlineLevel="0" collapsed="false">
      <c r="A43" s="20" t="s">
        <v>42</v>
      </c>
      <c r="B43" s="21" t="n">
        <f aca="false">Model!K156</f>
        <v>-663252.19</v>
      </c>
      <c r="C43" s="21" t="n">
        <f aca="false">Model!W156</f>
        <v>-3143493.49588545</v>
      </c>
      <c r="D43" s="21" t="n">
        <f aca="false">Model!AI156</f>
        <v>-2673957.22378545</v>
      </c>
      <c r="E43" s="21" t="n">
        <f aca="false">Model!AU156</f>
        <v>-3247871.42003545</v>
      </c>
      <c r="F43" s="21" t="n">
        <f aca="false">Model!BG156</f>
        <v>-4279423.75313845</v>
      </c>
      <c r="G43" s="21" t="n">
        <f aca="false">Model!BS156</f>
        <v>-5473207.9318795</v>
      </c>
      <c r="H43" s="21" t="n">
        <f aca="false">Model!CE156</f>
        <v>-6805125.03925138</v>
      </c>
      <c r="I43" s="21" t="n">
        <f aca="false">Model!CH156</f>
        <v>-7116674.59396085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Model!C160+Model!D160+Model!E160+Model!F160+Model!G160+Model!H160+Model!I160+Model!J160+Model!K160</f>
        <v>0</v>
      </c>
      <c r="C44" s="21" t="n">
        <f aca="false">Model!L160+Model!M160+Model!N160+Model!O160+Model!P160+Model!Q160+Model!R160+Model!S160+Model!T160+Model!U160+Model!V160+Model!W160</f>
        <v>-495373.603533091</v>
      </c>
      <c r="D44" s="21" t="n">
        <f aca="false">Model!X160+Model!Y160+Model!Z160+Model!AA160+Model!AB160+Model!AC160+Model!AD160+Model!AE160+Model!AF160+Model!AG160+Model!AH160+Model!AI160</f>
        <v>-829441.037779468</v>
      </c>
      <c r="E44" s="21" t="n">
        <f aca="false">Model!AJ160+Model!AK160+Model!AL160+Model!AM160+Model!AN160+Model!AO160+Model!AP160+Model!AQ160+Model!AR160+Model!AS160+Model!AT160+Model!AU160</f>
        <v>-603475.103440348</v>
      </c>
      <c r="F44" s="21" t="n">
        <f aca="false">Model!AV160+Model!AW160+Model!AX160+Model!AY160+Model!AZ160+Model!BA160+Model!BB160+Model!BC160+Model!BD160+Model!BE160+Model!BF160+Model!BG160</f>
        <v>0</v>
      </c>
      <c r="G44" s="21" t="n">
        <f aca="false">Model!BH160+Model!BI160+Model!BJ160+Model!BK160+Model!BL160+Model!BM160+Model!BN160+Model!BO160+Model!BP160+Model!BQ160+Model!BR160+Model!BS160</f>
        <v>0</v>
      </c>
      <c r="H44" s="21" t="n">
        <f aca="false">Model!BT160+Model!BU160+Model!BV160+Model!BW160+Model!BX160+Model!BY160+Model!BZ160+Model!CA160+Model!CB160+Model!CC160+Model!CD160+Model!CE160</f>
        <v>0</v>
      </c>
      <c r="I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Model!K161</f>
        <v>3364792.1951103</v>
      </c>
      <c r="C45" s="23" t="n">
        <f aca="false">Model!W161</f>
        <v>4383626.41108975</v>
      </c>
      <c r="D45" s="23" t="n">
        <f aca="false">Model!AI161</f>
        <v>6145210.08922424</v>
      </c>
      <c r="E45" s="23" t="n">
        <f aca="false">Model!AU161</f>
        <v>4659524.79245735</v>
      </c>
      <c r="F45" s="23" t="n">
        <f aca="false">Model!BG161</f>
        <v>641996.516527959</v>
      </c>
      <c r="G45" s="23" t="n">
        <f aca="false">Model!BS161</f>
        <v>-5355225.68390059</v>
      </c>
      <c r="H45" s="23" t="n">
        <f aca="false">Model!CE161</f>
        <v>-11524911.7333937</v>
      </c>
      <c r="I45" s="23" t="n">
        <f aca="false">Model!CH161</f>
        <v>-13048059.7760253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tabColor rgb="FF0B1833"/>
    <pageSetUpPr fitToPage="false"/>
  </sheetPr>
  <dimension ref="A1:C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5588599.45019762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5710673.97288332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6380432.8722675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7051517.79007647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6909835.47156294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7106252.13265953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7246741.44652729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7327821.52794079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8074323.19199373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8133889.63282423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8129424.46262029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7440990.09189598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6970637.250135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6966936.153194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6867110.592646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6358183.90509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5722621.239149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5359200.390411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165748.689001623</v>
      </c>
      <c r="D8" s="10" t="n">
        <f aca="false"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165748.689001623</v>
      </c>
      <c r="E8" s="10" t="n">
        <f aca="false"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165748.689001623</v>
      </c>
      <c r="F8" s="10" t="n">
        <f aca="false"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232014.964326299</v>
      </c>
      <c r="G8" s="10" t="n">
        <f aca="false"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232014.964326299</v>
      </c>
      <c r="H8" s="10" t="n">
        <f aca="false"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232014.964326299</v>
      </c>
      <c r="I8" s="10" t="n">
        <f aca="false"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289630.705965909</v>
      </c>
      <c r="J8" s="10" t="n">
        <f aca="false"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340368.042065747</v>
      </c>
      <c r="K8" s="10" t="n">
        <f aca="false"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307473.267065747</v>
      </c>
      <c r="L8" s="10" t="n">
        <f aca="false"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307473.267065747</v>
      </c>
      <c r="M8" s="10" t="n">
        <f aca="false"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307473.267065747</v>
      </c>
      <c r="N8" s="10" t="n">
        <f aca="false"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307473.267065747</v>
      </c>
      <c r="O8" s="10" t="n">
        <f aca="false"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377284.032487825</v>
      </c>
      <c r="P8" s="10" t="n">
        <f aca="false"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377284.032487825</v>
      </c>
      <c r="Q8" s="10" t="n">
        <f aca="false"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438564.192390422</v>
      </c>
      <c r="R8" s="10" t="n">
        <f aca="false"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344065.846611201</v>
      </c>
      <c r="S8" s="10" t="n">
        <f aca="false"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246933.518486201</v>
      </c>
      <c r="T8" s="10" t="n">
        <f aca="false"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246933.518486201</v>
      </c>
      <c r="U8" s="10" t="n">
        <f aca="false"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259183.518486201</v>
      </c>
      <c r="V8" s="10" t="n">
        <f aca="false"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234683.518486201</v>
      </c>
      <c r="W8" s="10" t="n">
        <f aca="false"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234683.518486201</v>
      </c>
      <c r="X8" s="10" t="n">
        <f aca="false"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234683.518486201</v>
      </c>
      <c r="Y8" s="10" t="n">
        <f aca="false"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234683.518486201</v>
      </c>
      <c r="Z8" s="10" t="n">
        <f aca="false"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234683.518486201</v>
      </c>
      <c r="AA8" s="10" t="n">
        <f aca="false"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267863.158096591</v>
      </c>
      <c r="AB8" s="10" t="n">
        <f aca="false"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201503.878875812</v>
      </c>
      <c r="AC8" s="10" t="n">
        <f aca="false"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</v>
      </c>
      <c r="AD8" s="10" t="n">
        <f aca="false"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</v>
      </c>
      <c r="AE8" s="10" t="n">
        <f aca="false"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</v>
      </c>
      <c r="AF8" s="10" t="n">
        <f aca="false"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</v>
      </c>
      <c r="AG8" s="10" t="n">
        <f aca="false"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317059.086505682</v>
      </c>
      <c r="AH8" s="10" t="n">
        <f aca="false"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224290.57849026</v>
      </c>
      <c r="AI8" s="10" t="n">
        <f aca="false"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328921.539529221</v>
      </c>
      <c r="AJ8" s="10" t="n">
        <f aca="false"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</v>
      </c>
      <c r="AK8" s="10" t="n">
        <f aca="false"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</v>
      </c>
      <c r="AL8" s="10" t="n">
        <f aca="false"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196607.622159091</v>
      </c>
      <c r="AM8" s="10" t="n">
        <f aca="false"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133588.201136364</v>
      </c>
      <c r="AN8" s="10" t="n">
        <f aca="false"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133588.201136364</v>
      </c>
      <c r="AO8" s="10" t="n">
        <f aca="false"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133588.201136364</v>
      </c>
      <c r="AP8" s="10" t="n">
        <f aca="false"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133588.201136364</v>
      </c>
      <c r="AQ8" s="10" t="n">
        <f aca="false"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133588.201136364</v>
      </c>
      <c r="AR8" s="10" t="n">
        <f aca="false"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243815.725487013</v>
      </c>
      <c r="AS8" s="10" t="n">
        <f aca="false"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</v>
      </c>
      <c r="AT8" s="10" t="n">
        <f aca="false"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</v>
      </c>
      <c r="AU8" s="10" t="n">
        <f aca="false"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</v>
      </c>
      <c r="AV8" s="10" t="n">
        <f aca="false"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</v>
      </c>
      <c r="AW8" s="10" t="n">
        <f aca="false"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</v>
      </c>
      <c r="AX8" s="10" t="n">
        <f aca="false"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</v>
      </c>
      <c r="AY8" s="10" t="n">
        <f aca="false"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</v>
      </c>
      <c r="AZ8" s="10" t="n">
        <f aca="false"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</v>
      </c>
      <c r="BA8" s="10" t="n">
        <f aca="false"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</v>
      </c>
      <c r="BB8" s="10" t="n">
        <f aca="false"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</v>
      </c>
      <c r="BC8" s="10" t="n">
        <f aca="false"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</v>
      </c>
      <c r="BD8" s="10" t="n">
        <f aca="false"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</v>
      </c>
      <c r="BE8" s="10" t="n">
        <f aca="false"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</v>
      </c>
      <c r="BF8" s="10" t="n">
        <f aca="false"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10" t="n">
        <f aca="false"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10" t="n">
        <f aca="false"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10" t="n">
        <f aca="false"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10" t="n">
        <f aca="false"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10" t="n">
        <f aca="false"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10" t="n">
        <f aca="false"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10" t="n">
        <f aca="false"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10" t="n">
        <f aca="false"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10" t="n">
        <f aca="false"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10" t="n">
        <f aca="false"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10" t="n">
        <f aca="false"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10" t="n">
        <f aca="false"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10" t="n">
        <f aca="false"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10" t="n">
        <f aca="false"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10" t="n">
        <f aca="false"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10" t="n">
        <f aca="false"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10" t="n">
        <f aca="false"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10" t="n">
        <f aca="false"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10" t="n">
        <f aca="false"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10" t="n">
        <f aca="false"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10" t="n">
        <f aca="false"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10" t="n">
        <f aca="false"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10" t="n">
        <f aca="false"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10" t="n">
        <f aca="false"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10" t="n">
        <f aca="false"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10" t="n">
        <f aca="false"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10" t="n">
        <f aca="false"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10" t="n">
        <f aca="false"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187835.347718205</v>
      </c>
      <c r="D9" s="10" t="n">
        <f aca="false"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197551.682654383</v>
      </c>
      <c r="E9" s="10" t="n">
        <f aca="false"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204831.756675722</v>
      </c>
      <c r="F9" s="10" t="n">
        <f aca="false"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249916.578069645</v>
      </c>
      <c r="G9" s="10" t="n">
        <f aca="false"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258563.448588688</v>
      </c>
      <c r="H9" s="10" t="n">
        <f aca="false"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264211.376992167</v>
      </c>
      <c r="I9" s="10" t="n">
        <f aca="false"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295198.598798091</v>
      </c>
      <c r="J9" s="10" t="n">
        <f aca="false"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339206.515449967</v>
      </c>
      <c r="K9" s="10" t="n">
        <f aca="false"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319692.063213545</v>
      </c>
      <c r="L9" s="10" t="n">
        <f aca="false"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328779.522371423</v>
      </c>
      <c r="M9" s="10" t="n">
        <f aca="false"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335279.433808487</v>
      </c>
      <c r="N9" s="10" t="n">
        <f aca="false"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339030.703808949</v>
      </c>
      <c r="O9" s="10" t="n">
        <f aca="false"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373568.524304904</v>
      </c>
      <c r="P9" s="10" t="n">
        <f aca="false"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376324.439180991</v>
      </c>
      <c r="Q9" s="10" t="n">
        <f aca="false"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437398.012475127</v>
      </c>
      <c r="R9" s="10" t="n">
        <f aca="false"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392924.376004927</v>
      </c>
      <c r="S9" s="10" t="n">
        <f aca="false"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322505.132514363</v>
      </c>
      <c r="T9" s="10" t="n">
        <f aca="false"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322333.896698099</v>
      </c>
      <c r="U9" s="10" t="n">
        <f aca="false"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327584.04608833</v>
      </c>
      <c r="V9" s="10" t="n">
        <f aca="false"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305191.798328669</v>
      </c>
      <c r="W9" s="10" t="n">
        <f aca="false"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294169.222881599</v>
      </c>
      <c r="X9" s="10" t="n">
        <f aca="false"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280428.890004526</v>
      </c>
      <c r="Y9" s="10" t="n">
        <f aca="false"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264764.132006082</v>
      </c>
      <c r="Z9" s="10" t="n">
        <f aca="false"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247950.018062847</v>
      </c>
      <c r="AA9" s="10" t="n">
        <f aca="false"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263847.032808838</v>
      </c>
      <c r="AB9" s="10" t="n">
        <f aca="false"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</v>
      </c>
      <c r="AC9" s="10" t="n">
        <f aca="false"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196839.799611565</v>
      </c>
      <c r="AD9" s="10" t="n">
        <f aca="false"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159028.215826113</v>
      </c>
      <c r="AE9" s="10" t="n">
        <f aca="false"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161141.26713845</v>
      </c>
      <c r="AF9" s="10" t="n">
        <f aca="false"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</v>
      </c>
      <c r="AG9" s="10" t="n">
        <f aca="false"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214717.706878493</v>
      </c>
      <c r="AH9" s="10" t="n">
        <f aca="false"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162678.472367652</v>
      </c>
      <c r="AI9" s="10" t="n">
        <f aca="false"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</v>
      </c>
      <c r="AJ9" s="10" t="n">
        <f aca="false"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160003.648378454</v>
      </c>
      <c r="AK9" s="10" t="n">
        <f aca="false"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</v>
      </c>
      <c r="AL9" s="10" t="n">
        <f aca="false"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193290.779227386</v>
      </c>
      <c r="AM9" s="10" t="n">
        <f aca="false"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141004.158682505</v>
      </c>
      <c r="AN9" s="10" t="n">
        <f aca="false"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</v>
      </c>
      <c r="AO9" s="10" t="n">
        <f aca="false"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135147.421977015</v>
      </c>
      <c r="AP9" s="10" t="n">
        <f aca="false"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</v>
      </c>
      <c r="AQ9" s="10" t="n">
        <f aca="false"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126738.134216153</v>
      </c>
      <c r="AR9" s="10" t="n">
        <f aca="false"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</v>
      </c>
      <c r="AS9" s="10" t="n">
        <f aca="false"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87081.0729499286</v>
      </c>
      <c r="AT9" s="10" t="n">
        <f aca="false"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85359.0821856429</v>
      </c>
      <c r="AU9" s="10" t="n">
        <f aca="false"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82837.3223775</v>
      </c>
      <c r="AV9" s="10" t="n">
        <f aca="false"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</v>
      </c>
      <c r="AW9" s="10" t="n">
        <f aca="false"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</v>
      </c>
      <c r="AX9" s="10" t="n">
        <f aca="false"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</v>
      </c>
      <c r="AY9" s="10" t="n">
        <f aca="false"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66491.8033782857</v>
      </c>
      <c r="AZ9" s="10" t="n">
        <f aca="false"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</v>
      </c>
      <c r="BA9" s="10" t="n">
        <f aca="false"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56104.3724235</v>
      </c>
      <c r="BB9" s="10" t="n">
        <f aca="false"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</v>
      </c>
      <c r="BC9" s="10" t="n">
        <f aca="false"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</v>
      </c>
      <c r="BD9" s="10" t="n">
        <f aca="false"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40346.2436072143</v>
      </c>
      <c r="BE9" s="10" t="n">
        <f aca="false"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35430.9166367143</v>
      </c>
      <c r="BF9" s="10" t="n">
        <f aca="false"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131507.629058786</v>
      </c>
      <c r="BG9" s="10" t="n">
        <f aca="false"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10" t="n">
        <f aca="false"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10" t="n">
        <f aca="false"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10" t="n">
        <f aca="false"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10" t="n">
        <f aca="false"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10" t="n">
        <f aca="false"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10" t="n">
        <f aca="false"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10" t="n">
        <f aca="false"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10" t="n">
        <f aca="false"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10" t="n">
        <f aca="false"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10" t="n">
        <f aca="false"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10" t="n">
        <f aca="false"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10" t="n">
        <f aca="false"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10" t="n">
        <f aca="false"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10" t="n">
        <f aca="false"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10" t="n">
        <f aca="false"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10" t="n">
        <f aca="false"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10" t="n">
        <f aca="false"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10" t="n">
        <f aca="false"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10" t="n">
        <f aca="false"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10" t="n">
        <f aca="false"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10" t="n">
        <f aca="false"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10" t="n">
        <f aca="false"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10" t="n">
        <f aca="false"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10" t="n">
        <f aca="false"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10" t="n">
        <f aca="false"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10" t="n">
        <f aca="false"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10" t="n">
        <f aca="false"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41861.8702922078</v>
      </c>
      <c r="D10" s="10" t="n">
        <f aca="false"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41861.8702922078</v>
      </c>
      <c r="E10" s="10" t="n">
        <f aca="false"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41861.8702922078</v>
      </c>
      <c r="F10" s="10" t="n">
        <f aca="false"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63950.6287337662</v>
      </c>
      <c r="G10" s="10" t="n">
        <f aca="false"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63950.6287337662</v>
      </c>
      <c r="H10" s="10" t="n">
        <f aca="false"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63950.6287337662</v>
      </c>
      <c r="I10" s="10" t="n">
        <f aca="false"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83155.8759469697</v>
      </c>
      <c r="J10" s="10" t="n">
        <f aca="false"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99135.6046469156</v>
      </c>
      <c r="K10" s="10" t="n">
        <f aca="false"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91318.5983969156</v>
      </c>
      <c r="L10" s="10" t="n">
        <f aca="false"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91318.5983969156</v>
      </c>
      <c r="M10" s="10" t="n">
        <f aca="false"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91318.5983969156</v>
      </c>
      <c r="N10" s="10" t="n">
        <f aca="false"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91318.5983969156</v>
      </c>
      <c r="O10" s="10" t="n">
        <f aca="false"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114588.853537608</v>
      </c>
      <c r="P10" s="10" t="n">
        <f aca="false"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114588.853537608</v>
      </c>
      <c r="Q10" s="10" t="n">
        <f aca="false"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135015.573505141</v>
      </c>
      <c r="R10" s="10" t="n">
        <f aca="false"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97546.3082454004</v>
      </c>
      <c r="S10" s="10" t="n">
        <f aca="false"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78227.8394954004</v>
      </c>
      <c r="T10" s="10" t="n">
        <f aca="false"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78227.8394954004</v>
      </c>
      <c r="U10" s="10" t="n">
        <f aca="false"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78227.8394954004</v>
      </c>
      <c r="V10" s="10" t="n">
        <f aca="false"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78227.8394954004</v>
      </c>
      <c r="W10" s="10" t="n">
        <f aca="false"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78227.8394954004</v>
      </c>
      <c r="X10" s="10" t="n">
        <f aca="false"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78227.8394954004</v>
      </c>
      <c r="Y10" s="10" t="n">
        <f aca="false"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78227.8394954004</v>
      </c>
      <c r="Z10" s="10" t="n">
        <f aca="false"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78227.8394954004</v>
      </c>
      <c r="AA10" s="10" t="n">
        <f aca="false"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</v>
      </c>
      <c r="AB10" s="10" t="n">
        <f aca="false"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67167.9596252706</v>
      </c>
      <c r="AC10" s="10" t="n">
        <f aca="false"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</v>
      </c>
      <c r="AD10" s="10" t="n">
        <f aca="false"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</v>
      </c>
      <c r="AE10" s="10" t="n">
        <f aca="false"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</v>
      </c>
      <c r="AF10" s="10" t="n">
        <f aca="false"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</v>
      </c>
      <c r="AG10" s="10" t="n">
        <f aca="false"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105686.362168561</v>
      </c>
      <c r="AH10" s="10" t="n">
        <f aca="false"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</v>
      </c>
      <c r="AI10" s="10" t="n">
        <f aca="false"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109640.513176407</v>
      </c>
      <c r="AJ10" s="10" t="n">
        <f aca="false"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52674.7677218615</v>
      </c>
      <c r="AK10" s="10" t="n">
        <f aca="false"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52674.7677218615</v>
      </c>
      <c r="AL10" s="10" t="n">
        <f aca="false"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</v>
      </c>
      <c r="AM10" s="10" t="n">
        <f aca="false"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44529.4003787879</v>
      </c>
      <c r="AN10" s="10" t="n">
        <f aca="false"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44529.4003787879</v>
      </c>
      <c r="AO10" s="10" t="n">
        <f aca="false"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44529.4003787879</v>
      </c>
      <c r="AP10" s="10" t="n">
        <f aca="false"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44529.4003787879</v>
      </c>
      <c r="AQ10" s="10" t="n">
        <f aca="false"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44529.4003787879</v>
      </c>
      <c r="AR10" s="10" t="n">
        <f aca="false"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81271.908495671</v>
      </c>
      <c r="AS10" s="10" t="n">
        <f aca="false"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</v>
      </c>
      <c r="AT10" s="10" t="n">
        <f aca="false"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</v>
      </c>
      <c r="AU10" s="10" t="n">
        <f aca="false"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</v>
      </c>
      <c r="AV10" s="10" t="n">
        <f aca="false"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</v>
      </c>
      <c r="AW10" s="10" t="n">
        <f aca="false"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</v>
      </c>
      <c r="AX10" s="10" t="n">
        <f aca="false"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</v>
      </c>
      <c r="AY10" s="10" t="n">
        <f aca="false"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</v>
      </c>
      <c r="AZ10" s="10" t="n">
        <f aca="false"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</v>
      </c>
      <c r="BA10" s="10" t="n">
        <f aca="false"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</v>
      </c>
      <c r="BB10" s="10" t="n">
        <f aca="false"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</v>
      </c>
      <c r="BC10" s="10" t="n">
        <f aca="false"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</v>
      </c>
      <c r="BD10" s="10" t="n">
        <f aca="false"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</v>
      </c>
      <c r="BE10" s="10" t="n">
        <f aca="false"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</v>
      </c>
      <c r="BF10" s="10" t="n">
        <f aca="false"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54826.2166666667</v>
      </c>
      <c r="BG10" s="10" t="n">
        <f aca="false"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10" t="n">
        <f aca="false"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10" t="n">
        <f aca="false"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10" t="n">
        <f aca="false"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10" t="n">
        <f aca="false"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10" t="n">
        <f aca="false"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10" t="n">
        <f aca="false"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10" t="n">
        <f aca="false"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10" t="n">
        <f aca="false"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10" t="n">
        <f aca="false"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10" t="n">
        <f aca="false"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10" t="n">
        <f aca="false"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10" t="n">
        <f aca="false"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10" t="n">
        <f aca="false"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10" t="n">
        <f aca="false"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10" t="n">
        <f aca="false"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10" t="n">
        <f aca="false"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10" t="n">
        <f aca="false"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10" t="n">
        <f aca="false"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10" t="n">
        <f aca="false"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10" t="n">
        <f aca="false"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10" t="n">
        <f aca="false"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10" t="n">
        <f aca="false"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10" t="n">
        <f aca="false"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10" t="n">
        <f aca="false"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10" t="n">
        <f aca="false"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10" t="n">
        <f aca="false"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10" t="n">
        <f aca="false"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395445.907012036</v>
      </c>
      <c r="D12" s="12" t="n">
        <f aca="false">D8+D9+D10+D11</f>
        <v>405162.241948214</v>
      </c>
      <c r="E12" s="12" t="n">
        <f aca="false">E8+E9+E10+E11</f>
        <v>412442.315969553</v>
      </c>
      <c r="F12" s="12" t="n">
        <f aca="false">F8+F9+F10+F11</f>
        <v>1190408.89112971</v>
      </c>
      <c r="G12" s="12" t="n">
        <f aca="false">G8+G9+G10+G11</f>
        <v>554529.041648753</v>
      </c>
      <c r="H12" s="12" t="n">
        <f aca="false">H8+H9+H10+H11</f>
        <v>560176.970052232</v>
      </c>
      <c r="I12" s="12" t="n">
        <f aca="false">I8+I9+I10+I11</f>
        <v>1110045.00571097</v>
      </c>
      <c r="J12" s="12" t="n">
        <f aca="false">J8+J9+J10+J11</f>
        <v>1097661.23716263</v>
      </c>
      <c r="K12" s="12" t="n">
        <f aca="false">K8+K9+K10+K11</f>
        <v>718483.928676207</v>
      </c>
      <c r="L12" s="12" t="n">
        <f aca="false">L8+L9+L10+L11</f>
        <v>727571.387834085</v>
      </c>
      <c r="M12" s="12" t="n">
        <f aca="false">M8+M9+M10+M11</f>
        <v>734071.299271149</v>
      </c>
      <c r="N12" s="12" t="n">
        <f aca="false">N8+N9+N10+N11</f>
        <v>737822.569271611</v>
      </c>
      <c r="O12" s="12" t="n">
        <f aca="false">O8+O9+O10+O11</f>
        <v>1544442.96033034</v>
      </c>
      <c r="P12" s="12" t="n">
        <f aca="false">P8+P9+P10+P11</f>
        <v>868197.325206424</v>
      </c>
      <c r="Q12" s="12" t="n">
        <f aca="false">Q8+Q9+Q10+Q11</f>
        <v>1010977.77837069</v>
      </c>
      <c r="R12" s="12" t="n">
        <f aca="false">R8+R9+R10+R11</f>
        <v>834536.530861529</v>
      </c>
      <c r="S12" s="12" t="n">
        <f aca="false">S8+S9+S10+S11</f>
        <v>647666.490495964</v>
      </c>
      <c r="T12" s="12" t="n">
        <f aca="false">T8+T9+T10+T11</f>
        <v>647495.254679701</v>
      </c>
      <c r="U12" s="12" t="n">
        <f aca="false">U8+U9+U10+U11</f>
        <v>664995.404069931</v>
      </c>
      <c r="V12" s="12" t="n">
        <f aca="false">V8+V9+V10+V11</f>
        <v>618103.156310271</v>
      </c>
      <c r="W12" s="12" t="n">
        <f aca="false">W8+W9+W10+W11</f>
        <v>607080.580863201</v>
      </c>
      <c r="X12" s="12" t="n">
        <f aca="false">X8+X9+X10+X11</f>
        <v>593340.247986128</v>
      </c>
      <c r="Y12" s="12" t="n">
        <f aca="false">Y8+Y9+Y10+Y11</f>
        <v>577675.489987684</v>
      </c>
      <c r="Z12" s="12" t="n">
        <f aca="false">Z8+Z9+Z10+Z11</f>
        <v>560861.376044448</v>
      </c>
      <c r="AA12" s="12" t="n">
        <f aca="false">AA8+AA9+AA10+AA11</f>
        <v>620997.910270959</v>
      </c>
      <c r="AB12" s="12" t="n">
        <f aca="false">AB8+AB9+AB10+AB11</f>
        <v>468952.796419004</v>
      </c>
      <c r="AC12" s="12" t="n">
        <f aca="false">AC8+AC9+AC10+AC11</f>
        <v>1170867.69906503</v>
      </c>
      <c r="AD12" s="12" t="n">
        <f aca="false">AD8+AD9+AD10+AD11</f>
        <v>512736.635279576</v>
      </c>
      <c r="AE12" s="12" t="n">
        <f aca="false">AE8+AE9+AE10+AE11</f>
        <v>514849.686591913</v>
      </c>
      <c r="AF12" s="12" t="n">
        <f aca="false">AF8+AF9+AF10+AF11</f>
        <v>516146.649922833</v>
      </c>
      <c r="AG12" s="12" t="n">
        <f aca="false">AG8+AG9+AG10+AG11</f>
        <v>637463.155552735</v>
      </c>
      <c r="AH12" s="12" t="n">
        <f aca="false">AH8+AH9+AH10+AH11</f>
        <v>461732.577021331</v>
      </c>
      <c r="AI12" s="12" t="n">
        <f aca="false">AI8+AI9+AI10+AI11</f>
        <v>704880.376406854</v>
      </c>
      <c r="AJ12" s="12" t="n">
        <f aca="false">AJ8+AJ9+AJ10+AJ11</f>
        <v>370702.7192659</v>
      </c>
      <c r="AK12" s="12" t="n">
        <f aca="false">AK8+AK9+AK10+AK11</f>
        <v>368363.852156272</v>
      </c>
      <c r="AL12" s="12" t="n">
        <f aca="false">AL8+AL9+AL10+AL11</f>
        <v>455434.275439507</v>
      </c>
      <c r="AM12" s="12" t="n">
        <f aca="false">AM8+AM9+AM10+AM11</f>
        <v>319121.760197656</v>
      </c>
      <c r="AN12" s="12" t="n">
        <f aca="false">AN8+AN9+AN10+AN11</f>
        <v>316527.783706897</v>
      </c>
      <c r="AO12" s="12" t="n">
        <f aca="false">AO8+AO9+AO10+AO11</f>
        <v>313265.023492166</v>
      </c>
      <c r="AP12" s="12" t="n">
        <f aca="false">AP8+AP9+AP10+AP11</f>
        <v>309361.662778741</v>
      </c>
      <c r="AQ12" s="12" t="n">
        <f aca="false">AQ8+AQ9+AQ10+AQ11</f>
        <v>304855.735731304</v>
      </c>
      <c r="AR12" s="12" t="n">
        <f aca="false">AR8+AR9+AR10+AR11</f>
        <v>556991.313948731</v>
      </c>
      <c r="AS12" s="12" t="n">
        <f aca="false">AS8+AS9+AS10+AS11</f>
        <v>172117.653902309</v>
      </c>
      <c r="AT12" s="12" t="n">
        <f aca="false">AT8+AT9+AT10+AT11</f>
        <v>170395.663138024</v>
      </c>
      <c r="AU12" s="12" t="n">
        <f aca="false">AU8+AU9+AU10+AU11</f>
        <v>167873.903329881</v>
      </c>
      <c r="AV12" s="12" t="n">
        <f aca="false">AV8+AV9+AV10+AV11</f>
        <v>164628.907400738</v>
      </c>
      <c r="AW12" s="12" t="n">
        <f aca="false">AW8+AW9+AW10+AW11</f>
        <v>160750.601534952</v>
      </c>
      <c r="AX12" s="12" t="n">
        <f aca="false">AX8+AX9+AX10+AX11</f>
        <v>156344.218501452</v>
      </c>
      <c r="AY12" s="12" t="n">
        <f aca="false">AY8+AY9+AY10+AY11</f>
        <v>151528.384330667</v>
      </c>
      <c r="AZ12" s="12" t="n">
        <f aca="false">AZ8+AZ9+AZ10+AZ11</f>
        <v>146419.811729952</v>
      </c>
      <c r="BA12" s="12" t="n">
        <f aca="false">BA8+BA9+BA10+BA11</f>
        <v>141140.953375881</v>
      </c>
      <c r="BB12" s="12" t="n">
        <f aca="false">BB8+BB9+BB10+BB11</f>
        <v>135806.608652738</v>
      </c>
      <c r="BC12" s="12" t="n">
        <f aca="false">BC8+BC9+BC10+BC11</f>
        <v>130522.010329452</v>
      </c>
      <c r="BD12" s="12" t="n">
        <f aca="false">BD8+BD9+BD10+BD11</f>
        <v>125382.824559595</v>
      </c>
      <c r="BE12" s="12" t="n">
        <f aca="false">BE8+BE9+BE10+BE11</f>
        <v>120467.497589095</v>
      </c>
      <c r="BF12" s="12" t="n">
        <f aca="false">BF8+BF9+BF10+BF11</f>
        <v>350812.495725452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)*Escalation!$B$2</f>
        <v>-62866</v>
      </c>
      <c r="D16" s="10" t="n">
        <f aca="false">-(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)*Escalation!$B$2</f>
        <v>-73282.6666666667</v>
      </c>
      <c r="E16" s="10" t="n">
        <f aca="false">-(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)*Escalation!$B$2</f>
        <v>-83699.3333333333</v>
      </c>
      <c r="F16" s="10" t="n">
        <f aca="false">-(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)*Escalation!$B$2</f>
        <v>-83699.3333333333</v>
      </c>
      <c r="G16" s="10" t="n">
        <f aca="false">-(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)*Escalation!$B$2</f>
        <v>-83699.3333333333</v>
      </c>
      <c r="H16" s="10" t="n">
        <f aca="false">-(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)*Escalation!$B$2</f>
        <v>-83699.3333333333</v>
      </c>
      <c r="I16" s="10" t="n">
        <f aca="false">-(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)*Escalation!$B$2</f>
        <v>-83699.3333333333</v>
      </c>
      <c r="J16" s="10" t="n">
        <f aca="false">-(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)*Escalation!$B$2</f>
        <v>-83699.3333333333</v>
      </c>
      <c r="K16" s="10" t="n">
        <f aca="false">-(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)*Escalation!$B$2</f>
        <v>-83699.3333333333</v>
      </c>
      <c r="L16" s="10" t="n">
        <f aca="false">-(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)*Escalation!$B$2</f>
        <v>-83699.3333333333</v>
      </c>
      <c r="M16" s="10" t="n">
        <f aca="false">-(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)*Escalation!$B$2</f>
        <v>-83699.3333333333</v>
      </c>
      <c r="N16" s="10" t="n">
        <f aca="false">-(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)*Escalation!$B$2</f>
        <v>-83699.3333333333</v>
      </c>
      <c r="O16" s="10" t="n">
        <f aca="false">-(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)*Escalation!$B$2</f>
        <v>-83699.3333333333</v>
      </c>
      <c r="P16" s="10" t="n">
        <f aca="false">-(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)*Escalation!$B$2</f>
        <v>-83699.3333333333</v>
      </c>
      <c r="Q16" s="10" t="n">
        <f aca="false">-(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)*Escalation!$B$2</f>
        <v>-83699.3333333333</v>
      </c>
      <c r="R16" s="10" t="n">
        <f aca="false">-(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)*Escalation!$B$2</f>
        <v>-83699.3333333333</v>
      </c>
      <c r="S16" s="10" t="n">
        <f aca="false">-(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)*Escalation!$B$2</f>
        <v>-83699.3333333333</v>
      </c>
      <c r="T16" s="10" t="n">
        <f aca="false">-(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)*Escalation!$B$2</f>
        <v>-83699.3333333333</v>
      </c>
      <c r="U16" s="10" t="n">
        <f aca="false">-(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)*Escalation!$B$2</f>
        <v>-83699.3333333333</v>
      </c>
      <c r="V16" s="10" t="n">
        <f aca="false">-(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)*Escalation!$B$2</f>
        <v>-83699.3333333333</v>
      </c>
      <c r="W16" s="10" t="n">
        <f aca="false">-(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)*Escalation!$B$2</f>
        <v>-83699.3333333333</v>
      </c>
      <c r="X16" s="10" t="n">
        <f aca="false">-(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)*Escalation!$B$2</f>
        <v>-83699.3333333333</v>
      </c>
      <c r="Y16" s="10" t="n">
        <f aca="false">-(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)*Escalation!$B$2</f>
        <v>-83699.3333333333</v>
      </c>
      <c r="Z16" s="10" t="n">
        <f aca="false">-(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)*Escalation!$B$2</f>
        <v>-83699.3333333333</v>
      </c>
      <c r="AA16" s="10" t="n">
        <f aca="false">-(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)*Escalation!$B$2</f>
        <v>-83699.3333333333</v>
      </c>
      <c r="AB16" s="10" t="n">
        <f aca="false">-(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)*Escalation!$B$2</f>
        <v>-83699.3333333333</v>
      </c>
      <c r="AC16" s="10" t="n">
        <f aca="false">-(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)*Escalation!$B$2</f>
        <v>-83699.3333333333</v>
      </c>
      <c r="AD16" s="10" t="n">
        <f aca="false">-(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)*Escalation!$B$2</f>
        <v>-83699.3333333333</v>
      </c>
      <c r="AE16" s="10" t="n">
        <f aca="false">-(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)*Escalation!$B$2</f>
        <v>-83699.3333333333</v>
      </c>
      <c r="AF16" s="10" t="n">
        <f aca="false">-(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)*Escalation!$B$2</f>
        <v>-83699.3333333333</v>
      </c>
      <c r="AG16" s="10" t="n">
        <f aca="false">-(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)*Escalation!$B$2</f>
        <v>-83699.3333333333</v>
      </c>
      <c r="AH16" s="10" t="n">
        <f aca="false">-(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)*Escalation!$B$2</f>
        <v>-83699.3333333333</v>
      </c>
      <c r="AI16" s="10" t="n">
        <f aca="false">-(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)*Escalation!$B$2</f>
        <v>-83699.3333333333</v>
      </c>
      <c r="AJ16" s="10" t="n">
        <f aca="false">-(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)*Escalation!$B$2</f>
        <v>-83699.3333333333</v>
      </c>
      <c r="AK16" s="10" t="n">
        <f aca="false">-(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)*Escalation!$B$2</f>
        <v>-83699.3333333333</v>
      </c>
      <c r="AL16" s="10" t="n">
        <f aca="false">-(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)*Escalation!$B$2</f>
        <v>-83699.3333333333</v>
      </c>
      <c r="AM16" s="10" t="n">
        <f aca="false">-(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)*Escalation!$B$2</f>
        <v>-83699.3333333333</v>
      </c>
      <c r="AN16" s="10" t="n">
        <f aca="false">-(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)*Escalation!$B$2</f>
        <v>-83699.3333333333</v>
      </c>
      <c r="AO16" s="10" t="n">
        <f aca="false">-(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)*Escalation!$B$2</f>
        <v>-83699.3333333333</v>
      </c>
      <c r="AP16" s="10" t="n">
        <f aca="false">-(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)*Escalation!$B$2</f>
        <v>-83699.3333333333</v>
      </c>
      <c r="AQ16" s="10" t="n">
        <f aca="false">-(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)*Escalation!$B$2</f>
        <v>-83699.3333333333</v>
      </c>
      <c r="AR16" s="10" t="n">
        <f aca="false">-(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)*Escalation!$B$2</f>
        <v>-83699.3333333333</v>
      </c>
      <c r="AS16" s="10" t="n">
        <f aca="false">-(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)*Escalation!$B$2</f>
        <v>-83699.3333333333</v>
      </c>
      <c r="AT16" s="10" t="n">
        <f aca="false">-(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)*Escalation!$B$2</f>
        <v>-83699.3333333333</v>
      </c>
      <c r="AU16" s="10" t="n">
        <f aca="false">-(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)*Escalation!$B$2</f>
        <v>-83699.3333333333</v>
      </c>
      <c r="AV16" s="10" t="n">
        <f aca="false">-(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)*Escalation!$B$2</f>
        <v>-83699.3333333333</v>
      </c>
      <c r="AW16" s="10" t="n">
        <f aca="false">-(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)*Escalation!$B$2</f>
        <v>-83699.3333333333</v>
      </c>
      <c r="AX16" s="10" t="n">
        <f aca="false">-(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)*Escalation!$B$2</f>
        <v>-83699.3333333333</v>
      </c>
      <c r="AY16" s="10" t="n">
        <f aca="false">-(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)*Escalation!$B$2</f>
        <v>-83699.3333333333</v>
      </c>
      <c r="AZ16" s="10" t="n">
        <f aca="false">-(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)*Escalation!$B$2</f>
        <v>-83699.3333333333</v>
      </c>
      <c r="BA16" s="10" t="n">
        <f aca="false">-(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)*Escalation!$B$2</f>
        <v>-83699.3333333333</v>
      </c>
      <c r="BB16" s="10" t="n">
        <f aca="false">-(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)*Escalation!$B$2</f>
        <v>-83699.3333333333</v>
      </c>
      <c r="BC16" s="10" t="n">
        <f aca="false">-(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)*Escalation!$B$2</f>
        <v>-83699.3333333333</v>
      </c>
      <c r="BD16" s="10" t="n">
        <f aca="false">-(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)*Escalation!$B$2</f>
        <v>-83699.3333333333</v>
      </c>
      <c r="BE16" s="10" t="n">
        <f aca="false">-(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)*Escalation!$B$2</f>
        <v>-83699.3333333333</v>
      </c>
      <c r="BF16" s="10" t="n">
        <f aca="false">-(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)*Escalation!$B$2</f>
        <v>-83699.3333333333</v>
      </c>
      <c r="BG16" s="10" t="n">
        <f aca="false">-(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)*Escalation!$B$2</f>
        <v>-83699.3333333333</v>
      </c>
      <c r="BH16" s="10" t="n">
        <f aca="false">-(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)*Escalation!$B$2</f>
        <v>-83699.3333333333</v>
      </c>
      <c r="BI16" s="10" t="n">
        <f aca="false">-(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)*Escalation!$B$2</f>
        <v>-83699.3333333333</v>
      </c>
      <c r="BJ16" s="10" t="n">
        <f aca="false">-(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)*Escalation!$B$2</f>
        <v>-83699.3333333333</v>
      </c>
      <c r="BK16" s="10" t="n">
        <f aca="false">-(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)*Escalation!$B$2</f>
        <v>-83699.3333333333</v>
      </c>
      <c r="BL16" s="10" t="n">
        <f aca="false">-(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)*Escalation!$B$2</f>
        <v>-83699.3333333333</v>
      </c>
      <c r="BM16" s="10" t="n">
        <f aca="false">-(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)*Escalation!$B$2</f>
        <v>-83699.3333333333</v>
      </c>
      <c r="BN16" s="10" t="n">
        <f aca="false">-(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)*Escalation!$B$2</f>
        <v>-83699.3333333333</v>
      </c>
      <c r="BO16" s="10" t="n">
        <f aca="false">-(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)*Escalation!$B$2</f>
        <v>-83699.3333333333</v>
      </c>
      <c r="BP16" s="10" t="n">
        <f aca="false">-(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)*Escalation!$B$2</f>
        <v>-83699.3333333333</v>
      </c>
      <c r="BQ16" s="10" t="n">
        <f aca="false">-(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)*Escalation!$B$2</f>
        <v>-83699.3333333333</v>
      </c>
      <c r="BR16" s="10" t="n">
        <f aca="false">-(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)*Escalation!$B$2</f>
        <v>-83699.3333333333</v>
      </c>
      <c r="BS16" s="10" t="n">
        <f aca="false">-(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)*Escalation!$B$2</f>
        <v>-83699.3333333333</v>
      </c>
      <c r="BT16" s="10" t="n">
        <f aca="false">-(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)*Escalation!$B$2</f>
        <v>-83699.3333333333</v>
      </c>
      <c r="BU16" s="10" t="n">
        <f aca="false">-(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)*Escalation!$B$2</f>
        <v>-83699.3333333333</v>
      </c>
      <c r="BV16" s="10" t="n">
        <f aca="false">-(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)*Escalation!$B$2</f>
        <v>-83699.3333333333</v>
      </c>
      <c r="BW16" s="10" t="n">
        <f aca="false">-(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)*Escalation!$B$2</f>
        <v>-83699.3333333333</v>
      </c>
      <c r="BX16" s="10" t="n">
        <f aca="false">-(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)*Escalation!$B$2</f>
        <v>-83699.3333333333</v>
      </c>
      <c r="BY16" s="10" t="n">
        <f aca="false">-(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)*Escalation!$B$2</f>
        <v>-83699.3333333333</v>
      </c>
      <c r="BZ16" s="10" t="n">
        <f aca="false">-(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)*Escalation!$B$2</f>
        <v>-83699.3333333333</v>
      </c>
      <c r="CA16" s="10" t="n">
        <f aca="false">-(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)*Escalation!$B$2</f>
        <v>-83699.3333333333</v>
      </c>
      <c r="CB16" s="10" t="n">
        <f aca="false">-(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)*Escalation!$B$2</f>
        <v>-83699.3333333333</v>
      </c>
      <c r="CC16" s="10" t="n">
        <f aca="false">-(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)*Escalation!$B$2</f>
        <v>-83699.3333333333</v>
      </c>
      <c r="CD16" s="10" t="n">
        <f aca="false">-(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)*Escalation!$B$2</f>
        <v>-83699.3333333333</v>
      </c>
      <c r="CE16" s="10" t="n">
        <f aca="false">-(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)*Escalation!$B$2</f>
        <v>-83699.3333333333</v>
      </c>
      <c r="CF16" s="10" t="n">
        <f aca="false">-(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)*Escalation!$B$2</f>
        <v>-83699.3333333333</v>
      </c>
      <c r="CG16" s="10" t="n">
        <f aca="false">-(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)*Escalation!$B$2</f>
        <v>-83699.3333333333</v>
      </c>
      <c r="CH16" s="10" t="n">
        <f aca="false">-(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)*Escalation!$B$2</f>
        <v>-83699.3333333333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$23,Personnel!$G$23="Yes"),Personnel!$D$23,0)+IF(AND(1&gt;=Personnel!$E$24,Personnel!$G$24="Yes"),Personnel!$D$24,0)+IF(AND(1&gt;=Personnel!$E$25,Personnel!$G$25="Yes"),Personnel!$D$25,0))*Escalation!$B$2</f>
        <v>-128125</v>
      </c>
      <c r="D17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$23,Personnel!$G$23="Yes"),Personnel!$D$23,0)+IF(AND(2&gt;=Personnel!$E$24,Personnel!$G$24="Yes"),Personnel!$D$24,0)+IF(AND(2&gt;=Personnel!$E$25,Personnel!$G$25="Yes"),Personnel!$D$25,0))*Escalation!$B$2</f>
        <v>-153958.333333333</v>
      </c>
      <c r="E17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$23,Personnel!$G$23="Yes"),Personnel!$D$23,0)+IF(AND(3&gt;=Personnel!$E$24,Personnel!$G$24="Yes"),Personnel!$D$24,0)+IF(AND(3&gt;=Personnel!$E$25,Personnel!$G$25="Yes"),Personnel!$D$25,0))*Escalation!$B$2</f>
        <v>-173541.666666667</v>
      </c>
      <c r="F17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$23,Personnel!$G$23="Yes"),Personnel!$D$23,0)+IF(AND(4&gt;=Personnel!$E$24,Personnel!$G$24="Yes"),Personnel!$D$24,0)+IF(AND(4&gt;=Personnel!$E$25,Personnel!$G$25="Yes"),Personnel!$D$25,0))*Escalation!$B$2</f>
        <v>-173541.666666667</v>
      </c>
      <c r="G17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$23,Personnel!$G$23="Yes"),Personnel!$D$23,0)+IF(AND(5&gt;=Personnel!$E$24,Personnel!$G$24="Yes"),Personnel!$D$24,0)+IF(AND(5&gt;=Personnel!$E$25,Personnel!$G$25="Yes"),Personnel!$D$25,0))*Escalation!$B$2</f>
        <v>-173541.666666667</v>
      </c>
      <c r="H17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$23,Personnel!$G$23="Yes"),Personnel!$D$23,0)+IF(AND(6&gt;=Personnel!$E$24,Personnel!$G$24="Yes"),Personnel!$D$24,0)+IF(AND(6&gt;=Personnel!$E$25,Personnel!$G$25="Yes"),Personnel!$D$25,0))*Escalation!$B$2</f>
        <v>-173541.666666667</v>
      </c>
      <c r="I17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$23,Personnel!$G$23="Yes"),Personnel!$D$23,0)+IF(AND(7&gt;=Personnel!$E$24,Personnel!$G$24="Yes"),Personnel!$D$24,0)+IF(AND(7&gt;=Personnel!$E$25,Personnel!$G$25="Yes"),Personnel!$D$25,0))*Escalation!$B$2</f>
        <v>-173541.666666667</v>
      </c>
      <c r="J17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$23,Personnel!$G$23="Yes"),Personnel!$D$23,0)+IF(AND(8&gt;=Personnel!$E$24,Personnel!$G$24="Yes"),Personnel!$D$24,0)+IF(AND(8&gt;=Personnel!$E$25,Personnel!$G$25="Yes"),Personnel!$D$25,0))*Escalation!$B$2</f>
        <v>-173541.666666667</v>
      </c>
      <c r="K17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$23,Personnel!$G$23="Yes"),Personnel!$D$23,0)+IF(AND(9&gt;=Personnel!$E$24,Personnel!$G$24="Yes"),Personnel!$D$24,0)+IF(AND(9&gt;=Personnel!$E$25,Personnel!$G$25="Yes"),Personnel!$D$25,0))*Escalation!$B$2</f>
        <v>-173541.666666667</v>
      </c>
      <c r="L17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$23,Personnel!$G$23="Yes"),Personnel!$D$23,0)+IF(AND(10&gt;=Personnel!$E$24,Personnel!$G$24="Yes"),Personnel!$D$24,0)+IF(AND(10&gt;=Personnel!$E$25,Personnel!$G$25="Yes"),Personnel!$D$25,0))*Escalation!$B$2</f>
        <v>-173541.666666667</v>
      </c>
      <c r="M17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$23,Personnel!$G$23="Yes"),Personnel!$D$23,0)+IF(AND(11&gt;=Personnel!$E$24,Personnel!$G$24="Yes"),Personnel!$D$24,0)+IF(AND(11&gt;=Personnel!$E$25,Personnel!$G$25="Yes"),Personnel!$D$25,0))*Escalation!$B$2</f>
        <v>-173541.666666667</v>
      </c>
      <c r="N17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$23,Personnel!$G$23="Yes"),Personnel!$D$23,0)+IF(AND(12&gt;=Personnel!$E$24,Personnel!$G$24="Yes"),Personnel!$D$24,0)+IF(AND(12&gt;=Personnel!$E$25,Personnel!$G$25="Yes"),Personnel!$D$25,0))*Escalation!$B$2</f>
        <v>-173541.666666667</v>
      </c>
      <c r="O17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$23,Personnel!$G$23="Yes"),Personnel!$D$23,0)+IF(AND(13&gt;=Personnel!$E$24,Personnel!$G$24="Yes"),Personnel!$D$24,0)+IF(AND(13&gt;=Personnel!$E$25,Personnel!$G$25="Yes"),Personnel!$D$25,0))*Escalation!$B$2</f>
        <v>-173541.666666667</v>
      </c>
      <c r="P17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$23,Personnel!$G$23="Yes"),Personnel!$D$23,0)+IF(AND(14&gt;=Personnel!$E$24,Personnel!$G$24="Yes"),Personnel!$D$24,0)+IF(AND(14&gt;=Personnel!$E$25,Personnel!$G$25="Yes"),Personnel!$D$25,0))*Escalation!$B$2</f>
        <v>-173541.666666667</v>
      </c>
      <c r="Q17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$23,Personnel!$G$23="Yes"),Personnel!$D$23,0)+IF(AND(15&gt;=Personnel!$E$24,Personnel!$G$24="Yes"),Personnel!$D$24,0)+IF(AND(15&gt;=Personnel!$E$25,Personnel!$G$25="Yes"),Personnel!$D$25,0))*Escalation!$B$2</f>
        <v>-173541.666666667</v>
      </c>
      <c r="R17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$23,Personnel!$G$23="Yes"),Personnel!$D$23,0)+IF(AND(16&gt;=Personnel!$E$24,Personnel!$G$24="Yes"),Personnel!$D$24,0)+IF(AND(16&gt;=Personnel!$E$25,Personnel!$G$25="Yes"),Personnel!$D$25,0))*Escalation!$B$2</f>
        <v>-173541.666666667</v>
      </c>
      <c r="S17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$23,Personnel!$G$23="Yes"),Personnel!$D$23,0)+IF(AND(17&gt;=Personnel!$E$24,Personnel!$G$24="Yes"),Personnel!$D$24,0)+IF(AND(17&gt;=Personnel!$E$25,Personnel!$G$25="Yes"),Personnel!$D$25,0))*Escalation!$B$2</f>
        <v>-173541.666666667</v>
      </c>
      <c r="T17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$23,Personnel!$G$23="Yes"),Personnel!$D$23,0)+IF(AND(18&gt;=Personnel!$E$24,Personnel!$G$24="Yes"),Personnel!$D$24,0)+IF(AND(18&gt;=Personnel!$E$25,Personnel!$G$25="Yes"),Personnel!$D$25,0))*Escalation!$B$2</f>
        <v>-173541.666666667</v>
      </c>
      <c r="U17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$23,Personnel!$G$23="Yes"),Personnel!$D$23,0)+IF(AND(19&gt;=Personnel!$E$24,Personnel!$G$24="Yes"),Personnel!$D$24,0)+IF(AND(19&gt;=Personnel!$E$25,Personnel!$G$25="Yes"),Personnel!$D$25,0))*Escalation!$B$2</f>
        <v>-173541.666666667</v>
      </c>
      <c r="V17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$23,Personnel!$G$23="Yes"),Personnel!$D$23,0)+IF(AND(20&gt;=Personnel!$E$24,Personnel!$G$24="Yes"),Personnel!$D$24,0)+IF(AND(20&gt;=Personnel!$E$25,Personnel!$G$25="Yes"),Personnel!$D$25,0))*Escalation!$B$2</f>
        <v>-173541.666666667</v>
      </c>
      <c r="W17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$23,Personnel!$G$23="Yes"),Personnel!$D$23,0)+IF(AND(21&gt;=Personnel!$E$24,Personnel!$G$24="Yes"),Personnel!$D$24,0)+IF(AND(21&gt;=Personnel!$E$25,Personnel!$G$25="Yes"),Personnel!$D$25,0))*Escalation!$B$2</f>
        <v>-173541.666666667</v>
      </c>
      <c r="X17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$23,Personnel!$G$23="Yes"),Personnel!$D$23,0)+IF(AND(22&gt;=Personnel!$E$24,Personnel!$G$24="Yes"),Personnel!$D$24,0)+IF(AND(22&gt;=Personnel!$E$25,Personnel!$G$25="Yes"),Personnel!$D$25,0))*Escalation!$B$2</f>
        <v>-173541.666666667</v>
      </c>
      <c r="Y17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$23,Personnel!$G$23="Yes"),Personnel!$D$23,0)+IF(AND(23&gt;=Personnel!$E$24,Personnel!$G$24="Yes"),Personnel!$D$24,0)+IF(AND(23&gt;=Personnel!$E$25,Personnel!$G$25="Yes"),Personnel!$D$25,0))*Escalation!$B$2</f>
        <v>-173541.666666667</v>
      </c>
      <c r="Z17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$23,Personnel!$G$23="Yes"),Personnel!$D$23,0)+IF(AND(24&gt;=Personnel!$E$24,Personnel!$G$24="Yes"),Personnel!$D$24,0)+IF(AND(24&gt;=Personnel!$E$25,Personnel!$G$25="Yes"),Personnel!$D$25,0))*Escalation!$B$2</f>
        <v>-173541.666666667</v>
      </c>
      <c r="AA17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$23,Personnel!$G$23="Yes"),Personnel!$D$23,0)+IF(AND(25&gt;=Personnel!$E$24,Personnel!$G$24="Yes"),Personnel!$D$24,0)+IF(AND(25&gt;=Personnel!$E$25,Personnel!$G$25="Yes"),Personnel!$D$25,0))*Escalation!$B$2</f>
        <v>-173541.666666667</v>
      </c>
      <c r="AB17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$23,Personnel!$G$23="Yes"),Personnel!$D$23,0)+IF(AND(26&gt;=Personnel!$E$24,Personnel!$G$24="Yes"),Personnel!$D$24,0)+IF(AND(26&gt;=Personnel!$E$25,Personnel!$G$25="Yes"),Personnel!$D$25,0))*Escalation!$B$2</f>
        <v>-173541.666666667</v>
      </c>
      <c r="AC17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$23,Personnel!$G$23="Yes"),Personnel!$D$23,0)+IF(AND(27&gt;=Personnel!$E$24,Personnel!$G$24="Yes"),Personnel!$D$24,0)+IF(AND(27&gt;=Personnel!$E$25,Personnel!$G$25="Yes"),Personnel!$D$25,0))*Escalation!$B$2</f>
        <v>-173541.666666667</v>
      </c>
      <c r="AD17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$23,Personnel!$G$23="Yes"),Personnel!$D$23,0)+IF(AND(28&gt;=Personnel!$E$24,Personnel!$G$24="Yes"),Personnel!$D$24,0)+IF(AND(28&gt;=Personnel!$E$25,Personnel!$G$25="Yes"),Personnel!$D$25,0))*Escalation!$B$2</f>
        <v>-173541.666666667</v>
      </c>
      <c r="AE17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$23,Personnel!$G$23="Yes"),Personnel!$D$23,0)+IF(AND(29&gt;=Personnel!$E$24,Personnel!$G$24="Yes"),Personnel!$D$24,0)+IF(AND(29&gt;=Personnel!$E$25,Personnel!$G$25="Yes"),Personnel!$D$25,0))*Escalation!$B$2</f>
        <v>-173541.666666667</v>
      </c>
      <c r="AF17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$23,Personnel!$G$23="Yes"),Personnel!$D$23,0)+IF(AND(30&gt;=Personnel!$E$24,Personnel!$G$24="Yes"),Personnel!$D$24,0)+IF(AND(30&gt;=Personnel!$E$25,Personnel!$G$25="Yes"),Personnel!$D$25,0))*Escalation!$B$2</f>
        <v>-173541.666666667</v>
      </c>
      <c r="AG17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$23,Personnel!$G$23="Yes"),Personnel!$D$23,0)+IF(AND(31&gt;=Personnel!$E$24,Personnel!$G$24="Yes"),Personnel!$D$24,0)+IF(AND(31&gt;=Personnel!$E$25,Personnel!$G$25="Yes"),Personnel!$D$25,0))*Escalation!$B$2</f>
        <v>-173541.666666667</v>
      </c>
      <c r="AH17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$23,Personnel!$G$23="Yes"),Personnel!$D$23,0)+IF(AND(32&gt;=Personnel!$E$24,Personnel!$G$24="Yes"),Personnel!$D$24,0)+IF(AND(32&gt;=Personnel!$E$25,Personnel!$G$25="Yes"),Personnel!$D$25,0))*Escalation!$B$2</f>
        <v>-173541.666666667</v>
      </c>
      <c r="AI17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$23,Personnel!$G$23="Yes"),Personnel!$D$23,0)+IF(AND(33&gt;=Personnel!$E$24,Personnel!$G$24="Yes"),Personnel!$D$24,0)+IF(AND(33&gt;=Personnel!$E$25,Personnel!$G$25="Yes"),Personnel!$D$25,0))*Escalation!$B$2</f>
        <v>-173541.666666667</v>
      </c>
      <c r="AJ17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$23,Personnel!$G$23="Yes"),Personnel!$D$23,0)+IF(AND(34&gt;=Personnel!$E$24,Personnel!$G$24="Yes"),Personnel!$D$24,0)+IF(AND(34&gt;=Personnel!$E$25,Personnel!$G$25="Yes"),Personnel!$D$25,0))*Escalation!$B$2</f>
        <v>-173541.666666667</v>
      </c>
      <c r="AK17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$23,Personnel!$G$23="Yes"),Personnel!$D$23,0)+IF(AND(35&gt;=Personnel!$E$24,Personnel!$G$24="Yes"),Personnel!$D$24,0)+IF(AND(35&gt;=Personnel!$E$25,Personnel!$G$25="Yes"),Personnel!$D$25,0))*Escalation!$B$2</f>
        <v>-173541.666666667</v>
      </c>
      <c r="AL17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$23,Personnel!$G$23="Yes"),Personnel!$D$23,0)+IF(AND(36&gt;=Personnel!$E$24,Personnel!$G$24="Yes"),Personnel!$D$24,0)+IF(AND(36&gt;=Personnel!$E$25,Personnel!$G$25="Yes"),Personnel!$D$25,0))*Escalation!$B$2</f>
        <v>-173541.666666667</v>
      </c>
      <c r="AM17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$23,Personnel!$G$23="Yes"),Personnel!$D$23,0)+IF(AND(37&gt;=Personnel!$E$24,Personnel!$G$24="Yes"),Personnel!$D$24,0)+IF(AND(37&gt;=Personnel!$E$25,Personnel!$G$25="Yes"),Personnel!$D$25,0))*Escalation!$B$2</f>
        <v>-173541.666666667</v>
      </c>
      <c r="AN17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$23,Personnel!$G$23="Yes"),Personnel!$D$23,0)+IF(AND(38&gt;=Personnel!$E$24,Personnel!$G$24="Yes"),Personnel!$D$24,0)+IF(AND(38&gt;=Personnel!$E$25,Personnel!$G$25="Yes"),Personnel!$D$25,0))*Escalation!$B$2</f>
        <v>-173541.666666667</v>
      </c>
      <c r="AO17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$23,Personnel!$G$23="Yes"),Personnel!$D$23,0)+IF(AND(39&gt;=Personnel!$E$24,Personnel!$G$24="Yes"),Personnel!$D$24,0)+IF(AND(39&gt;=Personnel!$E$25,Personnel!$G$25="Yes"),Personnel!$D$25,0))*Escalation!$B$2</f>
        <v>-173541.666666667</v>
      </c>
      <c r="AP17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$23,Personnel!$G$23="Yes"),Personnel!$D$23,0)+IF(AND(40&gt;=Personnel!$E$24,Personnel!$G$24="Yes"),Personnel!$D$24,0)+IF(AND(40&gt;=Personnel!$E$25,Personnel!$G$25="Yes"),Personnel!$D$25,0))*Escalation!$B$2</f>
        <v>-173541.666666667</v>
      </c>
      <c r="AQ17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$23,Personnel!$G$23="Yes"),Personnel!$D$23,0)+IF(AND(41&gt;=Personnel!$E$24,Personnel!$G$24="Yes"),Personnel!$D$24,0)+IF(AND(41&gt;=Personnel!$E$25,Personnel!$G$25="Yes"),Personnel!$D$25,0))*Escalation!$B$2</f>
        <v>-173541.666666667</v>
      </c>
      <c r="AR17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$23,Personnel!$G$23="Yes"),Personnel!$D$23,0)+IF(AND(42&gt;=Personnel!$E$24,Personnel!$G$24="Yes"),Personnel!$D$24,0)+IF(AND(42&gt;=Personnel!$E$25,Personnel!$G$25="Yes"),Personnel!$D$25,0))*Escalation!$B$2</f>
        <v>-173541.666666667</v>
      </c>
      <c r="AS17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$23,Personnel!$G$23="Yes"),Personnel!$D$23,0)+IF(AND(43&gt;=Personnel!$E$24,Personnel!$G$24="Yes"),Personnel!$D$24,0)+IF(AND(43&gt;=Personnel!$E$25,Personnel!$G$25="Yes"),Personnel!$D$25,0))*Escalation!$B$2</f>
        <v>-173541.666666667</v>
      </c>
      <c r="AT17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$23,Personnel!$G$23="Yes"),Personnel!$D$23,0)+IF(AND(44&gt;=Personnel!$E$24,Personnel!$G$24="Yes"),Personnel!$D$24,0)+IF(AND(44&gt;=Personnel!$E$25,Personnel!$G$25="Yes"),Personnel!$D$25,0))*Escalation!$B$2</f>
        <v>-173541.666666667</v>
      </c>
      <c r="AU17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$23,Personnel!$G$23="Yes"),Personnel!$D$23,0)+IF(AND(45&gt;=Personnel!$E$24,Personnel!$G$24="Yes"),Personnel!$D$24,0)+IF(AND(45&gt;=Personnel!$E$25,Personnel!$G$25="Yes"),Personnel!$D$25,0))*Escalation!$B$2</f>
        <v>-173541.666666667</v>
      </c>
      <c r="AV17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$23,Personnel!$G$23="Yes"),Personnel!$D$23,0)+IF(AND(46&gt;=Personnel!$E$24,Personnel!$G$24="Yes"),Personnel!$D$24,0)+IF(AND(46&gt;=Personnel!$E$25,Personnel!$G$25="Yes"),Personnel!$D$25,0))*Escalation!$B$2</f>
        <v>-173541.666666667</v>
      </c>
      <c r="AW17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$23,Personnel!$G$23="Yes"),Personnel!$D$23,0)+IF(AND(47&gt;=Personnel!$E$24,Personnel!$G$24="Yes"),Personnel!$D$24,0)+IF(AND(47&gt;=Personnel!$E$25,Personnel!$G$25="Yes"),Personnel!$D$25,0))*Escalation!$B$2</f>
        <v>-173541.666666667</v>
      </c>
      <c r="AX17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$23,Personnel!$G$23="Yes"),Personnel!$D$23,0)+IF(AND(48&gt;=Personnel!$E$24,Personnel!$G$24="Yes"),Personnel!$D$24,0)+IF(AND(48&gt;=Personnel!$E$25,Personnel!$G$25="Yes"),Personnel!$D$25,0))*Escalation!$B$2</f>
        <v>-173541.666666667</v>
      </c>
      <c r="AY17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$23,Personnel!$G$23="Yes"),Personnel!$D$23,0)+IF(AND(49&gt;=Personnel!$E$24,Personnel!$G$24="Yes"),Personnel!$D$24,0)+IF(AND(49&gt;=Personnel!$E$25,Personnel!$G$25="Yes"),Personnel!$D$25,0))*Escalation!$B$2</f>
        <v>-173541.666666667</v>
      </c>
      <c r="AZ17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$23,Personnel!$G$23="Yes"),Personnel!$D$23,0)+IF(AND(50&gt;=Personnel!$E$24,Personnel!$G$24="Yes"),Personnel!$D$24,0)+IF(AND(50&gt;=Personnel!$E$25,Personnel!$G$25="Yes"),Personnel!$D$25,0))*Escalation!$B$2</f>
        <v>-173541.666666667</v>
      </c>
      <c r="BA17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$23,Personnel!$G$23="Yes"),Personnel!$D$23,0)+IF(AND(51&gt;=Personnel!$E$24,Personnel!$G$24="Yes"),Personnel!$D$24,0)+IF(AND(51&gt;=Personnel!$E$25,Personnel!$G$25="Yes"),Personnel!$D$25,0))*Escalation!$B$2</f>
        <v>-173541.666666667</v>
      </c>
      <c r="BB17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$23,Personnel!$G$23="Yes"),Personnel!$D$23,0)+IF(AND(52&gt;=Personnel!$E$24,Personnel!$G$24="Yes"),Personnel!$D$24,0)+IF(AND(52&gt;=Personnel!$E$25,Personnel!$G$25="Yes"),Personnel!$D$25,0))*Escalation!$B$2</f>
        <v>-173541.666666667</v>
      </c>
      <c r="BC17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$23,Personnel!$G$23="Yes"),Personnel!$D$23,0)+IF(AND(53&gt;=Personnel!$E$24,Personnel!$G$24="Yes"),Personnel!$D$24,0)+IF(AND(53&gt;=Personnel!$E$25,Personnel!$G$25="Yes"),Personnel!$D$25,0))*Escalation!$B$2</f>
        <v>-173541.666666667</v>
      </c>
      <c r="BD17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$23,Personnel!$G$23="Yes"),Personnel!$D$23,0)+IF(AND(54&gt;=Personnel!$E$24,Personnel!$G$24="Yes"),Personnel!$D$24,0)+IF(AND(54&gt;=Personnel!$E$25,Personnel!$G$25="Yes"),Personnel!$D$25,0))*Escalation!$B$2</f>
        <v>-173541.666666667</v>
      </c>
      <c r="BE17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$23,Personnel!$G$23="Yes"),Personnel!$D$23,0)+IF(AND(55&gt;=Personnel!$E$24,Personnel!$G$24="Yes"),Personnel!$D$24,0)+IF(AND(55&gt;=Personnel!$E$25,Personnel!$G$25="Yes"),Personnel!$D$25,0))*Escalation!$B$2</f>
        <v>-173541.666666667</v>
      </c>
      <c r="BF17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$23,Personnel!$G$23="Yes"),Personnel!$D$23,0)+IF(AND(56&gt;=Personnel!$E$24,Personnel!$G$24="Yes"),Personnel!$D$24,0)+IF(AND(56&gt;=Personnel!$E$25,Personnel!$G$25="Yes"),Personnel!$D$25,0))*Escalation!$B$2</f>
        <v>-173541.666666667</v>
      </c>
      <c r="BG17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$23,Personnel!$G$23="Yes"),Personnel!$D$23,0)+IF(AND(57&gt;=Personnel!$E$24,Personnel!$G$24="Yes"),Personnel!$D$24,0)+IF(AND(57&gt;=Personnel!$E$25,Personnel!$G$25="Yes"),Personnel!$D$25,0))*Escalation!$B$2</f>
        <v>-173541.666666667</v>
      </c>
      <c r="BH17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$23,Personnel!$G$23="Yes"),Personnel!$D$23,0)+IF(AND(58&gt;=Personnel!$E$24,Personnel!$G$24="Yes"),Personnel!$D$24,0)+IF(AND(58&gt;=Personnel!$E$25,Personnel!$G$25="Yes"),Personnel!$D$25,0))*Escalation!$B$2</f>
        <v>-173541.666666667</v>
      </c>
      <c r="BI17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$23,Personnel!$G$23="Yes"),Personnel!$D$23,0)+IF(AND(59&gt;=Personnel!$E$24,Personnel!$G$24="Yes"),Personnel!$D$24,0)+IF(AND(59&gt;=Personnel!$E$25,Personnel!$G$25="Yes"),Personnel!$D$25,0))*Escalation!$B$2</f>
        <v>-173541.666666667</v>
      </c>
      <c r="BJ17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$23,Personnel!$G$23="Yes"),Personnel!$D$23,0)+IF(AND(60&gt;=Personnel!$E$24,Personnel!$G$24="Yes"),Personnel!$D$24,0)+IF(AND(60&gt;=Personnel!$E$25,Personnel!$G$25="Yes"),Personnel!$D$25,0))*Escalation!$B$2</f>
        <v>-173541.666666667</v>
      </c>
      <c r="BK17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$23,Personnel!$G$23="Yes"),Personnel!$D$23,0)+IF(AND(61&gt;=Personnel!$E$24,Personnel!$G$24="Yes"),Personnel!$D$24,0)+IF(AND(61&gt;=Personnel!$E$25,Personnel!$G$25="Yes"),Personnel!$D$25,0))*Escalation!$B$2</f>
        <v>-173541.666666667</v>
      </c>
      <c r="BL17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$23,Personnel!$G$23="Yes"),Personnel!$D$23,0)+IF(AND(62&gt;=Personnel!$E$24,Personnel!$G$24="Yes"),Personnel!$D$24,0)+IF(AND(62&gt;=Personnel!$E$25,Personnel!$G$25="Yes"),Personnel!$D$25,0))*Escalation!$B$2</f>
        <v>-173541.666666667</v>
      </c>
      <c r="BM17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$23,Personnel!$G$23="Yes"),Personnel!$D$23,0)+IF(AND(63&gt;=Personnel!$E$24,Personnel!$G$24="Yes"),Personnel!$D$24,0)+IF(AND(63&gt;=Personnel!$E$25,Personnel!$G$25="Yes"),Personnel!$D$25,0))*Escalation!$B$2</f>
        <v>-173541.666666667</v>
      </c>
      <c r="BN17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$23,Personnel!$G$23="Yes"),Personnel!$D$23,0)+IF(AND(64&gt;=Personnel!$E$24,Personnel!$G$24="Yes"),Personnel!$D$24,0)+IF(AND(64&gt;=Personnel!$E$25,Personnel!$G$25="Yes"),Personnel!$D$25,0))*Escalation!$B$2</f>
        <v>-173541.666666667</v>
      </c>
      <c r="BO17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$23,Personnel!$G$23="Yes"),Personnel!$D$23,0)+IF(AND(65&gt;=Personnel!$E$24,Personnel!$G$24="Yes"),Personnel!$D$24,0)+IF(AND(65&gt;=Personnel!$E$25,Personnel!$G$25="Yes"),Personnel!$D$25,0))*Escalation!$B$2</f>
        <v>-173541.666666667</v>
      </c>
      <c r="BP17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$23,Personnel!$G$23="Yes"),Personnel!$D$23,0)+IF(AND(66&gt;=Personnel!$E$24,Personnel!$G$24="Yes"),Personnel!$D$24,0)+IF(AND(66&gt;=Personnel!$E$25,Personnel!$G$25="Yes"),Personnel!$D$25,0))*Escalation!$B$2</f>
        <v>-173541.666666667</v>
      </c>
      <c r="BQ17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$23,Personnel!$G$23="Yes"),Personnel!$D$23,0)+IF(AND(67&gt;=Personnel!$E$24,Personnel!$G$24="Yes"),Personnel!$D$24,0)+IF(AND(67&gt;=Personnel!$E$25,Personnel!$G$25="Yes"),Personnel!$D$25,0))*Escalation!$B$2</f>
        <v>-173541.666666667</v>
      </c>
      <c r="BR17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$23,Personnel!$G$23="Yes"),Personnel!$D$23,0)+IF(AND(68&gt;=Personnel!$E$24,Personnel!$G$24="Yes"),Personnel!$D$24,0)+IF(AND(68&gt;=Personnel!$E$25,Personnel!$G$25="Yes"),Personnel!$D$25,0))*Escalation!$B$2</f>
        <v>-173541.666666667</v>
      </c>
      <c r="BS17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$23,Personnel!$G$23="Yes"),Personnel!$D$23,0)+IF(AND(69&gt;=Personnel!$E$24,Personnel!$G$24="Yes"),Personnel!$D$24,0)+IF(AND(69&gt;=Personnel!$E$25,Personnel!$G$25="Yes"),Personnel!$D$25,0))*Escalation!$B$2</f>
        <v>-173541.666666667</v>
      </c>
      <c r="BT17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$23,Personnel!$G$23="Yes"),Personnel!$D$23,0)+IF(AND(70&gt;=Personnel!$E$24,Personnel!$G$24="Yes"),Personnel!$D$24,0)+IF(AND(70&gt;=Personnel!$E$25,Personnel!$G$25="Yes"),Personnel!$D$25,0))*Escalation!$B$2</f>
        <v>-173541.666666667</v>
      </c>
      <c r="BU17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$23,Personnel!$G$23="Yes"),Personnel!$D$23,0)+IF(AND(71&gt;=Personnel!$E$24,Personnel!$G$24="Yes"),Personnel!$D$24,0)+IF(AND(71&gt;=Personnel!$E$25,Personnel!$G$25="Yes"),Personnel!$D$25,0))*Escalation!$B$2</f>
        <v>-173541.666666667</v>
      </c>
      <c r="BV17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$23,Personnel!$G$23="Yes"),Personnel!$D$23,0)+IF(AND(72&gt;=Personnel!$E$24,Personnel!$G$24="Yes"),Personnel!$D$24,0)+IF(AND(72&gt;=Personnel!$E$25,Personnel!$G$25="Yes"),Personnel!$D$25,0))*Escalation!$B$2</f>
        <v>-173541.666666667</v>
      </c>
      <c r="BW17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$23,Personnel!$G$23="Yes"),Personnel!$D$23,0)+IF(AND(73&gt;=Personnel!$E$24,Personnel!$G$24="Yes"),Personnel!$D$24,0)+IF(AND(73&gt;=Personnel!$E$25,Personnel!$G$25="Yes"),Personnel!$D$25,0))*Escalation!$B$2</f>
        <v>-173541.666666667</v>
      </c>
      <c r="BX17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$23,Personnel!$G$23="Yes"),Personnel!$D$23,0)+IF(AND(74&gt;=Personnel!$E$24,Personnel!$G$24="Yes"),Personnel!$D$24,0)+IF(AND(74&gt;=Personnel!$E$25,Personnel!$G$25="Yes"),Personnel!$D$25,0))*Escalation!$B$2</f>
        <v>-173541.666666667</v>
      </c>
      <c r="BY17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$23,Personnel!$G$23="Yes"),Personnel!$D$23,0)+IF(AND(75&gt;=Personnel!$E$24,Personnel!$G$24="Yes"),Personnel!$D$24,0)+IF(AND(75&gt;=Personnel!$E$25,Personnel!$G$25="Yes"),Personnel!$D$25,0))*Escalation!$B$2</f>
        <v>-173541.666666667</v>
      </c>
      <c r="BZ17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$23,Personnel!$G$23="Yes"),Personnel!$D$23,0)+IF(AND(76&gt;=Personnel!$E$24,Personnel!$G$24="Yes"),Personnel!$D$24,0)+IF(AND(76&gt;=Personnel!$E$25,Personnel!$G$25="Yes"),Personnel!$D$25,0))*Escalation!$B$2</f>
        <v>-173541.666666667</v>
      </c>
      <c r="CA17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$23,Personnel!$G$23="Yes"),Personnel!$D$23,0)+IF(AND(77&gt;=Personnel!$E$24,Personnel!$G$24="Yes"),Personnel!$D$24,0)+IF(AND(77&gt;=Personnel!$E$25,Personnel!$G$25="Yes"),Personnel!$D$25,0))*Escalation!$B$2</f>
        <v>-173541.666666667</v>
      </c>
      <c r="CB17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$23,Personnel!$G$23="Yes"),Personnel!$D$23,0)+IF(AND(78&gt;=Personnel!$E$24,Personnel!$G$24="Yes"),Personnel!$D$24,0)+IF(AND(78&gt;=Personnel!$E$25,Personnel!$G$25="Yes"),Personnel!$D$25,0))*Escalation!$B$2</f>
        <v>-173541.666666667</v>
      </c>
      <c r="CC17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$23,Personnel!$G$23="Yes"),Personnel!$D$23,0)+IF(AND(79&gt;=Personnel!$E$24,Personnel!$G$24="Yes"),Personnel!$D$24,0)+IF(AND(79&gt;=Personnel!$E$25,Personnel!$G$25="Yes"),Personnel!$D$25,0))*Escalation!$B$2</f>
        <v>-173541.666666667</v>
      </c>
      <c r="CD17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$23,Personnel!$G$23="Yes"),Personnel!$D$23,0)+IF(AND(80&gt;=Personnel!$E$24,Personnel!$G$24="Yes"),Personnel!$D$24,0)+IF(AND(80&gt;=Personnel!$E$25,Personnel!$G$25="Yes"),Personnel!$D$25,0))*Escalation!$B$2</f>
        <v>-173541.666666667</v>
      </c>
      <c r="CE17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$23,Personnel!$G$23="Yes"),Personnel!$D$23,0)+IF(AND(81&gt;=Personnel!$E$24,Personnel!$G$24="Yes"),Personnel!$D$24,0)+IF(AND(81&gt;=Personnel!$E$25,Personnel!$G$25="Yes"),Personnel!$D$25,0))*Escalation!$B$2</f>
        <v>-173541.666666667</v>
      </c>
      <c r="CF17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$23,Personnel!$G$23="Yes"),Personnel!$D$23,0)+IF(AND(82&gt;=Personnel!$E$24,Personnel!$G$24="Yes"),Personnel!$D$24,0)+IF(AND(82&gt;=Personnel!$E$25,Personnel!$G$25="Yes"),Personnel!$D$25,0))*Escalation!$B$2</f>
        <v>-173541.666666667</v>
      </c>
      <c r="CG17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$23,Personnel!$G$23="Yes"),Personnel!$D$23,0)+IF(AND(83&gt;=Personnel!$E$24,Personnel!$G$24="Yes"),Personnel!$D$24,0)+IF(AND(83&gt;=Personnel!$E$25,Personnel!$G$25="Yes"),Personnel!$D$25,0))*Escalation!$B$2</f>
        <v>-173541.666666667</v>
      </c>
      <c r="CH17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$23,Personnel!$G$23="Yes"),Personnel!$D$23,0)+IF(AND(84&gt;=Personnel!$E$24,Personnel!$G$24="Yes"),Personnel!$D$24,0)+IF(AND(84&gt;=Personnel!$E$25,Personnel!$G$25="Yes"),Personnel!$D$25,0))*Escalation!$B$2</f>
        <v>-173541.666666667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8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8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8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8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8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8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8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8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8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8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8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8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8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8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8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8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8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8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8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8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8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8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8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8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8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8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8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8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8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8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8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8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8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8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8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8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8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8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8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8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8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8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8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8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8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8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8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8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8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8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8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8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8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8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8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8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8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8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8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8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8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8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8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8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8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8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8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8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8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8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8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8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8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8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8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8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8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8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8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8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8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8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8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-Helpers!C4*Assumptions!$B$20</f>
        <v>-13661.0366666667</v>
      </c>
      <c r="D19" s="10" t="n">
        <f aca="false">-Helpers!D4*Assumptions!$B$20</f>
        <v>-16198.5366666667</v>
      </c>
      <c r="E19" s="10" t="n">
        <f aca="false">-Helpers!E4*Assumptions!$B$20</f>
        <v>-18298.5366666667</v>
      </c>
      <c r="F19" s="10" t="n">
        <f aca="false">-Helpers!F4*Assumptions!$B$20</f>
        <v>-18298.5366666667</v>
      </c>
      <c r="G19" s="10" t="n">
        <f aca="false">-Helpers!G4*Assumptions!$B$20</f>
        <v>-18298.5366666667</v>
      </c>
      <c r="H19" s="10" t="n">
        <f aca="false">-Helpers!H4*Assumptions!$B$20</f>
        <v>-18298.5366666667</v>
      </c>
      <c r="I19" s="10" t="n">
        <f aca="false">-Helpers!I4*Assumptions!$B$20</f>
        <v>-18298.5366666667</v>
      </c>
      <c r="J19" s="10" t="n">
        <f aca="false">-Helpers!J4*Assumptions!$B$20</f>
        <v>-18298.5366666667</v>
      </c>
      <c r="K19" s="10" t="n">
        <f aca="false">-Helpers!K4*Assumptions!$B$20</f>
        <v>-18298.5366666667</v>
      </c>
      <c r="L19" s="10" t="n">
        <f aca="false">-Helpers!L4*Assumptions!$B$20</f>
        <v>-18298.5366666667</v>
      </c>
      <c r="M19" s="10" t="n">
        <f aca="false">-Helpers!M4*Assumptions!$B$20</f>
        <v>-18298.5366666667</v>
      </c>
      <c r="N19" s="10" t="n">
        <f aca="false">-Helpers!N4*Assumptions!$B$20</f>
        <v>-18298.5366666667</v>
      </c>
      <c r="O19" s="10" t="n">
        <f aca="false">-Helpers!O4*Assumptions!$B$20</f>
        <v>-18664.5074</v>
      </c>
      <c r="P19" s="10" t="n">
        <f aca="false">-Helpers!P4*Assumptions!$B$20</f>
        <v>-18664.5074</v>
      </c>
      <c r="Q19" s="10" t="n">
        <f aca="false">-Helpers!Q4*Assumptions!$B$20</f>
        <v>-18664.5074</v>
      </c>
      <c r="R19" s="10" t="n">
        <f aca="false">-Helpers!R4*Assumptions!$B$20</f>
        <v>-18664.5074</v>
      </c>
      <c r="S19" s="10" t="n">
        <f aca="false">-Helpers!S4*Assumptions!$B$20</f>
        <v>-18664.5074</v>
      </c>
      <c r="T19" s="10" t="n">
        <f aca="false">-Helpers!T4*Assumptions!$B$20</f>
        <v>-18664.5074</v>
      </c>
      <c r="U19" s="10" t="n">
        <f aca="false">-Helpers!U4*Assumptions!$B$20</f>
        <v>-18664.5074</v>
      </c>
      <c r="V19" s="10" t="n">
        <f aca="false">-Helpers!V4*Assumptions!$B$20</f>
        <v>-18664.5074</v>
      </c>
      <c r="W19" s="10" t="n">
        <f aca="false">-Helpers!W4*Assumptions!$B$20</f>
        <v>-18664.5074</v>
      </c>
      <c r="X19" s="10" t="n">
        <f aca="false">-Helpers!X4*Assumptions!$B$20</f>
        <v>-18664.5074</v>
      </c>
      <c r="Y19" s="10" t="n">
        <f aca="false">-Helpers!Y4*Assumptions!$B$20</f>
        <v>-18664.5074</v>
      </c>
      <c r="Z19" s="10" t="n">
        <f aca="false">-Helpers!Z4*Assumptions!$B$20</f>
        <v>-18664.5074</v>
      </c>
      <c r="AA19" s="10" t="n">
        <f aca="false">-Helpers!AA4*Assumptions!$B$20</f>
        <v>-19037.797548</v>
      </c>
      <c r="AB19" s="10" t="n">
        <f aca="false">-Helpers!AB4*Assumptions!$B$20</f>
        <v>-19037.797548</v>
      </c>
      <c r="AC19" s="10" t="n">
        <f aca="false">-Helpers!AC4*Assumptions!$B$20</f>
        <v>-19037.797548</v>
      </c>
      <c r="AD19" s="10" t="n">
        <f aca="false">-Helpers!AD4*Assumptions!$B$20</f>
        <v>-19037.797548</v>
      </c>
      <c r="AE19" s="10" t="n">
        <f aca="false">-Helpers!AE4*Assumptions!$B$20</f>
        <v>-19037.797548</v>
      </c>
      <c r="AF19" s="10" t="n">
        <f aca="false">-Helpers!AF4*Assumptions!$B$20</f>
        <v>-19037.797548</v>
      </c>
      <c r="AG19" s="10" t="n">
        <f aca="false">-Helpers!AG4*Assumptions!$B$20</f>
        <v>-19037.797548</v>
      </c>
      <c r="AH19" s="10" t="n">
        <f aca="false">-Helpers!AH4*Assumptions!$B$20</f>
        <v>-19037.797548</v>
      </c>
      <c r="AI19" s="10" t="n">
        <f aca="false">-Helpers!AI4*Assumptions!$B$20</f>
        <v>-19037.797548</v>
      </c>
      <c r="AJ19" s="10" t="n">
        <f aca="false">-Helpers!AJ4*Assumptions!$B$20</f>
        <v>-19037.797548</v>
      </c>
      <c r="AK19" s="10" t="n">
        <f aca="false">-Helpers!AK4*Assumptions!$B$20</f>
        <v>-19037.797548</v>
      </c>
      <c r="AL19" s="10" t="n">
        <f aca="false">-Helpers!AL4*Assumptions!$B$20</f>
        <v>-19037.797548</v>
      </c>
      <c r="AM19" s="10" t="n">
        <f aca="false">-Helpers!AM4*Assumptions!$B$20</f>
        <v>-19418.55349896</v>
      </c>
      <c r="AN19" s="10" t="n">
        <f aca="false">-Helpers!AN4*Assumptions!$B$20</f>
        <v>-19418.55349896</v>
      </c>
      <c r="AO19" s="10" t="n">
        <f aca="false">-Helpers!AO4*Assumptions!$B$20</f>
        <v>-19418.55349896</v>
      </c>
      <c r="AP19" s="10" t="n">
        <f aca="false">-Helpers!AP4*Assumptions!$B$20</f>
        <v>-19418.55349896</v>
      </c>
      <c r="AQ19" s="10" t="n">
        <f aca="false">-Helpers!AQ4*Assumptions!$B$20</f>
        <v>-19418.55349896</v>
      </c>
      <c r="AR19" s="10" t="n">
        <f aca="false">-Helpers!AR4*Assumptions!$B$20</f>
        <v>-19418.55349896</v>
      </c>
      <c r="AS19" s="10" t="n">
        <f aca="false">-Helpers!AS4*Assumptions!$B$20</f>
        <v>-19418.55349896</v>
      </c>
      <c r="AT19" s="10" t="n">
        <f aca="false">-Helpers!AT4*Assumptions!$B$20</f>
        <v>-19418.55349896</v>
      </c>
      <c r="AU19" s="10" t="n">
        <f aca="false">-Helpers!AU4*Assumptions!$B$20</f>
        <v>-19418.55349896</v>
      </c>
      <c r="AV19" s="10" t="n">
        <f aca="false">-Helpers!AV4*Assumptions!$B$20</f>
        <v>-19418.55349896</v>
      </c>
      <c r="AW19" s="10" t="n">
        <f aca="false">-Helpers!AW4*Assumptions!$B$20</f>
        <v>-19418.55349896</v>
      </c>
      <c r="AX19" s="10" t="n">
        <f aca="false">-Helpers!AX4*Assumptions!$B$20</f>
        <v>-19418.55349896</v>
      </c>
      <c r="AY19" s="10" t="n">
        <f aca="false">-Helpers!AY4*Assumptions!$B$20</f>
        <v>-19806.9245689392</v>
      </c>
      <c r="AZ19" s="10" t="n">
        <f aca="false">-Helpers!AZ4*Assumptions!$B$20</f>
        <v>-19806.9245689392</v>
      </c>
      <c r="BA19" s="10" t="n">
        <f aca="false">-Helpers!BA4*Assumptions!$B$20</f>
        <v>-19806.9245689392</v>
      </c>
      <c r="BB19" s="10" t="n">
        <f aca="false">-Helpers!BB4*Assumptions!$B$20</f>
        <v>-19806.9245689392</v>
      </c>
      <c r="BC19" s="10" t="n">
        <f aca="false">-Helpers!BC4*Assumptions!$B$20</f>
        <v>-19806.9245689392</v>
      </c>
      <c r="BD19" s="10" t="n">
        <f aca="false">-Helpers!BD4*Assumptions!$B$20</f>
        <v>-19806.9245689392</v>
      </c>
      <c r="BE19" s="10" t="n">
        <f aca="false">-Helpers!BE4*Assumptions!$B$20</f>
        <v>-19806.9245689392</v>
      </c>
      <c r="BF19" s="10" t="n">
        <f aca="false">-Helpers!BF4*Assumptions!$B$20</f>
        <v>-19806.9245689392</v>
      </c>
      <c r="BG19" s="10" t="n">
        <f aca="false">-Helpers!BG4*Assumptions!$B$20</f>
        <v>-19806.9245689392</v>
      </c>
      <c r="BH19" s="10" t="n">
        <f aca="false">-Helpers!BH4*Assumptions!$B$20</f>
        <v>-19806.9245689392</v>
      </c>
      <c r="BI19" s="10" t="n">
        <f aca="false">-Helpers!BI4*Assumptions!$B$20</f>
        <v>-19806.9245689392</v>
      </c>
      <c r="BJ19" s="10" t="n">
        <f aca="false">-Helpers!BJ4*Assumptions!$B$20</f>
        <v>-19806.9245689392</v>
      </c>
      <c r="BK19" s="10" t="n">
        <f aca="false">-Helpers!BK4*Assumptions!$B$20</f>
        <v>-20203.063060318</v>
      </c>
      <c r="BL19" s="10" t="n">
        <f aca="false">-Helpers!BL4*Assumptions!$B$20</f>
        <v>-20203.063060318</v>
      </c>
      <c r="BM19" s="10" t="n">
        <f aca="false">-Helpers!BM4*Assumptions!$B$20</f>
        <v>-20203.063060318</v>
      </c>
      <c r="BN19" s="10" t="n">
        <f aca="false">-Helpers!BN4*Assumptions!$B$20</f>
        <v>-20203.063060318</v>
      </c>
      <c r="BO19" s="10" t="n">
        <f aca="false">-Helpers!BO4*Assumptions!$B$20</f>
        <v>-20203.063060318</v>
      </c>
      <c r="BP19" s="10" t="n">
        <f aca="false">-Helpers!BP4*Assumptions!$B$20</f>
        <v>-20203.063060318</v>
      </c>
      <c r="BQ19" s="10" t="n">
        <f aca="false">-Helpers!BQ4*Assumptions!$B$20</f>
        <v>-20203.063060318</v>
      </c>
      <c r="BR19" s="10" t="n">
        <f aca="false">-Helpers!BR4*Assumptions!$B$20</f>
        <v>-20203.063060318</v>
      </c>
      <c r="BS19" s="10" t="n">
        <f aca="false">-Helpers!BS4*Assumptions!$B$20</f>
        <v>-20203.063060318</v>
      </c>
      <c r="BT19" s="10" t="n">
        <f aca="false">-Helpers!BT4*Assumptions!$B$20</f>
        <v>-20203.063060318</v>
      </c>
      <c r="BU19" s="10" t="n">
        <f aca="false">-Helpers!BU4*Assumptions!$B$20</f>
        <v>-20203.063060318</v>
      </c>
      <c r="BV19" s="10" t="n">
        <f aca="false">-Helpers!BV4*Assumptions!$B$20</f>
        <v>-20203.063060318</v>
      </c>
      <c r="BW19" s="10" t="n">
        <f aca="false">-Helpers!BW4*Assumptions!$B$20</f>
        <v>-20607.1243215244</v>
      </c>
      <c r="BX19" s="10" t="n">
        <f aca="false">-Helpers!BX4*Assumptions!$B$20</f>
        <v>-20607.1243215244</v>
      </c>
      <c r="BY19" s="10" t="n">
        <f aca="false">-Helpers!BY4*Assumptions!$B$20</f>
        <v>-20607.1243215244</v>
      </c>
      <c r="BZ19" s="10" t="n">
        <f aca="false">-Helpers!BZ4*Assumptions!$B$20</f>
        <v>-20607.1243215244</v>
      </c>
      <c r="CA19" s="10" t="n">
        <f aca="false">-Helpers!CA4*Assumptions!$B$20</f>
        <v>-20607.1243215244</v>
      </c>
      <c r="CB19" s="10" t="n">
        <f aca="false">-Helpers!CB4*Assumptions!$B$20</f>
        <v>-20607.1243215244</v>
      </c>
      <c r="CC19" s="10" t="n">
        <f aca="false">-Helpers!CC4*Assumptions!$B$20</f>
        <v>-20607.1243215244</v>
      </c>
      <c r="CD19" s="10" t="n">
        <f aca="false">-Helpers!CD4*Assumptions!$B$20</f>
        <v>-20607.1243215244</v>
      </c>
      <c r="CE19" s="10" t="n">
        <f aca="false">-Helpers!CE4*Assumptions!$B$20</f>
        <v>-20607.1243215244</v>
      </c>
      <c r="CF19" s="10" t="n">
        <f aca="false">-Helpers!CF4*Assumptions!$B$20</f>
        <v>-20607.1243215244</v>
      </c>
      <c r="CG19" s="10" t="n">
        <f aca="false">-Helpers!CG4*Assumptions!$B$20</f>
        <v>-20607.1243215244</v>
      </c>
      <c r="CH19" s="10" t="n">
        <f aca="false">-Helpers!CH4*Assumptions!$B$20</f>
        <v>-20607.1243215244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-Helpers!C4*Assumptions!$B$21</f>
        <v>-975.788333333333</v>
      </c>
      <c r="D20" s="10" t="n">
        <f aca="false">-Helpers!D4*Assumptions!$B$21</f>
        <v>-1157.03833333333</v>
      </c>
      <c r="E20" s="10" t="n">
        <f aca="false">-Helpers!E4*Assumptions!$B$21</f>
        <v>-1307.03833333333</v>
      </c>
      <c r="F20" s="10" t="n">
        <f aca="false">-Helpers!F4*Assumptions!$B$21</f>
        <v>-1307.03833333333</v>
      </c>
      <c r="G20" s="10" t="n">
        <f aca="false">-Helpers!G4*Assumptions!$B$21</f>
        <v>-1307.03833333333</v>
      </c>
      <c r="H20" s="10" t="n">
        <f aca="false">-Helpers!H4*Assumptions!$B$21</f>
        <v>-1307.03833333333</v>
      </c>
      <c r="I20" s="10" t="n">
        <f aca="false">-Helpers!I4*Assumptions!$B$21</f>
        <v>-1307.03833333333</v>
      </c>
      <c r="J20" s="10" t="n">
        <f aca="false">-Helpers!J4*Assumptions!$B$21</f>
        <v>-1307.03833333333</v>
      </c>
      <c r="K20" s="10" t="n">
        <f aca="false">-Helpers!K4*Assumptions!$B$21</f>
        <v>-1307.03833333333</v>
      </c>
      <c r="L20" s="10" t="n">
        <f aca="false">-Helpers!L4*Assumptions!$B$21</f>
        <v>-1307.03833333333</v>
      </c>
      <c r="M20" s="10" t="n">
        <f aca="false">-Helpers!M4*Assumptions!$B$21</f>
        <v>-1307.03833333333</v>
      </c>
      <c r="N20" s="10" t="n">
        <f aca="false">-Helpers!N4*Assumptions!$B$21</f>
        <v>-1307.03833333333</v>
      </c>
      <c r="O20" s="10" t="n">
        <f aca="false">-Helpers!O4*Assumptions!$B$21</f>
        <v>-1333.1791</v>
      </c>
      <c r="P20" s="10" t="n">
        <f aca="false">-Helpers!P4*Assumptions!$B$21</f>
        <v>-1333.1791</v>
      </c>
      <c r="Q20" s="10" t="n">
        <f aca="false">-Helpers!Q4*Assumptions!$B$21</f>
        <v>-1333.1791</v>
      </c>
      <c r="R20" s="10" t="n">
        <f aca="false">-Helpers!R4*Assumptions!$B$21</f>
        <v>-1333.1791</v>
      </c>
      <c r="S20" s="10" t="n">
        <f aca="false">-Helpers!S4*Assumptions!$B$21</f>
        <v>-1333.1791</v>
      </c>
      <c r="T20" s="10" t="n">
        <f aca="false">-Helpers!T4*Assumptions!$B$21</f>
        <v>-1333.1791</v>
      </c>
      <c r="U20" s="10" t="n">
        <f aca="false">-Helpers!U4*Assumptions!$B$21</f>
        <v>-1333.1791</v>
      </c>
      <c r="V20" s="10" t="n">
        <f aca="false">-Helpers!V4*Assumptions!$B$21</f>
        <v>-1333.1791</v>
      </c>
      <c r="W20" s="10" t="n">
        <f aca="false">-Helpers!W4*Assumptions!$B$21</f>
        <v>-1333.1791</v>
      </c>
      <c r="X20" s="10" t="n">
        <f aca="false">-Helpers!X4*Assumptions!$B$21</f>
        <v>-1333.1791</v>
      </c>
      <c r="Y20" s="10" t="n">
        <f aca="false">-Helpers!Y4*Assumptions!$B$21</f>
        <v>-1333.1791</v>
      </c>
      <c r="Z20" s="10" t="n">
        <f aca="false">-Helpers!Z4*Assumptions!$B$21</f>
        <v>-1333.1791</v>
      </c>
      <c r="AA20" s="10" t="n">
        <f aca="false">-Helpers!AA4*Assumptions!$B$21</f>
        <v>-1359.842682</v>
      </c>
      <c r="AB20" s="10" t="n">
        <f aca="false">-Helpers!AB4*Assumptions!$B$21</f>
        <v>-1359.842682</v>
      </c>
      <c r="AC20" s="10" t="n">
        <f aca="false">-Helpers!AC4*Assumptions!$B$21</f>
        <v>-1359.842682</v>
      </c>
      <c r="AD20" s="10" t="n">
        <f aca="false">-Helpers!AD4*Assumptions!$B$21</f>
        <v>-1359.842682</v>
      </c>
      <c r="AE20" s="10" t="n">
        <f aca="false">-Helpers!AE4*Assumptions!$B$21</f>
        <v>-1359.842682</v>
      </c>
      <c r="AF20" s="10" t="n">
        <f aca="false">-Helpers!AF4*Assumptions!$B$21</f>
        <v>-1359.842682</v>
      </c>
      <c r="AG20" s="10" t="n">
        <f aca="false">-Helpers!AG4*Assumptions!$B$21</f>
        <v>-1359.842682</v>
      </c>
      <c r="AH20" s="10" t="n">
        <f aca="false">-Helpers!AH4*Assumptions!$B$21</f>
        <v>-1359.842682</v>
      </c>
      <c r="AI20" s="10" t="n">
        <f aca="false">-Helpers!AI4*Assumptions!$B$21</f>
        <v>-1359.842682</v>
      </c>
      <c r="AJ20" s="10" t="n">
        <f aca="false">-Helpers!AJ4*Assumptions!$B$21</f>
        <v>-1359.842682</v>
      </c>
      <c r="AK20" s="10" t="n">
        <f aca="false">-Helpers!AK4*Assumptions!$B$21</f>
        <v>-1359.842682</v>
      </c>
      <c r="AL20" s="10" t="n">
        <f aca="false">-Helpers!AL4*Assumptions!$B$21</f>
        <v>-1359.842682</v>
      </c>
      <c r="AM20" s="10" t="n">
        <f aca="false">-Helpers!AM4*Assumptions!$B$21</f>
        <v>-1387.03953564</v>
      </c>
      <c r="AN20" s="10" t="n">
        <f aca="false">-Helpers!AN4*Assumptions!$B$21</f>
        <v>-1387.03953564</v>
      </c>
      <c r="AO20" s="10" t="n">
        <f aca="false">-Helpers!AO4*Assumptions!$B$21</f>
        <v>-1387.03953564</v>
      </c>
      <c r="AP20" s="10" t="n">
        <f aca="false">-Helpers!AP4*Assumptions!$B$21</f>
        <v>-1387.03953564</v>
      </c>
      <c r="AQ20" s="10" t="n">
        <f aca="false">-Helpers!AQ4*Assumptions!$B$21</f>
        <v>-1387.03953564</v>
      </c>
      <c r="AR20" s="10" t="n">
        <f aca="false">-Helpers!AR4*Assumptions!$B$21</f>
        <v>-1387.03953564</v>
      </c>
      <c r="AS20" s="10" t="n">
        <f aca="false">-Helpers!AS4*Assumptions!$B$21</f>
        <v>-1387.03953564</v>
      </c>
      <c r="AT20" s="10" t="n">
        <f aca="false">-Helpers!AT4*Assumptions!$B$21</f>
        <v>-1387.03953564</v>
      </c>
      <c r="AU20" s="10" t="n">
        <f aca="false">-Helpers!AU4*Assumptions!$B$21</f>
        <v>-1387.03953564</v>
      </c>
      <c r="AV20" s="10" t="n">
        <f aca="false">-Helpers!AV4*Assumptions!$B$21</f>
        <v>-1387.03953564</v>
      </c>
      <c r="AW20" s="10" t="n">
        <f aca="false">-Helpers!AW4*Assumptions!$B$21</f>
        <v>-1387.03953564</v>
      </c>
      <c r="AX20" s="10" t="n">
        <f aca="false">-Helpers!AX4*Assumptions!$B$21</f>
        <v>-1387.03953564</v>
      </c>
      <c r="AY20" s="10" t="n">
        <f aca="false">-Helpers!AY4*Assumptions!$B$21</f>
        <v>-1414.7803263528</v>
      </c>
      <c r="AZ20" s="10" t="n">
        <f aca="false">-Helpers!AZ4*Assumptions!$B$21</f>
        <v>-1414.7803263528</v>
      </c>
      <c r="BA20" s="10" t="n">
        <f aca="false">-Helpers!BA4*Assumptions!$B$21</f>
        <v>-1414.7803263528</v>
      </c>
      <c r="BB20" s="10" t="n">
        <f aca="false">-Helpers!BB4*Assumptions!$B$21</f>
        <v>-1414.7803263528</v>
      </c>
      <c r="BC20" s="10" t="n">
        <f aca="false">-Helpers!BC4*Assumptions!$B$21</f>
        <v>-1414.7803263528</v>
      </c>
      <c r="BD20" s="10" t="n">
        <f aca="false">-Helpers!BD4*Assumptions!$B$21</f>
        <v>-1414.7803263528</v>
      </c>
      <c r="BE20" s="10" t="n">
        <f aca="false">-Helpers!BE4*Assumptions!$B$21</f>
        <v>-1414.7803263528</v>
      </c>
      <c r="BF20" s="10" t="n">
        <f aca="false">-Helpers!BF4*Assumptions!$B$21</f>
        <v>-1414.7803263528</v>
      </c>
      <c r="BG20" s="10" t="n">
        <f aca="false">-Helpers!BG4*Assumptions!$B$21</f>
        <v>-1414.7803263528</v>
      </c>
      <c r="BH20" s="10" t="n">
        <f aca="false">-Helpers!BH4*Assumptions!$B$21</f>
        <v>-1414.7803263528</v>
      </c>
      <c r="BI20" s="10" t="n">
        <f aca="false">-Helpers!BI4*Assumptions!$B$21</f>
        <v>-1414.7803263528</v>
      </c>
      <c r="BJ20" s="10" t="n">
        <f aca="false">-Helpers!BJ4*Assumptions!$B$21</f>
        <v>-1414.7803263528</v>
      </c>
      <c r="BK20" s="10" t="n">
        <f aca="false">-Helpers!BK4*Assumptions!$B$21</f>
        <v>-1443.07593287986</v>
      </c>
      <c r="BL20" s="10" t="n">
        <f aca="false">-Helpers!BL4*Assumptions!$B$21</f>
        <v>-1443.07593287986</v>
      </c>
      <c r="BM20" s="10" t="n">
        <f aca="false">-Helpers!BM4*Assumptions!$B$21</f>
        <v>-1443.07593287986</v>
      </c>
      <c r="BN20" s="10" t="n">
        <f aca="false">-Helpers!BN4*Assumptions!$B$21</f>
        <v>-1443.07593287986</v>
      </c>
      <c r="BO20" s="10" t="n">
        <f aca="false">-Helpers!BO4*Assumptions!$B$21</f>
        <v>-1443.07593287986</v>
      </c>
      <c r="BP20" s="10" t="n">
        <f aca="false">-Helpers!BP4*Assumptions!$B$21</f>
        <v>-1443.07593287986</v>
      </c>
      <c r="BQ20" s="10" t="n">
        <f aca="false">-Helpers!BQ4*Assumptions!$B$21</f>
        <v>-1443.07593287986</v>
      </c>
      <c r="BR20" s="10" t="n">
        <f aca="false">-Helpers!BR4*Assumptions!$B$21</f>
        <v>-1443.07593287986</v>
      </c>
      <c r="BS20" s="10" t="n">
        <f aca="false">-Helpers!BS4*Assumptions!$B$21</f>
        <v>-1443.07593287986</v>
      </c>
      <c r="BT20" s="10" t="n">
        <f aca="false">-Helpers!BT4*Assumptions!$B$21</f>
        <v>-1443.07593287986</v>
      </c>
      <c r="BU20" s="10" t="n">
        <f aca="false">-Helpers!BU4*Assumptions!$B$21</f>
        <v>-1443.07593287986</v>
      </c>
      <c r="BV20" s="10" t="n">
        <f aca="false">-Helpers!BV4*Assumptions!$B$21</f>
        <v>-1443.07593287986</v>
      </c>
      <c r="BW20" s="10" t="n">
        <f aca="false">-Helpers!BW4*Assumptions!$B$21</f>
        <v>-1471.93745153745</v>
      </c>
      <c r="BX20" s="10" t="n">
        <f aca="false">-Helpers!BX4*Assumptions!$B$21</f>
        <v>-1471.93745153745</v>
      </c>
      <c r="BY20" s="10" t="n">
        <f aca="false">-Helpers!BY4*Assumptions!$B$21</f>
        <v>-1471.93745153745</v>
      </c>
      <c r="BZ20" s="10" t="n">
        <f aca="false">-Helpers!BZ4*Assumptions!$B$21</f>
        <v>-1471.93745153745</v>
      </c>
      <c r="CA20" s="10" t="n">
        <f aca="false">-Helpers!CA4*Assumptions!$B$21</f>
        <v>-1471.93745153745</v>
      </c>
      <c r="CB20" s="10" t="n">
        <f aca="false">-Helpers!CB4*Assumptions!$B$21</f>
        <v>-1471.93745153745</v>
      </c>
      <c r="CC20" s="10" t="n">
        <f aca="false">-Helpers!CC4*Assumptions!$B$21</f>
        <v>-1471.93745153745</v>
      </c>
      <c r="CD20" s="10" t="n">
        <f aca="false">-Helpers!CD4*Assumptions!$B$21</f>
        <v>-1471.93745153745</v>
      </c>
      <c r="CE20" s="10" t="n">
        <f aca="false">-Helpers!CE4*Assumptions!$B$21</f>
        <v>-1471.93745153745</v>
      </c>
      <c r="CF20" s="10" t="n">
        <f aca="false">-Helpers!CF4*Assumptions!$B$21</f>
        <v>-1471.93745153745</v>
      </c>
      <c r="CG20" s="10" t="n">
        <f aca="false">-Helpers!CG4*Assumptions!$B$21</f>
        <v>-1471.93745153745</v>
      </c>
      <c r="CH20" s="10" t="n">
        <f aca="false">-Helpers!CH4*Assumptions!$B$21</f>
        <v>-1471.93745153745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-Helpers!C4*Assumptions!$B$22</f>
        <v>-13661.0366666667</v>
      </c>
      <c r="D21" s="10" t="n">
        <f aca="false">-Helpers!D4*Assumptions!$B$22</f>
        <v>-16198.5366666667</v>
      </c>
      <c r="E21" s="10" t="n">
        <f aca="false">-Helpers!E4*Assumptions!$B$22</f>
        <v>-18298.5366666667</v>
      </c>
      <c r="F21" s="10" t="n">
        <f aca="false">-Helpers!F4*Assumptions!$B$22</f>
        <v>-18298.5366666667</v>
      </c>
      <c r="G21" s="10" t="n">
        <f aca="false">-Helpers!G4*Assumptions!$B$22</f>
        <v>-18298.5366666667</v>
      </c>
      <c r="H21" s="10" t="n">
        <f aca="false">-Helpers!H4*Assumptions!$B$22</f>
        <v>-18298.5366666667</v>
      </c>
      <c r="I21" s="10" t="n">
        <f aca="false">-Helpers!I4*Assumptions!$B$22</f>
        <v>-18298.5366666667</v>
      </c>
      <c r="J21" s="10" t="n">
        <f aca="false">-Helpers!J4*Assumptions!$B$22</f>
        <v>-18298.5366666667</v>
      </c>
      <c r="K21" s="10" t="n">
        <f aca="false">-Helpers!K4*Assumptions!$B$22</f>
        <v>-18298.5366666667</v>
      </c>
      <c r="L21" s="10" t="n">
        <f aca="false">-Helpers!L4*Assumptions!$B$22</f>
        <v>-18298.5366666667</v>
      </c>
      <c r="M21" s="10" t="n">
        <f aca="false">-Helpers!M4*Assumptions!$B$22</f>
        <v>-18298.5366666667</v>
      </c>
      <c r="N21" s="10" t="n">
        <f aca="false">-Helpers!N4*Assumptions!$B$22</f>
        <v>-18298.5366666667</v>
      </c>
      <c r="O21" s="10" t="n">
        <f aca="false">-Helpers!O4*Assumptions!$B$22</f>
        <v>-18664.5074</v>
      </c>
      <c r="P21" s="10" t="n">
        <f aca="false">-Helpers!P4*Assumptions!$B$22</f>
        <v>-18664.5074</v>
      </c>
      <c r="Q21" s="10" t="n">
        <f aca="false">-Helpers!Q4*Assumptions!$B$22</f>
        <v>-18664.5074</v>
      </c>
      <c r="R21" s="10" t="n">
        <f aca="false">-Helpers!R4*Assumptions!$B$22</f>
        <v>-18664.5074</v>
      </c>
      <c r="S21" s="10" t="n">
        <f aca="false">-Helpers!S4*Assumptions!$B$22</f>
        <v>-18664.5074</v>
      </c>
      <c r="T21" s="10" t="n">
        <f aca="false">-Helpers!T4*Assumptions!$B$22</f>
        <v>-18664.5074</v>
      </c>
      <c r="U21" s="10" t="n">
        <f aca="false">-Helpers!U4*Assumptions!$B$22</f>
        <v>-18664.5074</v>
      </c>
      <c r="V21" s="10" t="n">
        <f aca="false">-Helpers!V4*Assumptions!$B$22</f>
        <v>-18664.5074</v>
      </c>
      <c r="W21" s="10" t="n">
        <f aca="false">-Helpers!W4*Assumptions!$B$22</f>
        <v>-18664.5074</v>
      </c>
      <c r="X21" s="10" t="n">
        <f aca="false">-Helpers!X4*Assumptions!$B$22</f>
        <v>-18664.5074</v>
      </c>
      <c r="Y21" s="10" t="n">
        <f aca="false">-Helpers!Y4*Assumptions!$B$22</f>
        <v>-18664.5074</v>
      </c>
      <c r="Z21" s="10" t="n">
        <f aca="false">-Helpers!Z4*Assumptions!$B$22</f>
        <v>-18664.5074</v>
      </c>
      <c r="AA21" s="10" t="n">
        <f aca="false">-Helpers!AA4*Assumptions!$B$22</f>
        <v>-19037.797548</v>
      </c>
      <c r="AB21" s="10" t="n">
        <f aca="false">-Helpers!AB4*Assumptions!$B$22</f>
        <v>-19037.797548</v>
      </c>
      <c r="AC21" s="10" t="n">
        <f aca="false">-Helpers!AC4*Assumptions!$B$22</f>
        <v>-19037.797548</v>
      </c>
      <c r="AD21" s="10" t="n">
        <f aca="false">-Helpers!AD4*Assumptions!$B$22</f>
        <v>-19037.797548</v>
      </c>
      <c r="AE21" s="10" t="n">
        <f aca="false">-Helpers!AE4*Assumptions!$B$22</f>
        <v>-19037.797548</v>
      </c>
      <c r="AF21" s="10" t="n">
        <f aca="false">-Helpers!AF4*Assumptions!$B$22</f>
        <v>-19037.797548</v>
      </c>
      <c r="AG21" s="10" t="n">
        <f aca="false">-Helpers!AG4*Assumptions!$B$22</f>
        <v>-19037.797548</v>
      </c>
      <c r="AH21" s="10" t="n">
        <f aca="false">-Helpers!AH4*Assumptions!$B$22</f>
        <v>-19037.797548</v>
      </c>
      <c r="AI21" s="10" t="n">
        <f aca="false">-Helpers!AI4*Assumptions!$B$22</f>
        <v>-19037.797548</v>
      </c>
      <c r="AJ21" s="10" t="n">
        <f aca="false">-Helpers!AJ4*Assumptions!$B$22</f>
        <v>-19037.797548</v>
      </c>
      <c r="AK21" s="10" t="n">
        <f aca="false">-Helpers!AK4*Assumptions!$B$22</f>
        <v>-19037.797548</v>
      </c>
      <c r="AL21" s="10" t="n">
        <f aca="false">-Helpers!AL4*Assumptions!$B$22</f>
        <v>-19037.797548</v>
      </c>
      <c r="AM21" s="10" t="n">
        <f aca="false">-Helpers!AM4*Assumptions!$B$22</f>
        <v>-19418.55349896</v>
      </c>
      <c r="AN21" s="10" t="n">
        <f aca="false">-Helpers!AN4*Assumptions!$B$22</f>
        <v>-19418.55349896</v>
      </c>
      <c r="AO21" s="10" t="n">
        <f aca="false">-Helpers!AO4*Assumptions!$B$22</f>
        <v>-19418.55349896</v>
      </c>
      <c r="AP21" s="10" t="n">
        <f aca="false">-Helpers!AP4*Assumptions!$B$22</f>
        <v>-19418.55349896</v>
      </c>
      <c r="AQ21" s="10" t="n">
        <f aca="false">-Helpers!AQ4*Assumptions!$B$22</f>
        <v>-19418.55349896</v>
      </c>
      <c r="AR21" s="10" t="n">
        <f aca="false">-Helpers!AR4*Assumptions!$B$22</f>
        <v>-19418.55349896</v>
      </c>
      <c r="AS21" s="10" t="n">
        <f aca="false">-Helpers!AS4*Assumptions!$B$22</f>
        <v>-19418.55349896</v>
      </c>
      <c r="AT21" s="10" t="n">
        <f aca="false">-Helpers!AT4*Assumptions!$B$22</f>
        <v>-19418.55349896</v>
      </c>
      <c r="AU21" s="10" t="n">
        <f aca="false">-Helpers!AU4*Assumptions!$B$22</f>
        <v>-19418.55349896</v>
      </c>
      <c r="AV21" s="10" t="n">
        <f aca="false">-Helpers!AV4*Assumptions!$B$22</f>
        <v>-19418.55349896</v>
      </c>
      <c r="AW21" s="10" t="n">
        <f aca="false">-Helpers!AW4*Assumptions!$B$22</f>
        <v>-19418.55349896</v>
      </c>
      <c r="AX21" s="10" t="n">
        <f aca="false">-Helpers!AX4*Assumptions!$B$22</f>
        <v>-19418.55349896</v>
      </c>
      <c r="AY21" s="10" t="n">
        <f aca="false">-Helpers!AY4*Assumptions!$B$22</f>
        <v>-19806.9245689392</v>
      </c>
      <c r="AZ21" s="10" t="n">
        <f aca="false">-Helpers!AZ4*Assumptions!$B$22</f>
        <v>-19806.9245689392</v>
      </c>
      <c r="BA21" s="10" t="n">
        <f aca="false">-Helpers!BA4*Assumptions!$B$22</f>
        <v>-19806.9245689392</v>
      </c>
      <c r="BB21" s="10" t="n">
        <f aca="false">-Helpers!BB4*Assumptions!$B$22</f>
        <v>-19806.9245689392</v>
      </c>
      <c r="BC21" s="10" t="n">
        <f aca="false">-Helpers!BC4*Assumptions!$B$22</f>
        <v>-19806.9245689392</v>
      </c>
      <c r="BD21" s="10" t="n">
        <f aca="false">-Helpers!BD4*Assumptions!$B$22</f>
        <v>-19806.9245689392</v>
      </c>
      <c r="BE21" s="10" t="n">
        <f aca="false">-Helpers!BE4*Assumptions!$B$22</f>
        <v>-19806.9245689392</v>
      </c>
      <c r="BF21" s="10" t="n">
        <f aca="false">-Helpers!BF4*Assumptions!$B$22</f>
        <v>-19806.9245689392</v>
      </c>
      <c r="BG21" s="10" t="n">
        <f aca="false">-Helpers!BG4*Assumptions!$B$22</f>
        <v>-19806.9245689392</v>
      </c>
      <c r="BH21" s="10" t="n">
        <f aca="false">-Helpers!BH4*Assumptions!$B$22</f>
        <v>-19806.9245689392</v>
      </c>
      <c r="BI21" s="10" t="n">
        <f aca="false">-Helpers!BI4*Assumptions!$B$22</f>
        <v>-19806.9245689392</v>
      </c>
      <c r="BJ21" s="10" t="n">
        <f aca="false">-Helpers!BJ4*Assumptions!$B$22</f>
        <v>-19806.9245689392</v>
      </c>
      <c r="BK21" s="10" t="n">
        <f aca="false">-Helpers!BK4*Assumptions!$B$22</f>
        <v>-20203.063060318</v>
      </c>
      <c r="BL21" s="10" t="n">
        <f aca="false">-Helpers!BL4*Assumptions!$B$22</f>
        <v>-20203.063060318</v>
      </c>
      <c r="BM21" s="10" t="n">
        <f aca="false">-Helpers!BM4*Assumptions!$B$22</f>
        <v>-20203.063060318</v>
      </c>
      <c r="BN21" s="10" t="n">
        <f aca="false">-Helpers!BN4*Assumptions!$B$22</f>
        <v>-20203.063060318</v>
      </c>
      <c r="BO21" s="10" t="n">
        <f aca="false">-Helpers!BO4*Assumptions!$B$22</f>
        <v>-20203.063060318</v>
      </c>
      <c r="BP21" s="10" t="n">
        <f aca="false">-Helpers!BP4*Assumptions!$B$22</f>
        <v>-20203.063060318</v>
      </c>
      <c r="BQ21" s="10" t="n">
        <f aca="false">-Helpers!BQ4*Assumptions!$B$22</f>
        <v>-20203.063060318</v>
      </c>
      <c r="BR21" s="10" t="n">
        <f aca="false">-Helpers!BR4*Assumptions!$B$22</f>
        <v>-20203.063060318</v>
      </c>
      <c r="BS21" s="10" t="n">
        <f aca="false">-Helpers!BS4*Assumptions!$B$22</f>
        <v>-20203.063060318</v>
      </c>
      <c r="BT21" s="10" t="n">
        <f aca="false">-Helpers!BT4*Assumptions!$B$22</f>
        <v>-20203.063060318</v>
      </c>
      <c r="BU21" s="10" t="n">
        <f aca="false">-Helpers!BU4*Assumptions!$B$22</f>
        <v>-20203.063060318</v>
      </c>
      <c r="BV21" s="10" t="n">
        <f aca="false">-Helpers!BV4*Assumptions!$B$22</f>
        <v>-20203.063060318</v>
      </c>
      <c r="BW21" s="10" t="n">
        <f aca="false">-Helpers!BW4*Assumptions!$B$22</f>
        <v>-20607.1243215244</v>
      </c>
      <c r="BX21" s="10" t="n">
        <f aca="false">-Helpers!BX4*Assumptions!$B$22</f>
        <v>-20607.1243215244</v>
      </c>
      <c r="BY21" s="10" t="n">
        <f aca="false">-Helpers!BY4*Assumptions!$B$22</f>
        <v>-20607.1243215244</v>
      </c>
      <c r="BZ21" s="10" t="n">
        <f aca="false">-Helpers!BZ4*Assumptions!$B$22</f>
        <v>-20607.1243215244</v>
      </c>
      <c r="CA21" s="10" t="n">
        <f aca="false">-Helpers!CA4*Assumptions!$B$22</f>
        <v>-20607.1243215244</v>
      </c>
      <c r="CB21" s="10" t="n">
        <f aca="false">-Helpers!CB4*Assumptions!$B$22</f>
        <v>-20607.1243215244</v>
      </c>
      <c r="CC21" s="10" t="n">
        <f aca="false">-Helpers!CC4*Assumptions!$B$22</f>
        <v>-20607.1243215244</v>
      </c>
      <c r="CD21" s="10" t="n">
        <f aca="false">-Helpers!CD4*Assumptions!$B$22</f>
        <v>-20607.1243215244</v>
      </c>
      <c r="CE21" s="10" t="n">
        <f aca="false">-Helpers!CE4*Assumptions!$B$22</f>
        <v>-20607.1243215244</v>
      </c>
      <c r="CF21" s="10" t="n">
        <f aca="false">-Helpers!CF4*Assumptions!$B$22</f>
        <v>-20607.1243215244</v>
      </c>
      <c r="CG21" s="10" t="n">
        <f aca="false">-Helpers!CG4*Assumptions!$B$22</f>
        <v>-20607.1243215244</v>
      </c>
      <c r="CH21" s="10" t="n">
        <f aca="false">-Helpers!CH4*Assumptions!$B$22</f>
        <v>-20607.1243215244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-Helpers!C4*Assumptions!$B$23</f>
        <v>-3903.15333333333</v>
      </c>
      <c r="D22" s="10" t="n">
        <f aca="false">-Helpers!D4*Assumptions!$B$23</f>
        <v>-4628.15333333333</v>
      </c>
      <c r="E22" s="10" t="n">
        <f aca="false">-Helpers!E4*Assumptions!$B$23</f>
        <v>-5228.15333333333</v>
      </c>
      <c r="F22" s="10" t="n">
        <f aca="false">-Helpers!F4*Assumptions!$B$23</f>
        <v>-5228.15333333333</v>
      </c>
      <c r="G22" s="10" t="n">
        <f aca="false">-Helpers!G4*Assumptions!$B$23</f>
        <v>-5228.15333333333</v>
      </c>
      <c r="H22" s="10" t="n">
        <f aca="false">-Helpers!H4*Assumptions!$B$23</f>
        <v>-5228.15333333333</v>
      </c>
      <c r="I22" s="10" t="n">
        <f aca="false">-Helpers!I4*Assumptions!$B$23</f>
        <v>-5228.15333333333</v>
      </c>
      <c r="J22" s="10" t="n">
        <f aca="false">-Helpers!J4*Assumptions!$B$23</f>
        <v>-5228.15333333333</v>
      </c>
      <c r="K22" s="10" t="n">
        <f aca="false">-Helpers!K4*Assumptions!$B$23</f>
        <v>-5228.15333333333</v>
      </c>
      <c r="L22" s="10" t="n">
        <f aca="false">-Helpers!L4*Assumptions!$B$23</f>
        <v>-5228.15333333333</v>
      </c>
      <c r="M22" s="10" t="n">
        <f aca="false">-Helpers!M4*Assumptions!$B$23</f>
        <v>-5228.15333333333</v>
      </c>
      <c r="N22" s="10" t="n">
        <f aca="false">-Helpers!N4*Assumptions!$B$23</f>
        <v>-5228.15333333333</v>
      </c>
      <c r="O22" s="10" t="n">
        <f aca="false">-Helpers!O4*Assumptions!$B$23</f>
        <v>-5332.7164</v>
      </c>
      <c r="P22" s="10" t="n">
        <f aca="false">-Helpers!P4*Assumptions!$B$23</f>
        <v>-5332.7164</v>
      </c>
      <c r="Q22" s="10" t="n">
        <f aca="false">-Helpers!Q4*Assumptions!$B$23</f>
        <v>-5332.7164</v>
      </c>
      <c r="R22" s="10" t="n">
        <f aca="false">-Helpers!R4*Assumptions!$B$23</f>
        <v>-5332.7164</v>
      </c>
      <c r="S22" s="10" t="n">
        <f aca="false">-Helpers!S4*Assumptions!$B$23</f>
        <v>-5332.7164</v>
      </c>
      <c r="T22" s="10" t="n">
        <f aca="false">-Helpers!T4*Assumptions!$B$23</f>
        <v>-5332.7164</v>
      </c>
      <c r="U22" s="10" t="n">
        <f aca="false">-Helpers!U4*Assumptions!$B$23</f>
        <v>-5332.7164</v>
      </c>
      <c r="V22" s="10" t="n">
        <f aca="false">-Helpers!V4*Assumptions!$B$23</f>
        <v>-5332.7164</v>
      </c>
      <c r="W22" s="10" t="n">
        <f aca="false">-Helpers!W4*Assumptions!$B$23</f>
        <v>-5332.7164</v>
      </c>
      <c r="X22" s="10" t="n">
        <f aca="false">-Helpers!X4*Assumptions!$B$23</f>
        <v>-5332.7164</v>
      </c>
      <c r="Y22" s="10" t="n">
        <f aca="false">-Helpers!Y4*Assumptions!$B$23</f>
        <v>-5332.7164</v>
      </c>
      <c r="Z22" s="10" t="n">
        <f aca="false">-Helpers!Z4*Assumptions!$B$23</f>
        <v>-5332.7164</v>
      </c>
      <c r="AA22" s="10" t="n">
        <f aca="false">-Helpers!AA4*Assumptions!$B$23</f>
        <v>-5439.370728</v>
      </c>
      <c r="AB22" s="10" t="n">
        <f aca="false">-Helpers!AB4*Assumptions!$B$23</f>
        <v>-5439.370728</v>
      </c>
      <c r="AC22" s="10" t="n">
        <f aca="false">-Helpers!AC4*Assumptions!$B$23</f>
        <v>-5439.370728</v>
      </c>
      <c r="AD22" s="10" t="n">
        <f aca="false">-Helpers!AD4*Assumptions!$B$23</f>
        <v>-5439.370728</v>
      </c>
      <c r="AE22" s="10" t="n">
        <f aca="false">-Helpers!AE4*Assumptions!$B$23</f>
        <v>-5439.370728</v>
      </c>
      <c r="AF22" s="10" t="n">
        <f aca="false">-Helpers!AF4*Assumptions!$B$23</f>
        <v>-5439.370728</v>
      </c>
      <c r="AG22" s="10" t="n">
        <f aca="false">-Helpers!AG4*Assumptions!$B$23</f>
        <v>-5439.370728</v>
      </c>
      <c r="AH22" s="10" t="n">
        <f aca="false">-Helpers!AH4*Assumptions!$B$23</f>
        <v>-5439.370728</v>
      </c>
      <c r="AI22" s="10" t="n">
        <f aca="false">-Helpers!AI4*Assumptions!$B$23</f>
        <v>-5439.370728</v>
      </c>
      <c r="AJ22" s="10" t="n">
        <f aca="false">-Helpers!AJ4*Assumptions!$B$23</f>
        <v>-5439.370728</v>
      </c>
      <c r="AK22" s="10" t="n">
        <f aca="false">-Helpers!AK4*Assumptions!$B$23</f>
        <v>-5439.370728</v>
      </c>
      <c r="AL22" s="10" t="n">
        <f aca="false">-Helpers!AL4*Assumptions!$B$23</f>
        <v>-5439.370728</v>
      </c>
      <c r="AM22" s="10" t="n">
        <f aca="false">-Helpers!AM4*Assumptions!$B$23</f>
        <v>-5548.15814256</v>
      </c>
      <c r="AN22" s="10" t="n">
        <f aca="false">-Helpers!AN4*Assumptions!$B$23</f>
        <v>-5548.15814256</v>
      </c>
      <c r="AO22" s="10" t="n">
        <f aca="false">-Helpers!AO4*Assumptions!$B$23</f>
        <v>-5548.15814256</v>
      </c>
      <c r="AP22" s="10" t="n">
        <f aca="false">-Helpers!AP4*Assumptions!$B$23</f>
        <v>-5548.15814256</v>
      </c>
      <c r="AQ22" s="10" t="n">
        <f aca="false">-Helpers!AQ4*Assumptions!$B$23</f>
        <v>-5548.15814256</v>
      </c>
      <c r="AR22" s="10" t="n">
        <f aca="false">-Helpers!AR4*Assumptions!$B$23</f>
        <v>-5548.15814256</v>
      </c>
      <c r="AS22" s="10" t="n">
        <f aca="false">-Helpers!AS4*Assumptions!$B$23</f>
        <v>-5548.15814256</v>
      </c>
      <c r="AT22" s="10" t="n">
        <f aca="false">-Helpers!AT4*Assumptions!$B$23</f>
        <v>-5548.15814256</v>
      </c>
      <c r="AU22" s="10" t="n">
        <f aca="false">-Helpers!AU4*Assumptions!$B$23</f>
        <v>-5548.15814256</v>
      </c>
      <c r="AV22" s="10" t="n">
        <f aca="false">-Helpers!AV4*Assumptions!$B$23</f>
        <v>-5548.15814256</v>
      </c>
      <c r="AW22" s="10" t="n">
        <f aca="false">-Helpers!AW4*Assumptions!$B$23</f>
        <v>-5548.15814256</v>
      </c>
      <c r="AX22" s="10" t="n">
        <f aca="false">-Helpers!AX4*Assumptions!$B$23</f>
        <v>-5548.15814256</v>
      </c>
      <c r="AY22" s="10" t="n">
        <f aca="false">-Helpers!AY4*Assumptions!$B$23</f>
        <v>-5659.1213054112</v>
      </c>
      <c r="AZ22" s="10" t="n">
        <f aca="false">-Helpers!AZ4*Assumptions!$B$23</f>
        <v>-5659.1213054112</v>
      </c>
      <c r="BA22" s="10" t="n">
        <f aca="false">-Helpers!BA4*Assumptions!$B$23</f>
        <v>-5659.1213054112</v>
      </c>
      <c r="BB22" s="10" t="n">
        <f aca="false">-Helpers!BB4*Assumptions!$B$23</f>
        <v>-5659.1213054112</v>
      </c>
      <c r="BC22" s="10" t="n">
        <f aca="false">-Helpers!BC4*Assumptions!$B$23</f>
        <v>-5659.1213054112</v>
      </c>
      <c r="BD22" s="10" t="n">
        <f aca="false">-Helpers!BD4*Assumptions!$B$23</f>
        <v>-5659.1213054112</v>
      </c>
      <c r="BE22" s="10" t="n">
        <f aca="false">-Helpers!BE4*Assumptions!$B$23</f>
        <v>-5659.1213054112</v>
      </c>
      <c r="BF22" s="10" t="n">
        <f aca="false">-Helpers!BF4*Assumptions!$B$23</f>
        <v>-5659.1213054112</v>
      </c>
      <c r="BG22" s="10" t="n">
        <f aca="false">-Helpers!BG4*Assumptions!$B$23</f>
        <v>-5659.1213054112</v>
      </c>
      <c r="BH22" s="10" t="n">
        <f aca="false">-Helpers!BH4*Assumptions!$B$23</f>
        <v>-5659.1213054112</v>
      </c>
      <c r="BI22" s="10" t="n">
        <f aca="false">-Helpers!BI4*Assumptions!$B$23</f>
        <v>-5659.1213054112</v>
      </c>
      <c r="BJ22" s="10" t="n">
        <f aca="false">-Helpers!BJ4*Assumptions!$B$23</f>
        <v>-5659.1213054112</v>
      </c>
      <c r="BK22" s="10" t="n">
        <f aca="false">-Helpers!BK4*Assumptions!$B$23</f>
        <v>-5772.30373151943</v>
      </c>
      <c r="BL22" s="10" t="n">
        <f aca="false">-Helpers!BL4*Assumptions!$B$23</f>
        <v>-5772.30373151943</v>
      </c>
      <c r="BM22" s="10" t="n">
        <f aca="false">-Helpers!BM4*Assumptions!$B$23</f>
        <v>-5772.30373151943</v>
      </c>
      <c r="BN22" s="10" t="n">
        <f aca="false">-Helpers!BN4*Assumptions!$B$23</f>
        <v>-5772.30373151943</v>
      </c>
      <c r="BO22" s="10" t="n">
        <f aca="false">-Helpers!BO4*Assumptions!$B$23</f>
        <v>-5772.30373151943</v>
      </c>
      <c r="BP22" s="10" t="n">
        <f aca="false">-Helpers!BP4*Assumptions!$B$23</f>
        <v>-5772.30373151943</v>
      </c>
      <c r="BQ22" s="10" t="n">
        <f aca="false">-Helpers!BQ4*Assumptions!$B$23</f>
        <v>-5772.30373151943</v>
      </c>
      <c r="BR22" s="10" t="n">
        <f aca="false">-Helpers!BR4*Assumptions!$B$23</f>
        <v>-5772.30373151943</v>
      </c>
      <c r="BS22" s="10" t="n">
        <f aca="false">-Helpers!BS4*Assumptions!$B$23</f>
        <v>-5772.30373151943</v>
      </c>
      <c r="BT22" s="10" t="n">
        <f aca="false">-Helpers!BT4*Assumptions!$B$23</f>
        <v>-5772.30373151943</v>
      </c>
      <c r="BU22" s="10" t="n">
        <f aca="false">-Helpers!BU4*Assumptions!$B$23</f>
        <v>-5772.30373151943</v>
      </c>
      <c r="BV22" s="10" t="n">
        <f aca="false">-Helpers!BV4*Assumptions!$B$23</f>
        <v>-5772.30373151943</v>
      </c>
      <c r="BW22" s="10" t="n">
        <f aca="false">-Helpers!BW4*Assumptions!$B$23</f>
        <v>-5887.74980614981</v>
      </c>
      <c r="BX22" s="10" t="n">
        <f aca="false">-Helpers!BX4*Assumptions!$B$23</f>
        <v>-5887.74980614981</v>
      </c>
      <c r="BY22" s="10" t="n">
        <f aca="false">-Helpers!BY4*Assumptions!$B$23</f>
        <v>-5887.74980614981</v>
      </c>
      <c r="BZ22" s="10" t="n">
        <f aca="false">-Helpers!BZ4*Assumptions!$B$23</f>
        <v>-5887.74980614981</v>
      </c>
      <c r="CA22" s="10" t="n">
        <f aca="false">-Helpers!CA4*Assumptions!$B$23</f>
        <v>-5887.74980614981</v>
      </c>
      <c r="CB22" s="10" t="n">
        <f aca="false">-Helpers!CB4*Assumptions!$B$23</f>
        <v>-5887.74980614981</v>
      </c>
      <c r="CC22" s="10" t="n">
        <f aca="false">-Helpers!CC4*Assumptions!$B$23</f>
        <v>-5887.74980614981</v>
      </c>
      <c r="CD22" s="10" t="n">
        <f aca="false">-Helpers!CD4*Assumptions!$B$23</f>
        <v>-5887.74980614981</v>
      </c>
      <c r="CE22" s="10" t="n">
        <f aca="false">-Helpers!CE4*Assumptions!$B$23</f>
        <v>-5887.74980614981</v>
      </c>
      <c r="CF22" s="10" t="n">
        <f aca="false">-Helpers!CF4*Assumptions!$B$23</f>
        <v>-5887.74980614981</v>
      </c>
      <c r="CG22" s="10" t="n">
        <f aca="false">-Helpers!CG4*Assumptions!$B$23</f>
        <v>-5887.74980614981</v>
      </c>
      <c r="CH22" s="10" t="n">
        <f aca="false">-Helpers!CH4*Assumptions!$B$23</f>
        <v>-5887.74980614981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-10000*Escalation!$B$2</f>
        <v>-10000</v>
      </c>
      <c r="D23" s="10" t="n">
        <f aca="false">-10000*Escalation!$B$3</f>
        <v>-10000</v>
      </c>
      <c r="E23" s="10" t="n">
        <f aca="false">-10000*Escalation!$B$4</f>
        <v>-10000</v>
      </c>
      <c r="F23" s="10" t="n">
        <f aca="false">-10000*Escalation!$B$5</f>
        <v>-10000</v>
      </c>
      <c r="G23" s="10" t="n">
        <f aca="false">-10000*Escalation!$B$6</f>
        <v>-10000</v>
      </c>
      <c r="H23" s="10" t="n">
        <f aca="false">-10000*Escalation!$B$7</f>
        <v>-10000</v>
      </c>
      <c r="I23" s="10" t="n">
        <f aca="false">-10000*Escalation!$B$8</f>
        <v>-10000</v>
      </c>
      <c r="J23" s="10" t="n">
        <f aca="false">-10000*Escalation!$B$9</f>
        <v>-10000</v>
      </c>
      <c r="K23" s="10" t="n">
        <f aca="false">-10000*Escalation!$B$10</f>
        <v>-10000</v>
      </c>
      <c r="L23" s="10" t="n">
        <f aca="false">-10000*Escalation!$B$11</f>
        <v>-10000</v>
      </c>
      <c r="M23" s="10" t="n">
        <f aca="false">-10000*Escalation!$B$12</f>
        <v>-10000</v>
      </c>
      <c r="N23" s="10" t="n">
        <f aca="false">-10000*Escalation!$B$13</f>
        <v>-10000</v>
      </c>
      <c r="O23" s="10" t="n">
        <f aca="false">-10000*Escalation!$B$14</f>
        <v>-10200</v>
      </c>
      <c r="P23" s="10" t="n">
        <f aca="false">-10000*Escalation!$B$15</f>
        <v>-10200</v>
      </c>
      <c r="Q23" s="10" t="n">
        <f aca="false">-10000*Escalation!$B$16</f>
        <v>-10200</v>
      </c>
      <c r="R23" s="10" t="n">
        <f aca="false">-10000*Escalation!$B$17</f>
        <v>-10200</v>
      </c>
      <c r="S23" s="10" t="n">
        <f aca="false">-10000*Escalation!$B$18</f>
        <v>-10200</v>
      </c>
      <c r="T23" s="10" t="n">
        <f aca="false">-10000*Escalation!$B$19</f>
        <v>-10200</v>
      </c>
      <c r="U23" s="10" t="n">
        <f aca="false">-10000*Escalation!$B$20</f>
        <v>-10200</v>
      </c>
      <c r="V23" s="10" t="n">
        <f aca="false">-10000*Escalation!$B$21</f>
        <v>-10200</v>
      </c>
      <c r="W23" s="10" t="n">
        <f aca="false">-10000*Escalation!$B$22</f>
        <v>-10200</v>
      </c>
      <c r="X23" s="10" t="n">
        <f aca="false">-10000*Escalation!$B$23</f>
        <v>-10200</v>
      </c>
      <c r="Y23" s="10" t="n">
        <f aca="false">-10000*Escalation!$B$24</f>
        <v>-10200</v>
      </c>
      <c r="Z23" s="10" t="n">
        <f aca="false">-10000*Escalation!$B$25</f>
        <v>-10200</v>
      </c>
      <c r="AA23" s="10" t="n">
        <f aca="false">-10000*Escalation!$B$26</f>
        <v>-10404</v>
      </c>
      <c r="AB23" s="10" t="n">
        <f aca="false">-10000*Escalation!$B$27</f>
        <v>-10404</v>
      </c>
      <c r="AC23" s="10" t="n">
        <f aca="false">-10000*Escalation!$B$28</f>
        <v>-10404</v>
      </c>
      <c r="AD23" s="10" t="n">
        <f aca="false">-10000*Escalation!$B$29</f>
        <v>-10404</v>
      </c>
      <c r="AE23" s="10" t="n">
        <f aca="false">-10000*Escalation!$B$30</f>
        <v>-10404</v>
      </c>
      <c r="AF23" s="10" t="n">
        <f aca="false">-10000*Escalation!$B$31</f>
        <v>-10404</v>
      </c>
      <c r="AG23" s="10" t="n">
        <f aca="false">-10000*Escalation!$B$32</f>
        <v>-10404</v>
      </c>
      <c r="AH23" s="10" t="n">
        <f aca="false">-10000*Escalation!$B$33</f>
        <v>-10404</v>
      </c>
      <c r="AI23" s="10" t="n">
        <f aca="false">-10000*Escalation!$B$34</f>
        <v>-10404</v>
      </c>
      <c r="AJ23" s="10" t="n">
        <f aca="false">-10000*Escalation!$B$35</f>
        <v>-10404</v>
      </c>
      <c r="AK23" s="10" t="n">
        <f aca="false">-10000*Escalation!$B$36</f>
        <v>-10404</v>
      </c>
      <c r="AL23" s="10" t="n">
        <f aca="false">-10000*Escalation!$B$37</f>
        <v>-10404</v>
      </c>
      <c r="AM23" s="10" t="n">
        <f aca="false">-10000*Escalation!$B$38</f>
        <v>-10612.08</v>
      </c>
      <c r="AN23" s="10" t="n">
        <f aca="false">-10000*Escalation!$B$39</f>
        <v>-10612.08</v>
      </c>
      <c r="AO23" s="10" t="n">
        <f aca="false">-10000*Escalation!$B$40</f>
        <v>-10612.08</v>
      </c>
      <c r="AP23" s="10" t="n">
        <f aca="false">-10000*Escalation!$B$41</f>
        <v>-10612.08</v>
      </c>
      <c r="AQ23" s="10" t="n">
        <f aca="false">-10000*Escalation!$B$42</f>
        <v>-10612.08</v>
      </c>
      <c r="AR23" s="10" t="n">
        <f aca="false">-10000*Escalation!$B$43</f>
        <v>-10612.08</v>
      </c>
      <c r="AS23" s="10" t="n">
        <f aca="false">-10000*Escalation!$B$44</f>
        <v>-10612.08</v>
      </c>
      <c r="AT23" s="10" t="n">
        <f aca="false">-10000*Escalation!$B$45</f>
        <v>-10612.08</v>
      </c>
      <c r="AU23" s="10" t="n">
        <f aca="false">-10000*Escalation!$B$46</f>
        <v>-10612.08</v>
      </c>
      <c r="AV23" s="10" t="n">
        <f aca="false">-10000*Escalation!$B$47</f>
        <v>-10612.08</v>
      </c>
      <c r="AW23" s="10" t="n">
        <f aca="false">-10000*Escalation!$B$48</f>
        <v>-10612.08</v>
      </c>
      <c r="AX23" s="10" t="n">
        <f aca="false">-10000*Escalation!$B$49</f>
        <v>-10612.08</v>
      </c>
      <c r="AY23" s="10" t="n">
        <f aca="false">-10000*Escalation!$B$50</f>
        <v>-10824.3216</v>
      </c>
      <c r="AZ23" s="10" t="n">
        <f aca="false">-10000*Escalation!$B$51</f>
        <v>-10824.3216</v>
      </c>
      <c r="BA23" s="10" t="n">
        <f aca="false">-10000*Escalation!$B$52</f>
        <v>-10824.3216</v>
      </c>
      <c r="BB23" s="10" t="n">
        <f aca="false">-10000*Escalation!$B$53</f>
        <v>-10824.3216</v>
      </c>
      <c r="BC23" s="10" t="n">
        <f aca="false">-10000*Escalation!$B$54</f>
        <v>-10824.3216</v>
      </c>
      <c r="BD23" s="10" t="n">
        <f aca="false">-10000*Escalation!$B$55</f>
        <v>-10824.3216</v>
      </c>
      <c r="BE23" s="10" t="n">
        <f aca="false">-10000*Escalation!$B$56</f>
        <v>-10824.3216</v>
      </c>
      <c r="BF23" s="10" t="n">
        <f aca="false">-10000*Escalation!$B$57</f>
        <v>-10824.3216</v>
      </c>
      <c r="BG23" s="10" t="n">
        <f aca="false">-10000*Escalation!$B$58</f>
        <v>-10824.3216</v>
      </c>
      <c r="BH23" s="10" t="n">
        <f aca="false">-10000*Escalation!$B$59</f>
        <v>-10824.3216</v>
      </c>
      <c r="BI23" s="10" t="n">
        <f aca="false">-10000*Escalation!$B$60</f>
        <v>-10824.3216</v>
      </c>
      <c r="BJ23" s="10" t="n">
        <f aca="false">-10000*Escalation!$B$61</f>
        <v>-10824.3216</v>
      </c>
      <c r="BK23" s="10" t="n">
        <f aca="false">-10000*Escalation!$B$62</f>
        <v>-11040.808032</v>
      </c>
      <c r="BL23" s="10" t="n">
        <f aca="false">-10000*Escalation!$B$63</f>
        <v>-11040.808032</v>
      </c>
      <c r="BM23" s="10" t="n">
        <f aca="false">-10000*Escalation!$B$64</f>
        <v>-11040.808032</v>
      </c>
      <c r="BN23" s="10" t="n">
        <f aca="false">-10000*Escalation!$B$65</f>
        <v>-11040.808032</v>
      </c>
      <c r="BO23" s="10" t="n">
        <f aca="false">-10000*Escalation!$B$66</f>
        <v>-11040.808032</v>
      </c>
      <c r="BP23" s="10" t="n">
        <f aca="false">-10000*Escalation!$B$67</f>
        <v>-11040.808032</v>
      </c>
      <c r="BQ23" s="10" t="n">
        <f aca="false">-10000*Escalation!$B$68</f>
        <v>-11040.808032</v>
      </c>
      <c r="BR23" s="10" t="n">
        <f aca="false">-10000*Escalation!$B$69</f>
        <v>-11040.808032</v>
      </c>
      <c r="BS23" s="10" t="n">
        <f aca="false">-10000*Escalation!$B$70</f>
        <v>-11040.808032</v>
      </c>
      <c r="BT23" s="10" t="n">
        <f aca="false">-10000*Escalation!$B$71</f>
        <v>-11040.808032</v>
      </c>
      <c r="BU23" s="10" t="n">
        <f aca="false">-10000*Escalation!$B$72</f>
        <v>-11040.808032</v>
      </c>
      <c r="BV23" s="10" t="n">
        <f aca="false">-10000*Escalation!$B$73</f>
        <v>-11040.808032</v>
      </c>
      <c r="BW23" s="10" t="n">
        <f aca="false">-10000*Escalation!$B$74</f>
        <v>-11261.62419264</v>
      </c>
      <c r="BX23" s="10" t="n">
        <f aca="false">-10000*Escalation!$B$75</f>
        <v>-11261.62419264</v>
      </c>
      <c r="BY23" s="10" t="n">
        <f aca="false">-10000*Escalation!$B$76</f>
        <v>-11261.62419264</v>
      </c>
      <c r="BZ23" s="10" t="n">
        <f aca="false">-10000*Escalation!$B$77</f>
        <v>-11261.62419264</v>
      </c>
      <c r="CA23" s="10" t="n">
        <f aca="false">-10000*Escalation!$B$78</f>
        <v>-11261.62419264</v>
      </c>
      <c r="CB23" s="10" t="n">
        <f aca="false">-10000*Escalation!$B$79</f>
        <v>-11261.62419264</v>
      </c>
      <c r="CC23" s="10" t="n">
        <f aca="false">-10000*Escalation!$B$80</f>
        <v>-11261.62419264</v>
      </c>
      <c r="CD23" s="10" t="n">
        <f aca="false">-10000*Escalation!$B$81</f>
        <v>-11261.62419264</v>
      </c>
      <c r="CE23" s="10" t="n">
        <f aca="false">-10000*Escalation!$B$82</f>
        <v>-11261.62419264</v>
      </c>
      <c r="CF23" s="10" t="n">
        <f aca="false">-10000*Escalation!$B$83</f>
        <v>-11261.62419264</v>
      </c>
      <c r="CG23" s="10" t="n">
        <f aca="false">-10000*Escalation!$B$84</f>
        <v>-11261.62419264</v>
      </c>
      <c r="CH23" s="10" t="n">
        <f aca="false">-10000*Escalation!$B$85</f>
        <v>-11261.62419264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-2500*Escalation!$B$2</f>
        <v>-2500</v>
      </c>
      <c r="D24" s="10" t="n">
        <f aca="false">-2500*Escalation!$B$3</f>
        <v>-2500</v>
      </c>
      <c r="E24" s="10" t="n">
        <f aca="false">-2500*Escalation!$B$4</f>
        <v>-2500</v>
      </c>
      <c r="F24" s="10" t="n">
        <f aca="false">-2500*Escalation!$B$5</f>
        <v>-2500</v>
      </c>
      <c r="G24" s="10" t="n">
        <f aca="false">-2500*Escalation!$B$6</f>
        <v>-2500</v>
      </c>
      <c r="H24" s="10" t="n">
        <f aca="false">-2500*Escalation!$B$7</f>
        <v>-2500</v>
      </c>
      <c r="I24" s="10" t="n">
        <f aca="false">-2500*Escalation!$B$8</f>
        <v>-2500</v>
      </c>
      <c r="J24" s="10" t="n">
        <f aca="false">-2500*Escalation!$B$9</f>
        <v>-2500</v>
      </c>
      <c r="K24" s="10" t="n">
        <f aca="false">-2500*Escalation!$B$10</f>
        <v>-2500</v>
      </c>
      <c r="L24" s="10" t="n">
        <f aca="false">-2500*Escalation!$B$11</f>
        <v>-2500</v>
      </c>
      <c r="M24" s="10" t="n">
        <f aca="false">-2500*Escalation!$B$12</f>
        <v>-2500</v>
      </c>
      <c r="N24" s="10" t="n">
        <f aca="false">-2500*Escalation!$B$13</f>
        <v>-2500</v>
      </c>
      <c r="O24" s="10" t="n">
        <f aca="false">-2500*Escalation!$B$14</f>
        <v>-2550</v>
      </c>
      <c r="P24" s="10" t="n">
        <f aca="false">-2500*Escalation!$B$15</f>
        <v>-2550</v>
      </c>
      <c r="Q24" s="10" t="n">
        <f aca="false">-2500*Escalation!$B$16</f>
        <v>-2550</v>
      </c>
      <c r="R24" s="10" t="n">
        <f aca="false">-2500*Escalation!$B$17</f>
        <v>-2550</v>
      </c>
      <c r="S24" s="10" t="n">
        <f aca="false">-2500*Escalation!$B$18</f>
        <v>-2550</v>
      </c>
      <c r="T24" s="10" t="n">
        <f aca="false">-2500*Escalation!$B$19</f>
        <v>-2550</v>
      </c>
      <c r="U24" s="10" t="n">
        <f aca="false">-2500*Escalation!$B$20</f>
        <v>-2550</v>
      </c>
      <c r="V24" s="10" t="n">
        <f aca="false">-2500*Escalation!$B$21</f>
        <v>-2550</v>
      </c>
      <c r="W24" s="10" t="n">
        <f aca="false">-2500*Escalation!$B$22</f>
        <v>-2550</v>
      </c>
      <c r="X24" s="10" t="n">
        <f aca="false">-2500*Escalation!$B$23</f>
        <v>-2550</v>
      </c>
      <c r="Y24" s="10" t="n">
        <f aca="false">-2500*Escalation!$B$24</f>
        <v>-2550</v>
      </c>
      <c r="Z24" s="10" t="n">
        <f aca="false">-2500*Escalation!$B$25</f>
        <v>-2550</v>
      </c>
      <c r="AA24" s="10" t="n">
        <f aca="false">-2500*Escalation!$B$26</f>
        <v>-2601</v>
      </c>
      <c r="AB24" s="10" t="n">
        <f aca="false">-2500*Escalation!$B$27</f>
        <v>-2601</v>
      </c>
      <c r="AC24" s="10" t="n">
        <f aca="false">-2500*Escalation!$B$28</f>
        <v>-2601</v>
      </c>
      <c r="AD24" s="10" t="n">
        <f aca="false">-2500*Escalation!$B$29</f>
        <v>-2601</v>
      </c>
      <c r="AE24" s="10" t="n">
        <f aca="false">-2500*Escalation!$B$30</f>
        <v>-2601</v>
      </c>
      <c r="AF24" s="10" t="n">
        <f aca="false">-2500*Escalation!$B$31</f>
        <v>-2601</v>
      </c>
      <c r="AG24" s="10" t="n">
        <f aca="false">-2500*Escalation!$B$32</f>
        <v>-2601</v>
      </c>
      <c r="AH24" s="10" t="n">
        <f aca="false">-2500*Escalation!$B$33</f>
        <v>-2601</v>
      </c>
      <c r="AI24" s="10" t="n">
        <f aca="false">-2500*Escalation!$B$34</f>
        <v>-2601</v>
      </c>
      <c r="AJ24" s="10" t="n">
        <f aca="false">-2500*Escalation!$B$35</f>
        <v>-2601</v>
      </c>
      <c r="AK24" s="10" t="n">
        <f aca="false">-2500*Escalation!$B$36</f>
        <v>-2601</v>
      </c>
      <c r="AL24" s="10" t="n">
        <f aca="false">-2500*Escalation!$B$37</f>
        <v>-2601</v>
      </c>
      <c r="AM24" s="10" t="n">
        <f aca="false">-2500*Escalation!$B$38</f>
        <v>-2653.02</v>
      </c>
      <c r="AN24" s="10" t="n">
        <f aca="false">-2500*Escalation!$B$39</f>
        <v>-2653.02</v>
      </c>
      <c r="AO24" s="10" t="n">
        <f aca="false">-2500*Escalation!$B$40</f>
        <v>-2653.02</v>
      </c>
      <c r="AP24" s="10" t="n">
        <f aca="false">-2500*Escalation!$B$41</f>
        <v>-2653.02</v>
      </c>
      <c r="AQ24" s="10" t="n">
        <f aca="false">-2500*Escalation!$B$42</f>
        <v>-2653.02</v>
      </c>
      <c r="AR24" s="10" t="n">
        <f aca="false">-2500*Escalation!$B$43</f>
        <v>-2653.02</v>
      </c>
      <c r="AS24" s="10" t="n">
        <f aca="false">-2500*Escalation!$B$44</f>
        <v>-2653.02</v>
      </c>
      <c r="AT24" s="10" t="n">
        <f aca="false">-2500*Escalation!$B$45</f>
        <v>-2653.02</v>
      </c>
      <c r="AU24" s="10" t="n">
        <f aca="false">-2500*Escalation!$B$46</f>
        <v>-2653.02</v>
      </c>
      <c r="AV24" s="10" t="n">
        <f aca="false">-2500*Escalation!$B$47</f>
        <v>-2653.02</v>
      </c>
      <c r="AW24" s="10" t="n">
        <f aca="false">-2500*Escalation!$B$48</f>
        <v>-2653.02</v>
      </c>
      <c r="AX24" s="10" t="n">
        <f aca="false">-2500*Escalation!$B$49</f>
        <v>-2653.02</v>
      </c>
      <c r="AY24" s="10" t="n">
        <f aca="false">-2500*Escalation!$B$50</f>
        <v>-2706.0804</v>
      </c>
      <c r="AZ24" s="10" t="n">
        <f aca="false">-2500*Escalation!$B$51</f>
        <v>-2706.0804</v>
      </c>
      <c r="BA24" s="10" t="n">
        <f aca="false">-2500*Escalation!$B$52</f>
        <v>-2706.0804</v>
      </c>
      <c r="BB24" s="10" t="n">
        <f aca="false">-2500*Escalation!$B$53</f>
        <v>-2706.0804</v>
      </c>
      <c r="BC24" s="10" t="n">
        <f aca="false">-2500*Escalation!$B$54</f>
        <v>-2706.0804</v>
      </c>
      <c r="BD24" s="10" t="n">
        <f aca="false">-2500*Escalation!$B$55</f>
        <v>-2706.0804</v>
      </c>
      <c r="BE24" s="10" t="n">
        <f aca="false">-2500*Escalation!$B$56</f>
        <v>-2706.0804</v>
      </c>
      <c r="BF24" s="10" t="n">
        <f aca="false">-2500*Escalation!$B$57</f>
        <v>-2706.0804</v>
      </c>
      <c r="BG24" s="10" t="n">
        <f aca="false">-2500*Escalation!$B$58</f>
        <v>-2706.0804</v>
      </c>
      <c r="BH24" s="10" t="n">
        <f aca="false">-2500*Escalation!$B$59</f>
        <v>-2706.0804</v>
      </c>
      <c r="BI24" s="10" t="n">
        <f aca="false">-2500*Escalation!$B$60</f>
        <v>-2706.0804</v>
      </c>
      <c r="BJ24" s="10" t="n">
        <f aca="false">-2500*Escalation!$B$61</f>
        <v>-2706.0804</v>
      </c>
      <c r="BK24" s="10" t="n">
        <f aca="false">-2500*Escalation!$B$62</f>
        <v>-2760.202008</v>
      </c>
      <c r="BL24" s="10" t="n">
        <f aca="false">-2500*Escalation!$B$63</f>
        <v>-2760.202008</v>
      </c>
      <c r="BM24" s="10" t="n">
        <f aca="false">-2500*Escalation!$B$64</f>
        <v>-2760.202008</v>
      </c>
      <c r="BN24" s="10" t="n">
        <f aca="false">-2500*Escalation!$B$65</f>
        <v>-2760.202008</v>
      </c>
      <c r="BO24" s="10" t="n">
        <f aca="false">-2500*Escalation!$B$66</f>
        <v>-2760.202008</v>
      </c>
      <c r="BP24" s="10" t="n">
        <f aca="false">-2500*Escalation!$B$67</f>
        <v>-2760.202008</v>
      </c>
      <c r="BQ24" s="10" t="n">
        <f aca="false">-2500*Escalation!$B$68</f>
        <v>-2760.202008</v>
      </c>
      <c r="BR24" s="10" t="n">
        <f aca="false">-2500*Escalation!$B$69</f>
        <v>-2760.202008</v>
      </c>
      <c r="BS24" s="10" t="n">
        <f aca="false">-2500*Escalation!$B$70</f>
        <v>-2760.202008</v>
      </c>
      <c r="BT24" s="10" t="n">
        <f aca="false">-2500*Escalation!$B$71</f>
        <v>-2760.202008</v>
      </c>
      <c r="BU24" s="10" t="n">
        <f aca="false">-2500*Escalation!$B$72</f>
        <v>-2760.202008</v>
      </c>
      <c r="BV24" s="10" t="n">
        <f aca="false">-2500*Escalation!$B$73</f>
        <v>-2760.202008</v>
      </c>
      <c r="BW24" s="10" t="n">
        <f aca="false">-2500*Escalation!$B$74</f>
        <v>-2815.40604816</v>
      </c>
      <c r="BX24" s="10" t="n">
        <f aca="false">-2500*Escalation!$B$75</f>
        <v>-2815.40604816</v>
      </c>
      <c r="BY24" s="10" t="n">
        <f aca="false">-2500*Escalation!$B$76</f>
        <v>-2815.40604816</v>
      </c>
      <c r="BZ24" s="10" t="n">
        <f aca="false">-2500*Escalation!$B$77</f>
        <v>-2815.40604816</v>
      </c>
      <c r="CA24" s="10" t="n">
        <f aca="false">-2500*Escalation!$B$78</f>
        <v>-2815.40604816</v>
      </c>
      <c r="CB24" s="10" t="n">
        <f aca="false">-2500*Escalation!$B$79</f>
        <v>-2815.40604816</v>
      </c>
      <c r="CC24" s="10" t="n">
        <f aca="false">-2500*Escalation!$B$80</f>
        <v>-2815.40604816</v>
      </c>
      <c r="CD24" s="10" t="n">
        <f aca="false">-2500*Escalation!$B$81</f>
        <v>-2815.40604816</v>
      </c>
      <c r="CE24" s="10" t="n">
        <f aca="false">-2500*Escalation!$B$82</f>
        <v>-2815.40604816</v>
      </c>
      <c r="CF24" s="10" t="n">
        <f aca="false">-2500*Escalation!$B$83</f>
        <v>-2815.40604816</v>
      </c>
      <c r="CG24" s="10" t="n">
        <f aca="false">-2500*Escalation!$B$84</f>
        <v>-2815.40604816</v>
      </c>
      <c r="CH24" s="10" t="n">
        <f aca="false">-2500*Escalation!$B$85</f>
        <v>-2815.40604816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-300*Escalation!$B$2</f>
        <v>-300</v>
      </c>
      <c r="D25" s="10" t="n">
        <f aca="false">-300*Escalation!$B$3</f>
        <v>-300</v>
      </c>
      <c r="E25" s="10" t="n">
        <f aca="false">-300*Escalation!$B$4</f>
        <v>-300</v>
      </c>
      <c r="F25" s="10" t="n">
        <f aca="false">-300*Escalation!$B$5</f>
        <v>-300</v>
      </c>
      <c r="G25" s="10" t="n">
        <f aca="false">-300*Escalation!$B$6</f>
        <v>-300</v>
      </c>
      <c r="H25" s="10" t="n">
        <f aca="false">-300*Escalation!$B$7</f>
        <v>-300</v>
      </c>
      <c r="I25" s="10" t="n">
        <f aca="false">-300*Escalation!$B$8</f>
        <v>-300</v>
      </c>
      <c r="J25" s="10" t="n">
        <f aca="false">-300*Escalation!$B$9</f>
        <v>-300</v>
      </c>
      <c r="K25" s="10" t="n">
        <f aca="false">-300*Escalation!$B$10</f>
        <v>-300</v>
      </c>
      <c r="L25" s="10" t="n">
        <f aca="false">-300*Escalation!$B$11</f>
        <v>-300</v>
      </c>
      <c r="M25" s="10" t="n">
        <f aca="false">-300*Escalation!$B$12</f>
        <v>-300</v>
      </c>
      <c r="N25" s="10" t="n">
        <f aca="false">-300*Escalation!$B$13</f>
        <v>-300</v>
      </c>
      <c r="O25" s="10" t="n">
        <f aca="false">-300*Escalation!$B$14</f>
        <v>-306</v>
      </c>
      <c r="P25" s="10" t="n">
        <f aca="false">-300*Escalation!$B$15</f>
        <v>-306</v>
      </c>
      <c r="Q25" s="10" t="n">
        <f aca="false">-300*Escalation!$B$16</f>
        <v>-306</v>
      </c>
      <c r="R25" s="10" t="n">
        <f aca="false">-300*Escalation!$B$17</f>
        <v>-306</v>
      </c>
      <c r="S25" s="10" t="n">
        <f aca="false">-300*Escalation!$B$18</f>
        <v>-306</v>
      </c>
      <c r="T25" s="10" t="n">
        <f aca="false">-300*Escalation!$B$19</f>
        <v>-306</v>
      </c>
      <c r="U25" s="10" t="n">
        <f aca="false">-300*Escalation!$B$20</f>
        <v>-306</v>
      </c>
      <c r="V25" s="10" t="n">
        <f aca="false">-300*Escalation!$B$21</f>
        <v>-306</v>
      </c>
      <c r="W25" s="10" t="n">
        <f aca="false">-300*Escalation!$B$22</f>
        <v>-306</v>
      </c>
      <c r="X25" s="10" t="n">
        <f aca="false">-300*Escalation!$B$23</f>
        <v>-306</v>
      </c>
      <c r="Y25" s="10" t="n">
        <f aca="false">-300*Escalation!$B$24</f>
        <v>-306</v>
      </c>
      <c r="Z25" s="10" t="n">
        <f aca="false">-300*Escalation!$B$25</f>
        <v>-306</v>
      </c>
      <c r="AA25" s="10" t="n">
        <f aca="false">-300*Escalation!$B$26</f>
        <v>-312.12</v>
      </c>
      <c r="AB25" s="10" t="n">
        <f aca="false">-300*Escalation!$B$27</f>
        <v>-312.12</v>
      </c>
      <c r="AC25" s="10" t="n">
        <f aca="false">-300*Escalation!$B$28</f>
        <v>-312.12</v>
      </c>
      <c r="AD25" s="10" t="n">
        <f aca="false">-300*Escalation!$B$29</f>
        <v>-312.12</v>
      </c>
      <c r="AE25" s="10" t="n">
        <f aca="false">-300*Escalation!$B$30</f>
        <v>-312.12</v>
      </c>
      <c r="AF25" s="10" t="n">
        <f aca="false">-300*Escalation!$B$31</f>
        <v>-312.12</v>
      </c>
      <c r="AG25" s="10" t="n">
        <f aca="false">-300*Escalation!$B$32</f>
        <v>-312.12</v>
      </c>
      <c r="AH25" s="10" t="n">
        <f aca="false">-300*Escalation!$B$33</f>
        <v>-312.12</v>
      </c>
      <c r="AI25" s="10" t="n">
        <f aca="false">-300*Escalation!$B$34</f>
        <v>-312.12</v>
      </c>
      <c r="AJ25" s="10" t="n">
        <f aca="false">-300*Escalation!$B$35</f>
        <v>-312.12</v>
      </c>
      <c r="AK25" s="10" t="n">
        <f aca="false">-300*Escalation!$B$36</f>
        <v>-312.12</v>
      </c>
      <c r="AL25" s="10" t="n">
        <f aca="false">-300*Escalation!$B$37</f>
        <v>-312.12</v>
      </c>
      <c r="AM25" s="10" t="n">
        <f aca="false">-300*Escalation!$B$38</f>
        <v>-318.3624</v>
      </c>
      <c r="AN25" s="10" t="n">
        <f aca="false">-300*Escalation!$B$39</f>
        <v>-318.3624</v>
      </c>
      <c r="AO25" s="10" t="n">
        <f aca="false">-300*Escalation!$B$40</f>
        <v>-318.3624</v>
      </c>
      <c r="AP25" s="10" t="n">
        <f aca="false">-300*Escalation!$B$41</f>
        <v>-318.3624</v>
      </c>
      <c r="AQ25" s="10" t="n">
        <f aca="false">-300*Escalation!$B$42</f>
        <v>-318.3624</v>
      </c>
      <c r="AR25" s="10" t="n">
        <f aca="false">-300*Escalation!$B$43</f>
        <v>-318.3624</v>
      </c>
      <c r="AS25" s="10" t="n">
        <f aca="false">-300*Escalation!$B$44</f>
        <v>-318.3624</v>
      </c>
      <c r="AT25" s="10" t="n">
        <f aca="false">-300*Escalation!$B$45</f>
        <v>-318.3624</v>
      </c>
      <c r="AU25" s="10" t="n">
        <f aca="false">-300*Escalation!$B$46</f>
        <v>-318.3624</v>
      </c>
      <c r="AV25" s="10" t="n">
        <f aca="false">-300*Escalation!$B$47</f>
        <v>-318.3624</v>
      </c>
      <c r="AW25" s="10" t="n">
        <f aca="false">-300*Escalation!$B$48</f>
        <v>-318.3624</v>
      </c>
      <c r="AX25" s="10" t="n">
        <f aca="false">-300*Escalation!$B$49</f>
        <v>-318.3624</v>
      </c>
      <c r="AY25" s="10" t="n">
        <f aca="false">-300*Escalation!$B$50</f>
        <v>-324.729648</v>
      </c>
      <c r="AZ25" s="10" t="n">
        <f aca="false">-300*Escalation!$B$51</f>
        <v>-324.729648</v>
      </c>
      <c r="BA25" s="10" t="n">
        <f aca="false">-300*Escalation!$B$52</f>
        <v>-324.729648</v>
      </c>
      <c r="BB25" s="10" t="n">
        <f aca="false">-300*Escalation!$B$53</f>
        <v>-324.729648</v>
      </c>
      <c r="BC25" s="10" t="n">
        <f aca="false">-300*Escalation!$B$54</f>
        <v>-324.729648</v>
      </c>
      <c r="BD25" s="10" t="n">
        <f aca="false">-300*Escalation!$B$55</f>
        <v>-324.729648</v>
      </c>
      <c r="BE25" s="10" t="n">
        <f aca="false">-300*Escalation!$B$56</f>
        <v>-324.729648</v>
      </c>
      <c r="BF25" s="10" t="n">
        <f aca="false">-300*Escalation!$B$57</f>
        <v>-324.729648</v>
      </c>
      <c r="BG25" s="10" t="n">
        <f aca="false">-300*Escalation!$B$58</f>
        <v>-324.729648</v>
      </c>
      <c r="BH25" s="10" t="n">
        <f aca="false">-300*Escalation!$B$59</f>
        <v>-324.729648</v>
      </c>
      <c r="BI25" s="10" t="n">
        <f aca="false">-300*Escalation!$B$60</f>
        <v>-324.729648</v>
      </c>
      <c r="BJ25" s="10" t="n">
        <f aca="false">-300*Escalation!$B$61</f>
        <v>-324.729648</v>
      </c>
      <c r="BK25" s="10" t="n">
        <f aca="false">-300*Escalation!$B$62</f>
        <v>-331.22424096</v>
      </c>
      <c r="BL25" s="10" t="n">
        <f aca="false">-300*Escalation!$B$63</f>
        <v>-331.22424096</v>
      </c>
      <c r="BM25" s="10" t="n">
        <f aca="false">-300*Escalation!$B$64</f>
        <v>-331.22424096</v>
      </c>
      <c r="BN25" s="10" t="n">
        <f aca="false">-300*Escalation!$B$65</f>
        <v>-331.22424096</v>
      </c>
      <c r="BO25" s="10" t="n">
        <f aca="false">-300*Escalation!$B$66</f>
        <v>-331.22424096</v>
      </c>
      <c r="BP25" s="10" t="n">
        <f aca="false">-300*Escalation!$B$67</f>
        <v>-331.22424096</v>
      </c>
      <c r="BQ25" s="10" t="n">
        <f aca="false">-300*Escalation!$B$68</f>
        <v>-331.22424096</v>
      </c>
      <c r="BR25" s="10" t="n">
        <f aca="false">-300*Escalation!$B$69</f>
        <v>-331.22424096</v>
      </c>
      <c r="BS25" s="10" t="n">
        <f aca="false">-300*Escalation!$B$70</f>
        <v>-331.22424096</v>
      </c>
      <c r="BT25" s="10" t="n">
        <f aca="false">-300*Escalation!$B$71</f>
        <v>-331.22424096</v>
      </c>
      <c r="BU25" s="10" t="n">
        <f aca="false">-300*Escalation!$B$72</f>
        <v>-331.22424096</v>
      </c>
      <c r="BV25" s="10" t="n">
        <f aca="false">-300*Escalation!$B$73</f>
        <v>-331.22424096</v>
      </c>
      <c r="BW25" s="10" t="n">
        <f aca="false">-300*Escalation!$B$74</f>
        <v>-337.8487257792</v>
      </c>
      <c r="BX25" s="10" t="n">
        <f aca="false">-300*Escalation!$B$75</f>
        <v>-337.8487257792</v>
      </c>
      <c r="BY25" s="10" t="n">
        <f aca="false">-300*Escalation!$B$76</f>
        <v>-337.8487257792</v>
      </c>
      <c r="BZ25" s="10" t="n">
        <f aca="false">-300*Escalation!$B$77</f>
        <v>-337.8487257792</v>
      </c>
      <c r="CA25" s="10" t="n">
        <f aca="false">-300*Escalation!$B$78</f>
        <v>-337.8487257792</v>
      </c>
      <c r="CB25" s="10" t="n">
        <f aca="false">-300*Escalation!$B$79</f>
        <v>-337.8487257792</v>
      </c>
      <c r="CC25" s="10" t="n">
        <f aca="false">-300*Escalation!$B$80</f>
        <v>-337.8487257792</v>
      </c>
      <c r="CD25" s="10" t="n">
        <f aca="false">-300*Escalation!$B$81</f>
        <v>-337.8487257792</v>
      </c>
      <c r="CE25" s="10" t="n">
        <f aca="false">-300*Escalation!$B$82</f>
        <v>-337.8487257792</v>
      </c>
      <c r="CF25" s="10" t="n">
        <f aca="false">-300*Escalation!$B$83</f>
        <v>-337.8487257792</v>
      </c>
      <c r="CG25" s="10" t="n">
        <f aca="false">-300*Escalation!$B$84</f>
        <v>-337.8487257792</v>
      </c>
      <c r="CH25" s="10" t="n">
        <f aca="false">-300*Escalation!$B$85</f>
        <v>-337.8487257792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-3000*Escalation!$B$2</f>
        <v>-3000</v>
      </c>
      <c r="D26" s="10" t="n">
        <f aca="false">-3000*Escalation!$B$3</f>
        <v>-3000</v>
      </c>
      <c r="E26" s="10" t="n">
        <f aca="false">-3000*Escalation!$B$4</f>
        <v>-3000</v>
      </c>
      <c r="F26" s="10" t="n">
        <f aca="false">-3000*Escalation!$B$5</f>
        <v>-3000</v>
      </c>
      <c r="G26" s="10" t="n">
        <f aca="false">-3000*Escalation!$B$6</f>
        <v>-3000</v>
      </c>
      <c r="H26" s="10" t="n">
        <f aca="false">-3000*Escalation!$B$7</f>
        <v>-3000</v>
      </c>
      <c r="I26" s="10" t="n">
        <f aca="false">-3000*Escalation!$B$8</f>
        <v>-3000</v>
      </c>
      <c r="J26" s="10" t="n">
        <f aca="false">-3000*Escalation!$B$9</f>
        <v>-3000</v>
      </c>
      <c r="K26" s="10" t="n">
        <f aca="false">-3000*Escalation!$B$10</f>
        <v>-3000</v>
      </c>
      <c r="L26" s="10" t="n">
        <f aca="false">-3000*Escalation!$B$11</f>
        <v>-3000</v>
      </c>
      <c r="M26" s="10" t="n">
        <f aca="false">-3000*Escalation!$B$12</f>
        <v>-3000</v>
      </c>
      <c r="N26" s="10" t="n">
        <f aca="false">-3000*Escalation!$B$13</f>
        <v>-3000</v>
      </c>
      <c r="O26" s="10" t="n">
        <f aca="false">-3000*Escalation!$B$14</f>
        <v>-3060</v>
      </c>
      <c r="P26" s="10" t="n">
        <f aca="false">-3000*Escalation!$B$15</f>
        <v>-3060</v>
      </c>
      <c r="Q26" s="10" t="n">
        <f aca="false">-3000*Escalation!$B$16</f>
        <v>-3060</v>
      </c>
      <c r="R26" s="10" t="n">
        <f aca="false">-3000*Escalation!$B$17</f>
        <v>-3060</v>
      </c>
      <c r="S26" s="10" t="n">
        <f aca="false">-3000*Escalation!$B$18</f>
        <v>-3060</v>
      </c>
      <c r="T26" s="10" t="n">
        <f aca="false">-3000*Escalation!$B$19</f>
        <v>-3060</v>
      </c>
      <c r="U26" s="10" t="n">
        <f aca="false">-3000*Escalation!$B$20</f>
        <v>-3060</v>
      </c>
      <c r="V26" s="10" t="n">
        <f aca="false">-3000*Escalation!$B$21</f>
        <v>-3060</v>
      </c>
      <c r="W26" s="10" t="n">
        <f aca="false">-3000*Escalation!$B$22</f>
        <v>-3060</v>
      </c>
      <c r="X26" s="10" t="n">
        <f aca="false">-3000*Escalation!$B$23</f>
        <v>-3060</v>
      </c>
      <c r="Y26" s="10" t="n">
        <f aca="false">-3000*Escalation!$B$24</f>
        <v>-3060</v>
      </c>
      <c r="Z26" s="10" t="n">
        <f aca="false">-3000*Escalation!$B$25</f>
        <v>-3060</v>
      </c>
      <c r="AA26" s="10" t="n">
        <f aca="false">-3000*Escalation!$B$26</f>
        <v>-3121.2</v>
      </c>
      <c r="AB26" s="10" t="n">
        <f aca="false">-3000*Escalation!$B$27</f>
        <v>-3121.2</v>
      </c>
      <c r="AC26" s="10" t="n">
        <f aca="false">-3000*Escalation!$B$28</f>
        <v>-3121.2</v>
      </c>
      <c r="AD26" s="10" t="n">
        <f aca="false">-3000*Escalation!$B$29</f>
        <v>-3121.2</v>
      </c>
      <c r="AE26" s="10" t="n">
        <f aca="false">-3000*Escalation!$B$30</f>
        <v>-3121.2</v>
      </c>
      <c r="AF26" s="10" t="n">
        <f aca="false">-3000*Escalation!$B$31</f>
        <v>-3121.2</v>
      </c>
      <c r="AG26" s="10" t="n">
        <f aca="false">-3000*Escalation!$B$32</f>
        <v>-3121.2</v>
      </c>
      <c r="AH26" s="10" t="n">
        <f aca="false">-3000*Escalation!$B$33</f>
        <v>-3121.2</v>
      </c>
      <c r="AI26" s="10" t="n">
        <f aca="false">-3000*Escalation!$B$34</f>
        <v>-3121.2</v>
      </c>
      <c r="AJ26" s="10" t="n">
        <f aca="false">-3000*Escalation!$B$35</f>
        <v>-3121.2</v>
      </c>
      <c r="AK26" s="10" t="n">
        <f aca="false">-3000*Escalation!$B$36</f>
        <v>-3121.2</v>
      </c>
      <c r="AL26" s="10" t="n">
        <f aca="false">-3000*Escalation!$B$37</f>
        <v>-3121.2</v>
      </c>
      <c r="AM26" s="10" t="n">
        <f aca="false">-3000*Escalation!$B$38</f>
        <v>-3183.624</v>
      </c>
      <c r="AN26" s="10" t="n">
        <f aca="false">-3000*Escalation!$B$39</f>
        <v>-3183.624</v>
      </c>
      <c r="AO26" s="10" t="n">
        <f aca="false">-3000*Escalation!$B$40</f>
        <v>-3183.624</v>
      </c>
      <c r="AP26" s="10" t="n">
        <f aca="false">-3000*Escalation!$B$41</f>
        <v>-3183.624</v>
      </c>
      <c r="AQ26" s="10" t="n">
        <f aca="false">-3000*Escalation!$B$42</f>
        <v>-3183.624</v>
      </c>
      <c r="AR26" s="10" t="n">
        <f aca="false">-3000*Escalation!$B$43</f>
        <v>-3183.624</v>
      </c>
      <c r="AS26" s="10" t="n">
        <f aca="false">-3000*Escalation!$B$44</f>
        <v>-3183.624</v>
      </c>
      <c r="AT26" s="10" t="n">
        <f aca="false">-3000*Escalation!$B$45</f>
        <v>-3183.624</v>
      </c>
      <c r="AU26" s="10" t="n">
        <f aca="false">-3000*Escalation!$B$46</f>
        <v>-3183.624</v>
      </c>
      <c r="AV26" s="10" t="n">
        <f aca="false">-3000*Escalation!$B$47</f>
        <v>-3183.624</v>
      </c>
      <c r="AW26" s="10" t="n">
        <f aca="false">-3000*Escalation!$B$48</f>
        <v>-3183.624</v>
      </c>
      <c r="AX26" s="10" t="n">
        <f aca="false">-3000*Escalation!$B$49</f>
        <v>-3183.624</v>
      </c>
      <c r="AY26" s="10" t="n">
        <f aca="false">-3000*Escalation!$B$50</f>
        <v>-3247.29648</v>
      </c>
      <c r="AZ26" s="10" t="n">
        <f aca="false">-3000*Escalation!$B$51</f>
        <v>-3247.29648</v>
      </c>
      <c r="BA26" s="10" t="n">
        <f aca="false">-3000*Escalation!$B$52</f>
        <v>-3247.29648</v>
      </c>
      <c r="BB26" s="10" t="n">
        <f aca="false">-3000*Escalation!$B$53</f>
        <v>-3247.29648</v>
      </c>
      <c r="BC26" s="10" t="n">
        <f aca="false">-3000*Escalation!$B$54</f>
        <v>-3247.29648</v>
      </c>
      <c r="BD26" s="10" t="n">
        <f aca="false">-3000*Escalation!$B$55</f>
        <v>-3247.29648</v>
      </c>
      <c r="BE26" s="10" t="n">
        <f aca="false">-3000*Escalation!$B$56</f>
        <v>-3247.29648</v>
      </c>
      <c r="BF26" s="10" t="n">
        <f aca="false">-3000*Escalation!$B$57</f>
        <v>-3247.29648</v>
      </c>
      <c r="BG26" s="10" t="n">
        <f aca="false">-3000*Escalation!$B$58</f>
        <v>-3247.29648</v>
      </c>
      <c r="BH26" s="10" t="n">
        <f aca="false">-3000*Escalation!$B$59</f>
        <v>-3247.29648</v>
      </c>
      <c r="BI26" s="10" t="n">
        <f aca="false">-3000*Escalation!$B$60</f>
        <v>-3247.29648</v>
      </c>
      <c r="BJ26" s="10" t="n">
        <f aca="false">-3000*Escalation!$B$61</f>
        <v>-3247.29648</v>
      </c>
      <c r="BK26" s="10" t="n">
        <f aca="false">-3000*Escalation!$B$62</f>
        <v>-3312.2424096</v>
      </c>
      <c r="BL26" s="10" t="n">
        <f aca="false">-3000*Escalation!$B$63</f>
        <v>-3312.2424096</v>
      </c>
      <c r="BM26" s="10" t="n">
        <f aca="false">-3000*Escalation!$B$64</f>
        <v>-3312.2424096</v>
      </c>
      <c r="BN26" s="10" t="n">
        <f aca="false">-3000*Escalation!$B$65</f>
        <v>-3312.2424096</v>
      </c>
      <c r="BO26" s="10" t="n">
        <f aca="false">-3000*Escalation!$B$66</f>
        <v>-3312.2424096</v>
      </c>
      <c r="BP26" s="10" t="n">
        <f aca="false">-3000*Escalation!$B$67</f>
        <v>-3312.2424096</v>
      </c>
      <c r="BQ26" s="10" t="n">
        <f aca="false">-3000*Escalation!$B$68</f>
        <v>-3312.2424096</v>
      </c>
      <c r="BR26" s="10" t="n">
        <f aca="false">-3000*Escalation!$B$69</f>
        <v>-3312.2424096</v>
      </c>
      <c r="BS26" s="10" t="n">
        <f aca="false">-3000*Escalation!$B$70</f>
        <v>-3312.2424096</v>
      </c>
      <c r="BT26" s="10" t="n">
        <f aca="false">-3000*Escalation!$B$71</f>
        <v>-3312.2424096</v>
      </c>
      <c r="BU26" s="10" t="n">
        <f aca="false">-3000*Escalation!$B$72</f>
        <v>-3312.2424096</v>
      </c>
      <c r="BV26" s="10" t="n">
        <f aca="false">-3000*Escalation!$B$73</f>
        <v>-3312.2424096</v>
      </c>
      <c r="BW26" s="10" t="n">
        <f aca="false">-3000*Escalation!$B$74</f>
        <v>-3378.487257792</v>
      </c>
      <c r="BX26" s="10" t="n">
        <f aca="false">-3000*Escalation!$B$75</f>
        <v>-3378.487257792</v>
      </c>
      <c r="BY26" s="10" t="n">
        <f aca="false">-3000*Escalation!$B$76</f>
        <v>-3378.487257792</v>
      </c>
      <c r="BZ26" s="10" t="n">
        <f aca="false">-3000*Escalation!$B$77</f>
        <v>-3378.487257792</v>
      </c>
      <c r="CA26" s="10" t="n">
        <f aca="false">-3000*Escalation!$B$78</f>
        <v>-3378.487257792</v>
      </c>
      <c r="CB26" s="10" t="n">
        <f aca="false">-3000*Escalation!$B$79</f>
        <v>-3378.487257792</v>
      </c>
      <c r="CC26" s="10" t="n">
        <f aca="false">-3000*Escalation!$B$80</f>
        <v>-3378.487257792</v>
      </c>
      <c r="CD26" s="10" t="n">
        <f aca="false">-3000*Escalation!$B$81</f>
        <v>-3378.487257792</v>
      </c>
      <c r="CE26" s="10" t="n">
        <f aca="false">-3000*Escalation!$B$82</f>
        <v>-3378.487257792</v>
      </c>
      <c r="CF26" s="10" t="n">
        <f aca="false">-3000*Escalation!$B$83</f>
        <v>-3378.487257792</v>
      </c>
      <c r="CG26" s="10" t="n">
        <f aca="false">-3000*Escalation!$B$84</f>
        <v>-3378.487257792</v>
      </c>
      <c r="CH26" s="10" t="n">
        <f aca="false">-3000*Escalation!$B$85</f>
        <v>-3378.487257792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-300*Escalation!$B$2</f>
        <v>-300</v>
      </c>
      <c r="D28" s="10" t="n">
        <f aca="false">-300*Escalation!$B$3</f>
        <v>-300</v>
      </c>
      <c r="E28" s="10" t="n">
        <f aca="false">-300*Escalation!$B$4</f>
        <v>-300</v>
      </c>
      <c r="F28" s="10" t="n">
        <f aca="false">-300*Escalation!$B$5</f>
        <v>-300</v>
      </c>
      <c r="G28" s="10" t="n">
        <f aca="false">-300*Escalation!$B$6</f>
        <v>-300</v>
      </c>
      <c r="H28" s="10" t="n">
        <f aca="false">-300*Escalation!$B$7</f>
        <v>-300</v>
      </c>
      <c r="I28" s="10" t="n">
        <f aca="false">-300*Escalation!$B$8</f>
        <v>-300</v>
      </c>
      <c r="J28" s="10" t="n">
        <f aca="false">-300*Escalation!$B$9</f>
        <v>-300</v>
      </c>
      <c r="K28" s="10" t="n">
        <f aca="false">-300*Escalation!$B$10</f>
        <v>-300</v>
      </c>
      <c r="L28" s="10" t="n">
        <f aca="false">-300*Escalation!$B$11</f>
        <v>-300</v>
      </c>
      <c r="M28" s="10" t="n">
        <f aca="false">-300*Escalation!$B$12</f>
        <v>-300</v>
      </c>
      <c r="N28" s="10" t="n">
        <f aca="false">-300*Escalation!$B$13</f>
        <v>-300</v>
      </c>
      <c r="O28" s="10" t="n">
        <f aca="false">-300*Escalation!$B$14</f>
        <v>-306</v>
      </c>
      <c r="P28" s="10" t="n">
        <f aca="false">-300*Escalation!$B$15</f>
        <v>-306</v>
      </c>
      <c r="Q28" s="10" t="n">
        <f aca="false">-300*Escalation!$B$16</f>
        <v>-306</v>
      </c>
      <c r="R28" s="10" t="n">
        <f aca="false">-300*Escalation!$B$17</f>
        <v>-306</v>
      </c>
      <c r="S28" s="10" t="n">
        <f aca="false">-300*Escalation!$B$18</f>
        <v>-306</v>
      </c>
      <c r="T28" s="10" t="n">
        <f aca="false">-300*Escalation!$B$19</f>
        <v>-306</v>
      </c>
      <c r="U28" s="10" t="n">
        <f aca="false">-300*Escalation!$B$20</f>
        <v>-306</v>
      </c>
      <c r="V28" s="10" t="n">
        <f aca="false">-300*Escalation!$B$21</f>
        <v>-306</v>
      </c>
      <c r="W28" s="10" t="n">
        <f aca="false">-300*Escalation!$B$22</f>
        <v>-306</v>
      </c>
      <c r="X28" s="10" t="n">
        <f aca="false">-300*Escalation!$B$23</f>
        <v>-306</v>
      </c>
      <c r="Y28" s="10" t="n">
        <f aca="false">-300*Escalation!$B$24</f>
        <v>-306</v>
      </c>
      <c r="Z28" s="10" t="n">
        <f aca="false">-300*Escalation!$B$25</f>
        <v>-306</v>
      </c>
      <c r="AA28" s="10" t="n">
        <f aca="false">-300*Escalation!$B$26</f>
        <v>-312.12</v>
      </c>
      <c r="AB28" s="10" t="n">
        <f aca="false">-300*Escalation!$B$27</f>
        <v>-312.12</v>
      </c>
      <c r="AC28" s="10" t="n">
        <f aca="false">-300*Escalation!$B$28</f>
        <v>-312.12</v>
      </c>
      <c r="AD28" s="10" t="n">
        <f aca="false">-300*Escalation!$B$29</f>
        <v>-312.12</v>
      </c>
      <c r="AE28" s="10" t="n">
        <f aca="false">-300*Escalation!$B$30</f>
        <v>-312.12</v>
      </c>
      <c r="AF28" s="10" t="n">
        <f aca="false">-300*Escalation!$B$31</f>
        <v>-312.12</v>
      </c>
      <c r="AG28" s="10" t="n">
        <f aca="false">-300*Escalation!$B$32</f>
        <v>-312.12</v>
      </c>
      <c r="AH28" s="10" t="n">
        <f aca="false">-300*Escalation!$B$33</f>
        <v>-312.12</v>
      </c>
      <c r="AI28" s="10" t="n">
        <f aca="false">-300*Escalation!$B$34</f>
        <v>-312.12</v>
      </c>
      <c r="AJ28" s="10" t="n">
        <f aca="false">-300*Escalation!$B$35</f>
        <v>-312.12</v>
      </c>
      <c r="AK28" s="10" t="n">
        <f aca="false">-300*Escalation!$B$36</f>
        <v>-312.12</v>
      </c>
      <c r="AL28" s="10" t="n">
        <f aca="false">-300*Escalation!$B$37</f>
        <v>-312.12</v>
      </c>
      <c r="AM28" s="10" t="n">
        <f aca="false">-300*Escalation!$B$38</f>
        <v>-318.3624</v>
      </c>
      <c r="AN28" s="10" t="n">
        <f aca="false">-300*Escalation!$B$39</f>
        <v>-318.3624</v>
      </c>
      <c r="AO28" s="10" t="n">
        <f aca="false">-300*Escalation!$B$40</f>
        <v>-318.3624</v>
      </c>
      <c r="AP28" s="10" t="n">
        <f aca="false">-300*Escalation!$B$41</f>
        <v>-318.3624</v>
      </c>
      <c r="AQ28" s="10" t="n">
        <f aca="false">-300*Escalation!$B$42</f>
        <v>-318.3624</v>
      </c>
      <c r="AR28" s="10" t="n">
        <f aca="false">-300*Escalation!$B$43</f>
        <v>-318.3624</v>
      </c>
      <c r="AS28" s="10" t="n">
        <f aca="false">-300*Escalation!$B$44</f>
        <v>-318.3624</v>
      </c>
      <c r="AT28" s="10" t="n">
        <f aca="false">-300*Escalation!$B$45</f>
        <v>-318.3624</v>
      </c>
      <c r="AU28" s="10" t="n">
        <f aca="false">-300*Escalation!$B$46</f>
        <v>-318.3624</v>
      </c>
      <c r="AV28" s="10" t="n">
        <f aca="false">-300*Escalation!$B$47</f>
        <v>-318.3624</v>
      </c>
      <c r="AW28" s="10" t="n">
        <f aca="false">-300*Escalation!$B$48</f>
        <v>-318.3624</v>
      </c>
      <c r="AX28" s="10" t="n">
        <f aca="false">-300*Escalation!$B$49</f>
        <v>-318.3624</v>
      </c>
      <c r="AY28" s="10" t="n">
        <f aca="false">-300*Escalation!$B$50</f>
        <v>-324.729648</v>
      </c>
      <c r="AZ28" s="10" t="n">
        <f aca="false">-300*Escalation!$B$51</f>
        <v>-324.729648</v>
      </c>
      <c r="BA28" s="10" t="n">
        <f aca="false">-300*Escalation!$B$52</f>
        <v>-324.729648</v>
      </c>
      <c r="BB28" s="10" t="n">
        <f aca="false">-300*Escalation!$B$53</f>
        <v>-324.729648</v>
      </c>
      <c r="BC28" s="10" t="n">
        <f aca="false">-300*Escalation!$B$54</f>
        <v>-324.729648</v>
      </c>
      <c r="BD28" s="10" t="n">
        <f aca="false">-300*Escalation!$B$55</f>
        <v>-324.729648</v>
      </c>
      <c r="BE28" s="10" t="n">
        <f aca="false">-300*Escalation!$B$56</f>
        <v>-324.729648</v>
      </c>
      <c r="BF28" s="10" t="n">
        <f aca="false">-300*Escalation!$B$57</f>
        <v>-324.729648</v>
      </c>
      <c r="BG28" s="10" t="n">
        <f aca="false">-300*Escalation!$B$58</f>
        <v>-324.729648</v>
      </c>
      <c r="BH28" s="10" t="n">
        <f aca="false">-300*Escalation!$B$59</f>
        <v>-324.729648</v>
      </c>
      <c r="BI28" s="10" t="n">
        <f aca="false">-300*Escalation!$B$60</f>
        <v>-324.729648</v>
      </c>
      <c r="BJ28" s="10" t="n">
        <f aca="false">-300*Escalation!$B$61</f>
        <v>-324.729648</v>
      </c>
      <c r="BK28" s="10" t="n">
        <f aca="false">-300*Escalation!$B$62</f>
        <v>-331.22424096</v>
      </c>
      <c r="BL28" s="10" t="n">
        <f aca="false">-300*Escalation!$B$63</f>
        <v>-331.22424096</v>
      </c>
      <c r="BM28" s="10" t="n">
        <f aca="false">-300*Escalation!$B$64</f>
        <v>-331.22424096</v>
      </c>
      <c r="BN28" s="10" t="n">
        <f aca="false">-300*Escalation!$B$65</f>
        <v>-331.22424096</v>
      </c>
      <c r="BO28" s="10" t="n">
        <f aca="false">-300*Escalation!$B$66</f>
        <v>-331.22424096</v>
      </c>
      <c r="BP28" s="10" t="n">
        <f aca="false">-300*Escalation!$B$67</f>
        <v>-331.22424096</v>
      </c>
      <c r="BQ28" s="10" t="n">
        <f aca="false">-300*Escalation!$B$68</f>
        <v>-331.22424096</v>
      </c>
      <c r="BR28" s="10" t="n">
        <f aca="false">-300*Escalation!$B$69</f>
        <v>-331.22424096</v>
      </c>
      <c r="BS28" s="10" t="n">
        <f aca="false">-300*Escalation!$B$70</f>
        <v>-331.22424096</v>
      </c>
      <c r="BT28" s="10" t="n">
        <f aca="false">-300*Escalation!$B$71</f>
        <v>-331.22424096</v>
      </c>
      <c r="BU28" s="10" t="n">
        <f aca="false">-300*Escalation!$B$72</f>
        <v>-331.22424096</v>
      </c>
      <c r="BV28" s="10" t="n">
        <f aca="false">-300*Escalation!$B$73</f>
        <v>-331.22424096</v>
      </c>
      <c r="BW28" s="10" t="n">
        <f aca="false">-300*Escalation!$B$74</f>
        <v>-337.8487257792</v>
      </c>
      <c r="BX28" s="10" t="n">
        <f aca="false">-300*Escalation!$B$75</f>
        <v>-337.8487257792</v>
      </c>
      <c r="BY28" s="10" t="n">
        <f aca="false">-300*Escalation!$B$76</f>
        <v>-337.8487257792</v>
      </c>
      <c r="BZ28" s="10" t="n">
        <f aca="false">-300*Escalation!$B$77</f>
        <v>-337.8487257792</v>
      </c>
      <c r="CA28" s="10" t="n">
        <f aca="false">-300*Escalation!$B$78</f>
        <v>-337.8487257792</v>
      </c>
      <c r="CB28" s="10" t="n">
        <f aca="false">-300*Escalation!$B$79</f>
        <v>-337.8487257792</v>
      </c>
      <c r="CC28" s="10" t="n">
        <f aca="false">-300*Escalation!$B$80</f>
        <v>-337.8487257792</v>
      </c>
      <c r="CD28" s="10" t="n">
        <f aca="false">-300*Escalation!$B$81</f>
        <v>-337.8487257792</v>
      </c>
      <c r="CE28" s="10" t="n">
        <f aca="false">-300*Escalation!$B$82</f>
        <v>-337.8487257792</v>
      </c>
      <c r="CF28" s="10" t="n">
        <f aca="false">-300*Escalation!$B$83</f>
        <v>-337.8487257792</v>
      </c>
      <c r="CG28" s="10" t="n">
        <f aca="false">-300*Escalation!$B$84</f>
        <v>-337.8487257792</v>
      </c>
      <c r="CH28" s="10" t="n">
        <f aca="false">-300*Escalation!$B$85</f>
        <v>-337.8487257792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-1500*Escalation!$B$2</f>
        <v>-1500</v>
      </c>
      <c r="D29" s="10" t="n">
        <f aca="false">-1500*Escalation!$B$3</f>
        <v>-1500</v>
      </c>
      <c r="E29" s="10" t="n">
        <f aca="false">-1500*Escalation!$B$4</f>
        <v>-1500</v>
      </c>
      <c r="F29" s="10" t="n">
        <f aca="false">-1500*Escalation!$B$5</f>
        <v>-1500</v>
      </c>
      <c r="G29" s="10" t="n">
        <f aca="false">-1500*Escalation!$B$6</f>
        <v>-1500</v>
      </c>
      <c r="H29" s="10" t="n">
        <f aca="false">-1500*Escalation!$B$7</f>
        <v>-1500</v>
      </c>
      <c r="I29" s="10" t="n">
        <f aca="false">-1500*Escalation!$B$8</f>
        <v>-1500</v>
      </c>
      <c r="J29" s="10" t="n">
        <f aca="false">-1500*Escalation!$B$9</f>
        <v>-1500</v>
      </c>
      <c r="K29" s="10" t="n">
        <f aca="false">-1500*Escalation!$B$10</f>
        <v>-1500</v>
      </c>
      <c r="L29" s="10" t="n">
        <f aca="false">-1500*Escalation!$B$11</f>
        <v>-1500</v>
      </c>
      <c r="M29" s="10" t="n">
        <f aca="false">-1500*Escalation!$B$12</f>
        <v>-1500</v>
      </c>
      <c r="N29" s="10" t="n">
        <f aca="false">-1500*Escalation!$B$13</f>
        <v>-1500</v>
      </c>
      <c r="O29" s="10" t="n">
        <f aca="false">-1500*Escalation!$B$14</f>
        <v>-1530</v>
      </c>
      <c r="P29" s="10" t="n">
        <f aca="false">-1500*Escalation!$B$15</f>
        <v>-1530</v>
      </c>
      <c r="Q29" s="10" t="n">
        <f aca="false">-1500*Escalation!$B$16</f>
        <v>-1530</v>
      </c>
      <c r="R29" s="10" t="n">
        <f aca="false">-1500*Escalation!$B$17</f>
        <v>-1530</v>
      </c>
      <c r="S29" s="10" t="n">
        <f aca="false">-1500*Escalation!$B$18</f>
        <v>-1530</v>
      </c>
      <c r="T29" s="10" t="n">
        <f aca="false">-1500*Escalation!$B$19</f>
        <v>-1530</v>
      </c>
      <c r="U29" s="10" t="n">
        <f aca="false">-1500*Escalation!$B$20</f>
        <v>-1530</v>
      </c>
      <c r="V29" s="10" t="n">
        <f aca="false">-1500*Escalation!$B$21</f>
        <v>-1530</v>
      </c>
      <c r="W29" s="10" t="n">
        <f aca="false">-1500*Escalation!$B$22</f>
        <v>-1530</v>
      </c>
      <c r="X29" s="10" t="n">
        <f aca="false">-1500*Escalation!$B$23</f>
        <v>-1530</v>
      </c>
      <c r="Y29" s="10" t="n">
        <f aca="false">-1500*Escalation!$B$24</f>
        <v>-1530</v>
      </c>
      <c r="Z29" s="10" t="n">
        <f aca="false">-1500*Escalation!$B$25</f>
        <v>-1530</v>
      </c>
      <c r="AA29" s="10" t="n">
        <f aca="false">-1500*Escalation!$B$26</f>
        <v>-1560.6</v>
      </c>
      <c r="AB29" s="10" t="n">
        <f aca="false">-1500*Escalation!$B$27</f>
        <v>-1560.6</v>
      </c>
      <c r="AC29" s="10" t="n">
        <f aca="false">-1500*Escalation!$B$28</f>
        <v>-1560.6</v>
      </c>
      <c r="AD29" s="10" t="n">
        <f aca="false">-1500*Escalation!$B$29</f>
        <v>-1560.6</v>
      </c>
      <c r="AE29" s="10" t="n">
        <f aca="false">-1500*Escalation!$B$30</f>
        <v>-1560.6</v>
      </c>
      <c r="AF29" s="10" t="n">
        <f aca="false">-1500*Escalation!$B$31</f>
        <v>-1560.6</v>
      </c>
      <c r="AG29" s="10" t="n">
        <f aca="false">-1500*Escalation!$B$32</f>
        <v>-1560.6</v>
      </c>
      <c r="AH29" s="10" t="n">
        <f aca="false">-1500*Escalation!$B$33</f>
        <v>-1560.6</v>
      </c>
      <c r="AI29" s="10" t="n">
        <f aca="false">-1500*Escalation!$B$34</f>
        <v>-1560.6</v>
      </c>
      <c r="AJ29" s="10" t="n">
        <f aca="false">-1500*Escalation!$B$35</f>
        <v>-1560.6</v>
      </c>
      <c r="AK29" s="10" t="n">
        <f aca="false">-1500*Escalation!$B$36</f>
        <v>-1560.6</v>
      </c>
      <c r="AL29" s="10" t="n">
        <f aca="false">-1500*Escalation!$B$37</f>
        <v>-1560.6</v>
      </c>
      <c r="AM29" s="10" t="n">
        <f aca="false">-1500*Escalation!$B$38</f>
        <v>-1591.812</v>
      </c>
      <c r="AN29" s="10" t="n">
        <f aca="false">-1500*Escalation!$B$39</f>
        <v>-1591.812</v>
      </c>
      <c r="AO29" s="10" t="n">
        <f aca="false">-1500*Escalation!$B$40</f>
        <v>-1591.812</v>
      </c>
      <c r="AP29" s="10" t="n">
        <f aca="false">-1500*Escalation!$B$41</f>
        <v>-1591.812</v>
      </c>
      <c r="AQ29" s="10" t="n">
        <f aca="false">-1500*Escalation!$B$42</f>
        <v>-1591.812</v>
      </c>
      <c r="AR29" s="10" t="n">
        <f aca="false">-1500*Escalation!$B$43</f>
        <v>-1591.812</v>
      </c>
      <c r="AS29" s="10" t="n">
        <f aca="false">-1500*Escalation!$B$44</f>
        <v>-1591.812</v>
      </c>
      <c r="AT29" s="10" t="n">
        <f aca="false">-1500*Escalation!$B$45</f>
        <v>-1591.812</v>
      </c>
      <c r="AU29" s="10" t="n">
        <f aca="false">-1500*Escalation!$B$46</f>
        <v>-1591.812</v>
      </c>
      <c r="AV29" s="10" t="n">
        <f aca="false">-1500*Escalation!$B$47</f>
        <v>-1591.812</v>
      </c>
      <c r="AW29" s="10" t="n">
        <f aca="false">-1500*Escalation!$B$48</f>
        <v>-1591.812</v>
      </c>
      <c r="AX29" s="10" t="n">
        <f aca="false">-1500*Escalation!$B$49</f>
        <v>-1591.812</v>
      </c>
      <c r="AY29" s="10" t="n">
        <f aca="false">-1500*Escalation!$B$50</f>
        <v>-1623.64824</v>
      </c>
      <c r="AZ29" s="10" t="n">
        <f aca="false">-1500*Escalation!$B$51</f>
        <v>-1623.64824</v>
      </c>
      <c r="BA29" s="10" t="n">
        <f aca="false">-1500*Escalation!$B$52</f>
        <v>-1623.64824</v>
      </c>
      <c r="BB29" s="10" t="n">
        <f aca="false">-1500*Escalation!$B$53</f>
        <v>-1623.64824</v>
      </c>
      <c r="BC29" s="10" t="n">
        <f aca="false">-1500*Escalation!$B$54</f>
        <v>-1623.64824</v>
      </c>
      <c r="BD29" s="10" t="n">
        <f aca="false">-1500*Escalation!$B$55</f>
        <v>-1623.64824</v>
      </c>
      <c r="BE29" s="10" t="n">
        <f aca="false">-1500*Escalation!$B$56</f>
        <v>-1623.64824</v>
      </c>
      <c r="BF29" s="10" t="n">
        <f aca="false">-1500*Escalation!$B$57</f>
        <v>-1623.64824</v>
      </c>
      <c r="BG29" s="10" t="n">
        <f aca="false">-1500*Escalation!$B$58</f>
        <v>-1623.64824</v>
      </c>
      <c r="BH29" s="10" t="n">
        <f aca="false">-1500*Escalation!$B$59</f>
        <v>-1623.64824</v>
      </c>
      <c r="BI29" s="10" t="n">
        <f aca="false">-1500*Escalation!$B$60</f>
        <v>-1623.64824</v>
      </c>
      <c r="BJ29" s="10" t="n">
        <f aca="false">-1500*Escalation!$B$61</f>
        <v>-1623.64824</v>
      </c>
      <c r="BK29" s="10" t="n">
        <f aca="false">-1500*Escalation!$B$62</f>
        <v>-1656.1212048</v>
      </c>
      <c r="BL29" s="10" t="n">
        <f aca="false">-1500*Escalation!$B$63</f>
        <v>-1656.1212048</v>
      </c>
      <c r="BM29" s="10" t="n">
        <f aca="false">-1500*Escalation!$B$64</f>
        <v>-1656.1212048</v>
      </c>
      <c r="BN29" s="10" t="n">
        <f aca="false">-1500*Escalation!$B$65</f>
        <v>-1656.1212048</v>
      </c>
      <c r="BO29" s="10" t="n">
        <f aca="false">-1500*Escalation!$B$66</f>
        <v>-1656.1212048</v>
      </c>
      <c r="BP29" s="10" t="n">
        <f aca="false">-1500*Escalation!$B$67</f>
        <v>-1656.1212048</v>
      </c>
      <c r="BQ29" s="10" t="n">
        <f aca="false">-1500*Escalation!$B$68</f>
        <v>-1656.1212048</v>
      </c>
      <c r="BR29" s="10" t="n">
        <f aca="false">-1500*Escalation!$B$69</f>
        <v>-1656.1212048</v>
      </c>
      <c r="BS29" s="10" t="n">
        <f aca="false">-1500*Escalation!$B$70</f>
        <v>-1656.1212048</v>
      </c>
      <c r="BT29" s="10" t="n">
        <f aca="false">-1500*Escalation!$B$71</f>
        <v>-1656.1212048</v>
      </c>
      <c r="BU29" s="10" t="n">
        <f aca="false">-1500*Escalation!$B$72</f>
        <v>-1656.1212048</v>
      </c>
      <c r="BV29" s="10" t="n">
        <f aca="false">-1500*Escalation!$B$73</f>
        <v>-1656.1212048</v>
      </c>
      <c r="BW29" s="10" t="n">
        <f aca="false">-1500*Escalation!$B$74</f>
        <v>-1689.243628896</v>
      </c>
      <c r="BX29" s="10" t="n">
        <f aca="false">-1500*Escalation!$B$75</f>
        <v>-1689.243628896</v>
      </c>
      <c r="BY29" s="10" t="n">
        <f aca="false">-1500*Escalation!$B$76</f>
        <v>-1689.243628896</v>
      </c>
      <c r="BZ29" s="10" t="n">
        <f aca="false">-1500*Escalation!$B$77</f>
        <v>-1689.243628896</v>
      </c>
      <c r="CA29" s="10" t="n">
        <f aca="false">-1500*Escalation!$B$78</f>
        <v>-1689.243628896</v>
      </c>
      <c r="CB29" s="10" t="n">
        <f aca="false">-1500*Escalation!$B$79</f>
        <v>-1689.243628896</v>
      </c>
      <c r="CC29" s="10" t="n">
        <f aca="false">-1500*Escalation!$B$80</f>
        <v>-1689.243628896</v>
      </c>
      <c r="CD29" s="10" t="n">
        <f aca="false">-1500*Escalation!$B$81</f>
        <v>-1689.243628896</v>
      </c>
      <c r="CE29" s="10" t="n">
        <f aca="false">-1500*Escalation!$B$82</f>
        <v>-1689.243628896</v>
      </c>
      <c r="CF29" s="10" t="n">
        <f aca="false">-1500*Escalation!$B$83</f>
        <v>-1689.243628896</v>
      </c>
      <c r="CG29" s="10" t="n">
        <f aca="false">-1500*Escalation!$B$84</f>
        <v>-1689.243628896</v>
      </c>
      <c r="CH29" s="10" t="n">
        <f aca="false">-1500*Escalation!$B$85</f>
        <v>-1689.243628896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-1000*Escalation!$B$2</f>
        <v>-1000</v>
      </c>
      <c r="D31" s="10" t="n">
        <f aca="false">-1000*Escalation!$B$3</f>
        <v>-1000</v>
      </c>
      <c r="E31" s="10" t="n">
        <f aca="false">-1000*Escalation!$B$4</f>
        <v>-1000</v>
      </c>
      <c r="F31" s="10" t="n">
        <f aca="false">-1000*Escalation!$B$5</f>
        <v>-1000</v>
      </c>
      <c r="G31" s="10" t="n">
        <f aca="false">-1000*Escalation!$B$6</f>
        <v>-1000</v>
      </c>
      <c r="H31" s="10" t="n">
        <f aca="false">-1000*Escalation!$B$7</f>
        <v>-1000</v>
      </c>
      <c r="I31" s="10" t="n">
        <f aca="false">-1000*Escalation!$B$8</f>
        <v>-1000</v>
      </c>
      <c r="J31" s="10" t="n">
        <f aca="false">-1000*Escalation!$B$9</f>
        <v>-1000</v>
      </c>
      <c r="K31" s="10" t="n">
        <f aca="false">-1000*Escalation!$B$10</f>
        <v>-1000</v>
      </c>
      <c r="L31" s="10" t="n">
        <f aca="false">-1000*Escalation!$B$11</f>
        <v>-1000</v>
      </c>
      <c r="M31" s="10" t="n">
        <f aca="false">-1000*Escalation!$B$12</f>
        <v>-1000</v>
      </c>
      <c r="N31" s="10" t="n">
        <f aca="false">-1000*Escalation!$B$13</f>
        <v>-1000</v>
      </c>
      <c r="O31" s="10" t="n">
        <f aca="false">-1000*Escalation!$B$14</f>
        <v>-1020</v>
      </c>
      <c r="P31" s="10" t="n">
        <f aca="false">-1000*Escalation!$B$15</f>
        <v>-1020</v>
      </c>
      <c r="Q31" s="10" t="n">
        <f aca="false">-1000*Escalation!$B$16</f>
        <v>-1020</v>
      </c>
      <c r="R31" s="10" t="n">
        <f aca="false">-1000*Escalation!$B$17</f>
        <v>-1020</v>
      </c>
      <c r="S31" s="10" t="n">
        <f aca="false">-1000*Escalation!$B$18</f>
        <v>-1020</v>
      </c>
      <c r="T31" s="10" t="n">
        <f aca="false">-1000*Escalation!$B$19</f>
        <v>-1020</v>
      </c>
      <c r="U31" s="10" t="n">
        <f aca="false">-1000*Escalation!$B$20</f>
        <v>-1020</v>
      </c>
      <c r="V31" s="10" t="n">
        <f aca="false">-1000*Escalation!$B$21</f>
        <v>-1020</v>
      </c>
      <c r="W31" s="10" t="n">
        <f aca="false">-1000*Escalation!$B$22</f>
        <v>-1020</v>
      </c>
      <c r="X31" s="10" t="n">
        <f aca="false">-1000*Escalation!$B$23</f>
        <v>-1020</v>
      </c>
      <c r="Y31" s="10" t="n">
        <f aca="false">-1000*Escalation!$B$24</f>
        <v>-1020</v>
      </c>
      <c r="Z31" s="10" t="n">
        <f aca="false">-1000*Escalation!$B$25</f>
        <v>-1020</v>
      </c>
      <c r="AA31" s="10" t="n">
        <f aca="false">-1000*Escalation!$B$26</f>
        <v>-1040.4</v>
      </c>
      <c r="AB31" s="10" t="n">
        <f aca="false">-1000*Escalation!$B$27</f>
        <v>-1040.4</v>
      </c>
      <c r="AC31" s="10" t="n">
        <f aca="false">-1000*Escalation!$B$28</f>
        <v>-1040.4</v>
      </c>
      <c r="AD31" s="10" t="n">
        <f aca="false">-1000*Escalation!$B$29</f>
        <v>-1040.4</v>
      </c>
      <c r="AE31" s="10" t="n">
        <f aca="false">-1000*Escalation!$B$30</f>
        <v>-1040.4</v>
      </c>
      <c r="AF31" s="10" t="n">
        <f aca="false">-1000*Escalation!$B$31</f>
        <v>-1040.4</v>
      </c>
      <c r="AG31" s="10" t="n">
        <f aca="false">-1000*Escalation!$B$32</f>
        <v>-1040.4</v>
      </c>
      <c r="AH31" s="10" t="n">
        <f aca="false">-1000*Escalation!$B$33</f>
        <v>-1040.4</v>
      </c>
      <c r="AI31" s="10" t="n">
        <f aca="false">-1000*Escalation!$B$34</f>
        <v>-1040.4</v>
      </c>
      <c r="AJ31" s="10" t="n">
        <f aca="false">-1000*Escalation!$B$35</f>
        <v>-1040.4</v>
      </c>
      <c r="AK31" s="10" t="n">
        <f aca="false">-1000*Escalation!$B$36</f>
        <v>-1040.4</v>
      </c>
      <c r="AL31" s="10" t="n">
        <f aca="false">-1000*Escalation!$B$37</f>
        <v>-1040.4</v>
      </c>
      <c r="AM31" s="10" t="n">
        <f aca="false">-1000*Escalation!$B$38</f>
        <v>-1061.208</v>
      </c>
      <c r="AN31" s="10" t="n">
        <f aca="false">-1000*Escalation!$B$39</f>
        <v>-1061.208</v>
      </c>
      <c r="AO31" s="10" t="n">
        <f aca="false">-1000*Escalation!$B$40</f>
        <v>-1061.208</v>
      </c>
      <c r="AP31" s="10" t="n">
        <f aca="false">-1000*Escalation!$B$41</f>
        <v>-1061.208</v>
      </c>
      <c r="AQ31" s="10" t="n">
        <f aca="false">-1000*Escalation!$B$42</f>
        <v>-1061.208</v>
      </c>
      <c r="AR31" s="10" t="n">
        <f aca="false">-1000*Escalation!$B$43</f>
        <v>-1061.208</v>
      </c>
      <c r="AS31" s="10" t="n">
        <f aca="false">-1000*Escalation!$B$44</f>
        <v>-1061.208</v>
      </c>
      <c r="AT31" s="10" t="n">
        <f aca="false">-1000*Escalation!$B$45</f>
        <v>-1061.208</v>
      </c>
      <c r="AU31" s="10" t="n">
        <f aca="false">-1000*Escalation!$B$46</f>
        <v>-1061.208</v>
      </c>
      <c r="AV31" s="10" t="n">
        <f aca="false">-1000*Escalation!$B$47</f>
        <v>-1061.208</v>
      </c>
      <c r="AW31" s="10" t="n">
        <f aca="false">-1000*Escalation!$B$48</f>
        <v>-1061.208</v>
      </c>
      <c r="AX31" s="10" t="n">
        <f aca="false">-1000*Escalation!$B$49</f>
        <v>-1061.208</v>
      </c>
      <c r="AY31" s="10" t="n">
        <f aca="false">-1000*Escalation!$B$50</f>
        <v>-1082.43216</v>
      </c>
      <c r="AZ31" s="10" t="n">
        <f aca="false">-1000*Escalation!$B$51</f>
        <v>-1082.43216</v>
      </c>
      <c r="BA31" s="10" t="n">
        <f aca="false">-1000*Escalation!$B$52</f>
        <v>-1082.43216</v>
      </c>
      <c r="BB31" s="10" t="n">
        <f aca="false">-1000*Escalation!$B$53</f>
        <v>-1082.43216</v>
      </c>
      <c r="BC31" s="10" t="n">
        <f aca="false">-1000*Escalation!$B$54</f>
        <v>-1082.43216</v>
      </c>
      <c r="BD31" s="10" t="n">
        <f aca="false">-1000*Escalation!$B$55</f>
        <v>-1082.43216</v>
      </c>
      <c r="BE31" s="10" t="n">
        <f aca="false">-1000*Escalation!$B$56</f>
        <v>-1082.43216</v>
      </c>
      <c r="BF31" s="10" t="n">
        <f aca="false">-1000*Escalation!$B$57</f>
        <v>-1082.43216</v>
      </c>
      <c r="BG31" s="10" t="n">
        <f aca="false">-1000*Escalation!$B$58</f>
        <v>-1082.43216</v>
      </c>
      <c r="BH31" s="10" t="n">
        <f aca="false">-1000*Escalation!$B$59</f>
        <v>-1082.43216</v>
      </c>
      <c r="BI31" s="10" t="n">
        <f aca="false">-1000*Escalation!$B$60</f>
        <v>-1082.43216</v>
      </c>
      <c r="BJ31" s="10" t="n">
        <f aca="false">-1000*Escalation!$B$61</f>
        <v>-1082.43216</v>
      </c>
      <c r="BK31" s="10" t="n">
        <f aca="false">-1000*Escalation!$B$62</f>
        <v>-1104.0808032</v>
      </c>
      <c r="BL31" s="10" t="n">
        <f aca="false">-1000*Escalation!$B$63</f>
        <v>-1104.0808032</v>
      </c>
      <c r="BM31" s="10" t="n">
        <f aca="false">-1000*Escalation!$B$64</f>
        <v>-1104.0808032</v>
      </c>
      <c r="BN31" s="10" t="n">
        <f aca="false">-1000*Escalation!$B$65</f>
        <v>-1104.0808032</v>
      </c>
      <c r="BO31" s="10" t="n">
        <f aca="false">-1000*Escalation!$B$66</f>
        <v>-1104.0808032</v>
      </c>
      <c r="BP31" s="10" t="n">
        <f aca="false">-1000*Escalation!$B$67</f>
        <v>-1104.0808032</v>
      </c>
      <c r="BQ31" s="10" t="n">
        <f aca="false">-1000*Escalation!$B$68</f>
        <v>-1104.0808032</v>
      </c>
      <c r="BR31" s="10" t="n">
        <f aca="false">-1000*Escalation!$B$69</f>
        <v>-1104.0808032</v>
      </c>
      <c r="BS31" s="10" t="n">
        <f aca="false">-1000*Escalation!$B$70</f>
        <v>-1104.0808032</v>
      </c>
      <c r="BT31" s="10" t="n">
        <f aca="false">-1000*Escalation!$B$71</f>
        <v>-1104.0808032</v>
      </c>
      <c r="BU31" s="10" t="n">
        <f aca="false">-1000*Escalation!$B$72</f>
        <v>-1104.0808032</v>
      </c>
      <c r="BV31" s="10" t="n">
        <f aca="false">-1000*Escalation!$B$73</f>
        <v>-1104.0808032</v>
      </c>
      <c r="BW31" s="10" t="n">
        <f aca="false">-1000*Escalation!$B$74</f>
        <v>-1126.162419264</v>
      </c>
      <c r="BX31" s="10" t="n">
        <f aca="false">-1000*Escalation!$B$75</f>
        <v>-1126.162419264</v>
      </c>
      <c r="BY31" s="10" t="n">
        <f aca="false">-1000*Escalation!$B$76</f>
        <v>-1126.162419264</v>
      </c>
      <c r="BZ31" s="10" t="n">
        <f aca="false">-1000*Escalation!$B$77</f>
        <v>-1126.162419264</v>
      </c>
      <c r="CA31" s="10" t="n">
        <f aca="false">-1000*Escalation!$B$78</f>
        <v>-1126.162419264</v>
      </c>
      <c r="CB31" s="10" t="n">
        <f aca="false">-1000*Escalation!$B$79</f>
        <v>-1126.162419264</v>
      </c>
      <c r="CC31" s="10" t="n">
        <f aca="false">-1000*Escalation!$B$80</f>
        <v>-1126.162419264</v>
      </c>
      <c r="CD31" s="10" t="n">
        <f aca="false">-1000*Escalation!$B$81</f>
        <v>-1126.162419264</v>
      </c>
      <c r="CE31" s="10" t="n">
        <f aca="false">-1000*Escalation!$B$82</f>
        <v>-1126.162419264</v>
      </c>
      <c r="CF31" s="10" t="n">
        <f aca="false">-1000*Escalation!$B$83</f>
        <v>-1126.162419264</v>
      </c>
      <c r="CG31" s="10" t="n">
        <f aca="false">-1000*Escalation!$B$84</f>
        <v>-1126.162419264</v>
      </c>
      <c r="CH31" s="10" t="n">
        <f aca="false">-1000*Escalation!$B$85</f>
        <v>-1126.162419264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-416.67*Escalation!$B$2</f>
        <v>-416.67</v>
      </c>
      <c r="D32" s="10" t="n">
        <f aca="false">-416.67*Escalation!$B$3</f>
        <v>-416.67</v>
      </c>
      <c r="E32" s="10" t="n">
        <f aca="false">-416.67*Escalation!$B$4</f>
        <v>-416.67</v>
      </c>
      <c r="F32" s="10" t="n">
        <f aca="false">-416.67*Escalation!$B$5</f>
        <v>-416.67</v>
      </c>
      <c r="G32" s="10" t="n">
        <f aca="false">-416.67*Escalation!$B$6</f>
        <v>-416.67</v>
      </c>
      <c r="H32" s="10" t="n">
        <f aca="false">-416.67*Escalation!$B$7</f>
        <v>-416.67</v>
      </c>
      <c r="I32" s="10" t="n">
        <f aca="false">-416.67*Escalation!$B$8</f>
        <v>-416.67</v>
      </c>
      <c r="J32" s="10" t="n">
        <f aca="false">-416.67*Escalation!$B$9</f>
        <v>-416.67</v>
      </c>
      <c r="K32" s="10" t="n">
        <f aca="false">-416.67*Escalation!$B$10</f>
        <v>-416.67</v>
      </c>
      <c r="L32" s="10" t="n">
        <f aca="false">-416.67*Escalation!$B$11</f>
        <v>-416.67</v>
      </c>
      <c r="M32" s="10" t="n">
        <f aca="false">-416.67*Escalation!$B$12</f>
        <v>-416.67</v>
      </c>
      <c r="N32" s="10" t="n">
        <f aca="false">-416.67*Escalation!$B$13</f>
        <v>-416.67</v>
      </c>
      <c r="O32" s="10" t="n">
        <f aca="false">-416.67*Escalation!$B$14</f>
        <v>-425.0034</v>
      </c>
      <c r="P32" s="10" t="n">
        <f aca="false">-416.67*Escalation!$B$15</f>
        <v>-425.0034</v>
      </c>
      <c r="Q32" s="10" t="n">
        <f aca="false">-416.67*Escalation!$B$16</f>
        <v>-425.0034</v>
      </c>
      <c r="R32" s="10" t="n">
        <f aca="false">-416.67*Escalation!$B$17</f>
        <v>-425.0034</v>
      </c>
      <c r="S32" s="10" t="n">
        <f aca="false">-416.67*Escalation!$B$18</f>
        <v>-425.0034</v>
      </c>
      <c r="T32" s="10" t="n">
        <f aca="false">-416.67*Escalation!$B$19</f>
        <v>-425.0034</v>
      </c>
      <c r="U32" s="10" t="n">
        <f aca="false">-416.67*Escalation!$B$20</f>
        <v>-425.0034</v>
      </c>
      <c r="V32" s="10" t="n">
        <f aca="false">-416.67*Escalation!$B$21</f>
        <v>-425.0034</v>
      </c>
      <c r="W32" s="10" t="n">
        <f aca="false">-416.67*Escalation!$B$22</f>
        <v>-425.0034</v>
      </c>
      <c r="X32" s="10" t="n">
        <f aca="false">-416.67*Escalation!$B$23</f>
        <v>-425.0034</v>
      </c>
      <c r="Y32" s="10" t="n">
        <f aca="false">-416.67*Escalation!$B$24</f>
        <v>-425.0034</v>
      </c>
      <c r="Z32" s="10" t="n">
        <f aca="false">-416.67*Escalation!$B$25</f>
        <v>-425.0034</v>
      </c>
      <c r="AA32" s="10" t="n">
        <f aca="false">-416.67*Escalation!$B$26</f>
        <v>-433.503468</v>
      </c>
      <c r="AB32" s="10" t="n">
        <f aca="false">-416.67*Escalation!$B$27</f>
        <v>-433.503468</v>
      </c>
      <c r="AC32" s="10" t="n">
        <f aca="false">-416.67*Escalation!$B$28</f>
        <v>-433.503468</v>
      </c>
      <c r="AD32" s="10" t="n">
        <f aca="false">-416.67*Escalation!$B$29</f>
        <v>-433.503468</v>
      </c>
      <c r="AE32" s="10" t="n">
        <f aca="false">-416.67*Escalation!$B$30</f>
        <v>-433.503468</v>
      </c>
      <c r="AF32" s="10" t="n">
        <f aca="false">-416.67*Escalation!$B$31</f>
        <v>-433.503468</v>
      </c>
      <c r="AG32" s="10" t="n">
        <f aca="false">-416.67*Escalation!$B$32</f>
        <v>-433.503468</v>
      </c>
      <c r="AH32" s="10" t="n">
        <f aca="false">-416.67*Escalation!$B$33</f>
        <v>-433.503468</v>
      </c>
      <c r="AI32" s="10" t="n">
        <f aca="false">-416.67*Escalation!$B$34</f>
        <v>-433.503468</v>
      </c>
      <c r="AJ32" s="10" t="n">
        <f aca="false">-416.67*Escalation!$B$35</f>
        <v>-433.503468</v>
      </c>
      <c r="AK32" s="10" t="n">
        <f aca="false">-416.67*Escalation!$B$36</f>
        <v>-433.503468</v>
      </c>
      <c r="AL32" s="10" t="n">
        <f aca="false">-416.67*Escalation!$B$37</f>
        <v>-433.503468</v>
      </c>
      <c r="AM32" s="10" t="n">
        <f aca="false">-416.67*Escalation!$B$38</f>
        <v>-442.17353736</v>
      </c>
      <c r="AN32" s="10" t="n">
        <f aca="false">-416.67*Escalation!$B$39</f>
        <v>-442.17353736</v>
      </c>
      <c r="AO32" s="10" t="n">
        <f aca="false">-416.67*Escalation!$B$40</f>
        <v>-442.17353736</v>
      </c>
      <c r="AP32" s="10" t="n">
        <f aca="false">-416.67*Escalation!$B$41</f>
        <v>-442.17353736</v>
      </c>
      <c r="AQ32" s="10" t="n">
        <f aca="false">-416.67*Escalation!$B$42</f>
        <v>-442.17353736</v>
      </c>
      <c r="AR32" s="10" t="n">
        <f aca="false">-416.67*Escalation!$B$43</f>
        <v>-442.17353736</v>
      </c>
      <c r="AS32" s="10" t="n">
        <f aca="false">-416.67*Escalation!$B$44</f>
        <v>-442.17353736</v>
      </c>
      <c r="AT32" s="10" t="n">
        <f aca="false">-416.67*Escalation!$B$45</f>
        <v>-442.17353736</v>
      </c>
      <c r="AU32" s="10" t="n">
        <f aca="false">-416.67*Escalation!$B$46</f>
        <v>-442.17353736</v>
      </c>
      <c r="AV32" s="10" t="n">
        <f aca="false">-416.67*Escalation!$B$47</f>
        <v>-442.17353736</v>
      </c>
      <c r="AW32" s="10" t="n">
        <f aca="false">-416.67*Escalation!$B$48</f>
        <v>-442.17353736</v>
      </c>
      <c r="AX32" s="10" t="n">
        <f aca="false">-416.67*Escalation!$B$49</f>
        <v>-442.17353736</v>
      </c>
      <c r="AY32" s="10" t="n">
        <f aca="false">-416.67*Escalation!$B$50</f>
        <v>-451.0170081072</v>
      </c>
      <c r="AZ32" s="10" t="n">
        <f aca="false">-416.67*Escalation!$B$51</f>
        <v>-451.0170081072</v>
      </c>
      <c r="BA32" s="10" t="n">
        <f aca="false">-416.67*Escalation!$B$52</f>
        <v>-451.0170081072</v>
      </c>
      <c r="BB32" s="10" t="n">
        <f aca="false">-416.67*Escalation!$B$53</f>
        <v>-451.0170081072</v>
      </c>
      <c r="BC32" s="10" t="n">
        <f aca="false">-416.67*Escalation!$B$54</f>
        <v>-451.0170081072</v>
      </c>
      <c r="BD32" s="10" t="n">
        <f aca="false">-416.67*Escalation!$B$55</f>
        <v>-451.0170081072</v>
      </c>
      <c r="BE32" s="10" t="n">
        <f aca="false">-416.67*Escalation!$B$56</f>
        <v>-451.0170081072</v>
      </c>
      <c r="BF32" s="10" t="n">
        <f aca="false">-416.67*Escalation!$B$57</f>
        <v>-451.0170081072</v>
      </c>
      <c r="BG32" s="10" t="n">
        <f aca="false">-416.67*Escalation!$B$58</f>
        <v>-451.0170081072</v>
      </c>
      <c r="BH32" s="10" t="n">
        <f aca="false">-416.67*Escalation!$B$59</f>
        <v>-451.0170081072</v>
      </c>
      <c r="BI32" s="10" t="n">
        <f aca="false">-416.67*Escalation!$B$60</f>
        <v>-451.0170081072</v>
      </c>
      <c r="BJ32" s="10" t="n">
        <f aca="false">-416.67*Escalation!$B$61</f>
        <v>-451.0170081072</v>
      </c>
      <c r="BK32" s="10" t="n">
        <f aca="false">-416.67*Escalation!$B$62</f>
        <v>-460.037348269344</v>
      </c>
      <c r="BL32" s="10" t="n">
        <f aca="false">-416.67*Escalation!$B$63</f>
        <v>-460.037348269344</v>
      </c>
      <c r="BM32" s="10" t="n">
        <f aca="false">-416.67*Escalation!$B$64</f>
        <v>-460.037348269344</v>
      </c>
      <c r="BN32" s="10" t="n">
        <f aca="false">-416.67*Escalation!$B$65</f>
        <v>-460.037348269344</v>
      </c>
      <c r="BO32" s="10" t="n">
        <f aca="false">-416.67*Escalation!$B$66</f>
        <v>-460.037348269344</v>
      </c>
      <c r="BP32" s="10" t="n">
        <f aca="false">-416.67*Escalation!$B$67</f>
        <v>-460.037348269344</v>
      </c>
      <c r="BQ32" s="10" t="n">
        <f aca="false">-416.67*Escalation!$B$68</f>
        <v>-460.037348269344</v>
      </c>
      <c r="BR32" s="10" t="n">
        <f aca="false">-416.67*Escalation!$B$69</f>
        <v>-460.037348269344</v>
      </c>
      <c r="BS32" s="10" t="n">
        <f aca="false">-416.67*Escalation!$B$70</f>
        <v>-460.037348269344</v>
      </c>
      <c r="BT32" s="10" t="n">
        <f aca="false">-416.67*Escalation!$B$71</f>
        <v>-460.037348269344</v>
      </c>
      <c r="BU32" s="10" t="n">
        <f aca="false">-416.67*Escalation!$B$72</f>
        <v>-460.037348269344</v>
      </c>
      <c r="BV32" s="10" t="n">
        <f aca="false">-416.67*Escalation!$B$73</f>
        <v>-460.037348269344</v>
      </c>
      <c r="BW32" s="10" t="n">
        <f aca="false">-416.67*Escalation!$B$74</f>
        <v>-469.238095234731</v>
      </c>
      <c r="BX32" s="10" t="n">
        <f aca="false">-416.67*Escalation!$B$75</f>
        <v>-469.238095234731</v>
      </c>
      <c r="BY32" s="10" t="n">
        <f aca="false">-416.67*Escalation!$B$76</f>
        <v>-469.238095234731</v>
      </c>
      <c r="BZ32" s="10" t="n">
        <f aca="false">-416.67*Escalation!$B$77</f>
        <v>-469.238095234731</v>
      </c>
      <c r="CA32" s="10" t="n">
        <f aca="false">-416.67*Escalation!$B$78</f>
        <v>-469.238095234731</v>
      </c>
      <c r="CB32" s="10" t="n">
        <f aca="false">-416.67*Escalation!$B$79</f>
        <v>-469.238095234731</v>
      </c>
      <c r="CC32" s="10" t="n">
        <f aca="false">-416.67*Escalation!$B$80</f>
        <v>-469.238095234731</v>
      </c>
      <c r="CD32" s="10" t="n">
        <f aca="false">-416.67*Escalation!$B$81</f>
        <v>-469.238095234731</v>
      </c>
      <c r="CE32" s="10" t="n">
        <f aca="false">-416.67*Escalation!$B$82</f>
        <v>-469.238095234731</v>
      </c>
      <c r="CF32" s="10" t="n">
        <f aca="false">-416.67*Escalation!$B$83</f>
        <v>-469.238095234731</v>
      </c>
      <c r="CG32" s="10" t="n">
        <f aca="false">-416.67*Escalation!$B$84</f>
        <v>-469.238095234731</v>
      </c>
      <c r="CH32" s="10" t="n">
        <f aca="false">-416.67*Escalation!$B$85</f>
        <v>-469.238095234731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-1666.67*Escalation!$B$2</f>
        <v>-1666.67</v>
      </c>
      <c r="D33" s="10" t="n">
        <f aca="false">-1666.67*Escalation!$B$3</f>
        <v>-1666.67</v>
      </c>
      <c r="E33" s="10" t="n">
        <f aca="false">-1666.67*Escalation!$B$4</f>
        <v>-1666.67</v>
      </c>
      <c r="F33" s="10" t="n">
        <f aca="false">-1666.67*Escalation!$B$5</f>
        <v>-1666.67</v>
      </c>
      <c r="G33" s="10" t="n">
        <f aca="false">-1666.67*Escalation!$B$6</f>
        <v>-1666.67</v>
      </c>
      <c r="H33" s="10" t="n">
        <f aca="false">-1666.67*Escalation!$B$7</f>
        <v>-1666.67</v>
      </c>
      <c r="I33" s="10" t="n">
        <f aca="false">-1666.67*Escalation!$B$8</f>
        <v>-1666.67</v>
      </c>
      <c r="J33" s="10" t="n">
        <f aca="false">-1666.67*Escalation!$B$9</f>
        <v>-1666.67</v>
      </c>
      <c r="K33" s="10" t="n">
        <f aca="false">-1666.67*Escalation!$B$10</f>
        <v>-1666.67</v>
      </c>
      <c r="L33" s="10" t="n">
        <f aca="false">-1666.67*Escalation!$B$11</f>
        <v>-1666.67</v>
      </c>
      <c r="M33" s="10" t="n">
        <f aca="false">-1666.67*Escalation!$B$12</f>
        <v>-1666.67</v>
      </c>
      <c r="N33" s="10" t="n">
        <f aca="false">-1666.67*Escalation!$B$13</f>
        <v>-1666.67</v>
      </c>
      <c r="O33" s="10" t="n">
        <f aca="false">-1666.67*Escalation!$B$14</f>
        <v>-1700.0034</v>
      </c>
      <c r="P33" s="10" t="n">
        <f aca="false">-1666.67*Escalation!$B$15</f>
        <v>-1700.0034</v>
      </c>
      <c r="Q33" s="10" t="n">
        <f aca="false">-1666.67*Escalation!$B$16</f>
        <v>-1700.0034</v>
      </c>
      <c r="R33" s="10" t="n">
        <f aca="false">-1666.67*Escalation!$B$17</f>
        <v>-1700.0034</v>
      </c>
      <c r="S33" s="10" t="n">
        <f aca="false">-1666.67*Escalation!$B$18</f>
        <v>-1700.0034</v>
      </c>
      <c r="T33" s="10" t="n">
        <f aca="false">-1666.67*Escalation!$B$19</f>
        <v>-1700.0034</v>
      </c>
      <c r="U33" s="10" t="n">
        <f aca="false">-1666.67*Escalation!$B$20</f>
        <v>-1700.0034</v>
      </c>
      <c r="V33" s="10" t="n">
        <f aca="false">-1666.67*Escalation!$B$21</f>
        <v>-1700.0034</v>
      </c>
      <c r="W33" s="10" t="n">
        <f aca="false">-1666.67*Escalation!$B$22</f>
        <v>-1700.0034</v>
      </c>
      <c r="X33" s="10" t="n">
        <f aca="false">-1666.67*Escalation!$B$23</f>
        <v>-1700.0034</v>
      </c>
      <c r="Y33" s="10" t="n">
        <f aca="false">-1666.67*Escalation!$B$24</f>
        <v>-1700.0034</v>
      </c>
      <c r="Z33" s="10" t="n">
        <f aca="false">-1666.67*Escalation!$B$25</f>
        <v>-1700.0034</v>
      </c>
      <c r="AA33" s="10" t="n">
        <f aca="false">-1666.67*Escalation!$B$26</f>
        <v>-1734.003468</v>
      </c>
      <c r="AB33" s="10" t="n">
        <f aca="false">-1666.67*Escalation!$B$27</f>
        <v>-1734.003468</v>
      </c>
      <c r="AC33" s="10" t="n">
        <f aca="false">-1666.67*Escalation!$B$28</f>
        <v>-1734.003468</v>
      </c>
      <c r="AD33" s="10" t="n">
        <f aca="false">-1666.67*Escalation!$B$29</f>
        <v>-1734.003468</v>
      </c>
      <c r="AE33" s="10" t="n">
        <f aca="false">-1666.67*Escalation!$B$30</f>
        <v>-1734.003468</v>
      </c>
      <c r="AF33" s="10" t="n">
        <f aca="false">-1666.67*Escalation!$B$31</f>
        <v>-1734.003468</v>
      </c>
      <c r="AG33" s="10" t="n">
        <f aca="false">-1666.67*Escalation!$B$32</f>
        <v>-1734.003468</v>
      </c>
      <c r="AH33" s="10" t="n">
        <f aca="false">-1666.67*Escalation!$B$33</f>
        <v>-1734.003468</v>
      </c>
      <c r="AI33" s="10" t="n">
        <f aca="false">-1666.67*Escalation!$B$34</f>
        <v>-1734.003468</v>
      </c>
      <c r="AJ33" s="10" t="n">
        <f aca="false">-1666.67*Escalation!$B$35</f>
        <v>-1734.003468</v>
      </c>
      <c r="AK33" s="10" t="n">
        <f aca="false">-1666.67*Escalation!$B$36</f>
        <v>-1734.003468</v>
      </c>
      <c r="AL33" s="10" t="n">
        <f aca="false">-1666.67*Escalation!$B$37</f>
        <v>-1734.003468</v>
      </c>
      <c r="AM33" s="10" t="n">
        <f aca="false">-1666.67*Escalation!$B$38</f>
        <v>-1768.68353736</v>
      </c>
      <c r="AN33" s="10" t="n">
        <f aca="false">-1666.67*Escalation!$B$39</f>
        <v>-1768.68353736</v>
      </c>
      <c r="AO33" s="10" t="n">
        <f aca="false">-1666.67*Escalation!$B$40</f>
        <v>-1768.68353736</v>
      </c>
      <c r="AP33" s="10" t="n">
        <f aca="false">-1666.67*Escalation!$B$41</f>
        <v>-1768.68353736</v>
      </c>
      <c r="AQ33" s="10" t="n">
        <f aca="false">-1666.67*Escalation!$B$42</f>
        <v>-1768.68353736</v>
      </c>
      <c r="AR33" s="10" t="n">
        <f aca="false">-1666.67*Escalation!$B$43</f>
        <v>-1768.68353736</v>
      </c>
      <c r="AS33" s="10" t="n">
        <f aca="false">-1666.67*Escalation!$B$44</f>
        <v>-1768.68353736</v>
      </c>
      <c r="AT33" s="10" t="n">
        <f aca="false">-1666.67*Escalation!$B$45</f>
        <v>-1768.68353736</v>
      </c>
      <c r="AU33" s="10" t="n">
        <f aca="false">-1666.67*Escalation!$B$46</f>
        <v>-1768.68353736</v>
      </c>
      <c r="AV33" s="10" t="n">
        <f aca="false">-1666.67*Escalation!$B$47</f>
        <v>-1768.68353736</v>
      </c>
      <c r="AW33" s="10" t="n">
        <f aca="false">-1666.67*Escalation!$B$48</f>
        <v>-1768.68353736</v>
      </c>
      <c r="AX33" s="10" t="n">
        <f aca="false">-1666.67*Escalation!$B$49</f>
        <v>-1768.68353736</v>
      </c>
      <c r="AY33" s="10" t="n">
        <f aca="false">-1666.67*Escalation!$B$50</f>
        <v>-1804.0572081072</v>
      </c>
      <c r="AZ33" s="10" t="n">
        <f aca="false">-1666.67*Escalation!$B$51</f>
        <v>-1804.0572081072</v>
      </c>
      <c r="BA33" s="10" t="n">
        <f aca="false">-1666.67*Escalation!$B$52</f>
        <v>-1804.0572081072</v>
      </c>
      <c r="BB33" s="10" t="n">
        <f aca="false">-1666.67*Escalation!$B$53</f>
        <v>-1804.0572081072</v>
      </c>
      <c r="BC33" s="10" t="n">
        <f aca="false">-1666.67*Escalation!$B$54</f>
        <v>-1804.0572081072</v>
      </c>
      <c r="BD33" s="10" t="n">
        <f aca="false">-1666.67*Escalation!$B$55</f>
        <v>-1804.0572081072</v>
      </c>
      <c r="BE33" s="10" t="n">
        <f aca="false">-1666.67*Escalation!$B$56</f>
        <v>-1804.0572081072</v>
      </c>
      <c r="BF33" s="10" t="n">
        <f aca="false">-1666.67*Escalation!$B$57</f>
        <v>-1804.0572081072</v>
      </c>
      <c r="BG33" s="10" t="n">
        <f aca="false">-1666.67*Escalation!$B$58</f>
        <v>-1804.0572081072</v>
      </c>
      <c r="BH33" s="10" t="n">
        <f aca="false">-1666.67*Escalation!$B$59</f>
        <v>-1804.0572081072</v>
      </c>
      <c r="BI33" s="10" t="n">
        <f aca="false">-1666.67*Escalation!$B$60</f>
        <v>-1804.0572081072</v>
      </c>
      <c r="BJ33" s="10" t="n">
        <f aca="false">-1666.67*Escalation!$B$61</f>
        <v>-1804.0572081072</v>
      </c>
      <c r="BK33" s="10" t="n">
        <f aca="false">-1666.67*Escalation!$B$62</f>
        <v>-1840.13835226934</v>
      </c>
      <c r="BL33" s="10" t="n">
        <f aca="false">-1666.67*Escalation!$B$63</f>
        <v>-1840.13835226934</v>
      </c>
      <c r="BM33" s="10" t="n">
        <f aca="false">-1666.67*Escalation!$B$64</f>
        <v>-1840.13835226934</v>
      </c>
      <c r="BN33" s="10" t="n">
        <f aca="false">-1666.67*Escalation!$B$65</f>
        <v>-1840.13835226934</v>
      </c>
      <c r="BO33" s="10" t="n">
        <f aca="false">-1666.67*Escalation!$B$66</f>
        <v>-1840.13835226934</v>
      </c>
      <c r="BP33" s="10" t="n">
        <f aca="false">-1666.67*Escalation!$B$67</f>
        <v>-1840.13835226934</v>
      </c>
      <c r="BQ33" s="10" t="n">
        <f aca="false">-1666.67*Escalation!$B$68</f>
        <v>-1840.13835226934</v>
      </c>
      <c r="BR33" s="10" t="n">
        <f aca="false">-1666.67*Escalation!$B$69</f>
        <v>-1840.13835226934</v>
      </c>
      <c r="BS33" s="10" t="n">
        <f aca="false">-1666.67*Escalation!$B$70</f>
        <v>-1840.13835226934</v>
      </c>
      <c r="BT33" s="10" t="n">
        <f aca="false">-1666.67*Escalation!$B$71</f>
        <v>-1840.13835226934</v>
      </c>
      <c r="BU33" s="10" t="n">
        <f aca="false">-1666.67*Escalation!$B$72</f>
        <v>-1840.13835226934</v>
      </c>
      <c r="BV33" s="10" t="n">
        <f aca="false">-1666.67*Escalation!$B$73</f>
        <v>-1840.13835226934</v>
      </c>
      <c r="BW33" s="10" t="n">
        <f aca="false">-1666.67*Escalation!$B$74</f>
        <v>-1876.94111931473</v>
      </c>
      <c r="BX33" s="10" t="n">
        <f aca="false">-1666.67*Escalation!$B$75</f>
        <v>-1876.94111931473</v>
      </c>
      <c r="BY33" s="10" t="n">
        <f aca="false">-1666.67*Escalation!$B$76</f>
        <v>-1876.94111931473</v>
      </c>
      <c r="BZ33" s="10" t="n">
        <f aca="false">-1666.67*Escalation!$B$77</f>
        <v>-1876.94111931473</v>
      </c>
      <c r="CA33" s="10" t="n">
        <f aca="false">-1666.67*Escalation!$B$78</f>
        <v>-1876.94111931473</v>
      </c>
      <c r="CB33" s="10" t="n">
        <f aca="false">-1666.67*Escalation!$B$79</f>
        <v>-1876.94111931473</v>
      </c>
      <c r="CC33" s="10" t="n">
        <f aca="false">-1666.67*Escalation!$B$80</f>
        <v>-1876.94111931473</v>
      </c>
      <c r="CD33" s="10" t="n">
        <f aca="false">-1666.67*Escalation!$B$81</f>
        <v>-1876.94111931473</v>
      </c>
      <c r="CE33" s="10" t="n">
        <f aca="false">-1666.67*Escalation!$B$82</f>
        <v>-1876.94111931473</v>
      </c>
      <c r="CF33" s="10" t="n">
        <f aca="false">-1666.67*Escalation!$B$83</f>
        <v>-1876.94111931473</v>
      </c>
      <c r="CG33" s="10" t="n">
        <f aca="false">-1666.67*Escalation!$B$84</f>
        <v>-1876.94111931473</v>
      </c>
      <c r="CH33" s="10" t="n">
        <f aca="false">-1666.67*Escalation!$B$85</f>
        <v>-1876.94111931473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-1000*Escalation!$B$2</f>
        <v>-1000</v>
      </c>
      <c r="D34" s="10" t="n">
        <f aca="false">-1000*Escalation!$B$3</f>
        <v>-1000</v>
      </c>
      <c r="E34" s="10" t="n">
        <f aca="false">-1000*Escalation!$B$4</f>
        <v>-1000</v>
      </c>
      <c r="F34" s="10" t="n">
        <f aca="false">-1000*Escalation!$B$5</f>
        <v>-1000</v>
      </c>
      <c r="G34" s="10" t="n">
        <f aca="false">-1000*Escalation!$B$6</f>
        <v>-1000</v>
      </c>
      <c r="H34" s="10" t="n">
        <f aca="false">-1000*Escalation!$B$7</f>
        <v>-1000</v>
      </c>
      <c r="I34" s="10" t="n">
        <f aca="false">-1000*Escalation!$B$8</f>
        <v>-1000</v>
      </c>
      <c r="J34" s="10" t="n">
        <f aca="false">-1000*Escalation!$B$9</f>
        <v>-1000</v>
      </c>
      <c r="K34" s="10" t="n">
        <f aca="false">-1000*Escalation!$B$10</f>
        <v>-1000</v>
      </c>
      <c r="L34" s="10" t="n">
        <f aca="false">-1000*Escalation!$B$11</f>
        <v>-1000</v>
      </c>
      <c r="M34" s="10" t="n">
        <f aca="false">-1000*Escalation!$B$12</f>
        <v>-1000</v>
      </c>
      <c r="N34" s="10" t="n">
        <f aca="false">-1000*Escalation!$B$13</f>
        <v>-1000</v>
      </c>
      <c r="O34" s="10" t="n">
        <f aca="false">-1000*Escalation!$B$14</f>
        <v>-1020</v>
      </c>
      <c r="P34" s="10" t="n">
        <f aca="false">-1000*Escalation!$B$15</f>
        <v>-1020</v>
      </c>
      <c r="Q34" s="10" t="n">
        <f aca="false">-1000*Escalation!$B$16</f>
        <v>-1020</v>
      </c>
      <c r="R34" s="10" t="n">
        <f aca="false">-1000*Escalation!$B$17</f>
        <v>-1020</v>
      </c>
      <c r="S34" s="10" t="n">
        <f aca="false">-1000*Escalation!$B$18</f>
        <v>-1020</v>
      </c>
      <c r="T34" s="10" t="n">
        <f aca="false">-1000*Escalation!$B$19</f>
        <v>-1020</v>
      </c>
      <c r="U34" s="10" t="n">
        <f aca="false">-1000*Escalation!$B$20</f>
        <v>-1020</v>
      </c>
      <c r="V34" s="10" t="n">
        <f aca="false">-1000*Escalation!$B$21</f>
        <v>-1020</v>
      </c>
      <c r="W34" s="10" t="n">
        <f aca="false">-1000*Escalation!$B$22</f>
        <v>-1020</v>
      </c>
      <c r="X34" s="10" t="n">
        <f aca="false">-1000*Escalation!$B$23</f>
        <v>-1020</v>
      </c>
      <c r="Y34" s="10" t="n">
        <f aca="false">-1000*Escalation!$B$24</f>
        <v>-1020</v>
      </c>
      <c r="Z34" s="10" t="n">
        <f aca="false">-1000*Escalation!$B$25</f>
        <v>-1020</v>
      </c>
      <c r="AA34" s="10" t="n">
        <f aca="false">-1000*Escalation!$B$26</f>
        <v>-1040.4</v>
      </c>
      <c r="AB34" s="10" t="n">
        <f aca="false">-1000*Escalation!$B$27</f>
        <v>-1040.4</v>
      </c>
      <c r="AC34" s="10" t="n">
        <f aca="false">-1000*Escalation!$B$28</f>
        <v>-1040.4</v>
      </c>
      <c r="AD34" s="10" t="n">
        <f aca="false">-1000*Escalation!$B$29</f>
        <v>-1040.4</v>
      </c>
      <c r="AE34" s="10" t="n">
        <f aca="false">-1000*Escalation!$B$30</f>
        <v>-1040.4</v>
      </c>
      <c r="AF34" s="10" t="n">
        <f aca="false">-1000*Escalation!$B$31</f>
        <v>-1040.4</v>
      </c>
      <c r="AG34" s="10" t="n">
        <f aca="false">-1000*Escalation!$B$32</f>
        <v>-1040.4</v>
      </c>
      <c r="AH34" s="10" t="n">
        <f aca="false">-1000*Escalation!$B$33</f>
        <v>-1040.4</v>
      </c>
      <c r="AI34" s="10" t="n">
        <f aca="false">-1000*Escalation!$B$34</f>
        <v>-1040.4</v>
      </c>
      <c r="AJ34" s="10" t="n">
        <f aca="false">-1000*Escalation!$B$35</f>
        <v>-1040.4</v>
      </c>
      <c r="AK34" s="10" t="n">
        <f aca="false">-1000*Escalation!$B$36</f>
        <v>-1040.4</v>
      </c>
      <c r="AL34" s="10" t="n">
        <f aca="false">-1000*Escalation!$B$37</f>
        <v>-1040.4</v>
      </c>
      <c r="AM34" s="10" t="n">
        <f aca="false">-1000*Escalation!$B$38</f>
        <v>-1061.208</v>
      </c>
      <c r="AN34" s="10" t="n">
        <f aca="false">-1000*Escalation!$B$39</f>
        <v>-1061.208</v>
      </c>
      <c r="AO34" s="10" t="n">
        <f aca="false">-1000*Escalation!$B$40</f>
        <v>-1061.208</v>
      </c>
      <c r="AP34" s="10" t="n">
        <f aca="false">-1000*Escalation!$B$41</f>
        <v>-1061.208</v>
      </c>
      <c r="AQ34" s="10" t="n">
        <f aca="false">-1000*Escalation!$B$42</f>
        <v>-1061.208</v>
      </c>
      <c r="AR34" s="10" t="n">
        <f aca="false">-1000*Escalation!$B$43</f>
        <v>-1061.208</v>
      </c>
      <c r="AS34" s="10" t="n">
        <f aca="false">-1000*Escalation!$B$44</f>
        <v>-1061.208</v>
      </c>
      <c r="AT34" s="10" t="n">
        <f aca="false">-1000*Escalation!$B$45</f>
        <v>-1061.208</v>
      </c>
      <c r="AU34" s="10" t="n">
        <f aca="false">-1000*Escalation!$B$46</f>
        <v>-1061.208</v>
      </c>
      <c r="AV34" s="10" t="n">
        <f aca="false">-1000*Escalation!$B$47</f>
        <v>-1061.208</v>
      </c>
      <c r="AW34" s="10" t="n">
        <f aca="false">-1000*Escalation!$B$48</f>
        <v>-1061.208</v>
      </c>
      <c r="AX34" s="10" t="n">
        <f aca="false">-1000*Escalation!$B$49</f>
        <v>-1061.208</v>
      </c>
      <c r="AY34" s="10" t="n">
        <f aca="false">-1000*Escalation!$B$50</f>
        <v>-1082.43216</v>
      </c>
      <c r="AZ34" s="10" t="n">
        <f aca="false">-1000*Escalation!$B$51</f>
        <v>-1082.43216</v>
      </c>
      <c r="BA34" s="10" t="n">
        <f aca="false">-1000*Escalation!$B$52</f>
        <v>-1082.43216</v>
      </c>
      <c r="BB34" s="10" t="n">
        <f aca="false">-1000*Escalation!$B$53</f>
        <v>-1082.43216</v>
      </c>
      <c r="BC34" s="10" t="n">
        <f aca="false">-1000*Escalation!$B$54</f>
        <v>-1082.43216</v>
      </c>
      <c r="BD34" s="10" t="n">
        <f aca="false">-1000*Escalation!$B$55</f>
        <v>-1082.43216</v>
      </c>
      <c r="BE34" s="10" t="n">
        <f aca="false">-1000*Escalation!$B$56</f>
        <v>-1082.43216</v>
      </c>
      <c r="BF34" s="10" t="n">
        <f aca="false">-1000*Escalation!$B$57</f>
        <v>-1082.43216</v>
      </c>
      <c r="BG34" s="10" t="n">
        <f aca="false">-1000*Escalation!$B$58</f>
        <v>-1082.43216</v>
      </c>
      <c r="BH34" s="10" t="n">
        <f aca="false">-1000*Escalation!$B$59</f>
        <v>-1082.43216</v>
      </c>
      <c r="BI34" s="10" t="n">
        <f aca="false">-1000*Escalation!$B$60</f>
        <v>-1082.43216</v>
      </c>
      <c r="BJ34" s="10" t="n">
        <f aca="false">-1000*Escalation!$B$61</f>
        <v>-1082.43216</v>
      </c>
      <c r="BK34" s="10" t="n">
        <f aca="false">-1000*Escalation!$B$62</f>
        <v>-1104.0808032</v>
      </c>
      <c r="BL34" s="10" t="n">
        <f aca="false">-1000*Escalation!$B$63</f>
        <v>-1104.0808032</v>
      </c>
      <c r="BM34" s="10" t="n">
        <f aca="false">-1000*Escalation!$B$64</f>
        <v>-1104.0808032</v>
      </c>
      <c r="BN34" s="10" t="n">
        <f aca="false">-1000*Escalation!$B$65</f>
        <v>-1104.0808032</v>
      </c>
      <c r="BO34" s="10" t="n">
        <f aca="false">-1000*Escalation!$B$66</f>
        <v>-1104.0808032</v>
      </c>
      <c r="BP34" s="10" t="n">
        <f aca="false">-1000*Escalation!$B$67</f>
        <v>-1104.0808032</v>
      </c>
      <c r="BQ34" s="10" t="n">
        <f aca="false">-1000*Escalation!$B$68</f>
        <v>-1104.0808032</v>
      </c>
      <c r="BR34" s="10" t="n">
        <f aca="false">-1000*Escalation!$B$69</f>
        <v>-1104.0808032</v>
      </c>
      <c r="BS34" s="10" t="n">
        <f aca="false">-1000*Escalation!$B$70</f>
        <v>-1104.0808032</v>
      </c>
      <c r="BT34" s="10" t="n">
        <f aca="false">-1000*Escalation!$B$71</f>
        <v>-1104.0808032</v>
      </c>
      <c r="BU34" s="10" t="n">
        <f aca="false">-1000*Escalation!$B$72</f>
        <v>-1104.0808032</v>
      </c>
      <c r="BV34" s="10" t="n">
        <f aca="false">-1000*Escalation!$B$73</f>
        <v>-1104.0808032</v>
      </c>
      <c r="BW34" s="10" t="n">
        <f aca="false">-1000*Escalation!$B$74</f>
        <v>-1126.162419264</v>
      </c>
      <c r="BX34" s="10" t="n">
        <f aca="false">-1000*Escalation!$B$75</f>
        <v>-1126.162419264</v>
      </c>
      <c r="BY34" s="10" t="n">
        <f aca="false">-1000*Escalation!$B$76</f>
        <v>-1126.162419264</v>
      </c>
      <c r="BZ34" s="10" t="n">
        <f aca="false">-1000*Escalation!$B$77</f>
        <v>-1126.162419264</v>
      </c>
      <c r="CA34" s="10" t="n">
        <f aca="false">-1000*Escalation!$B$78</f>
        <v>-1126.162419264</v>
      </c>
      <c r="CB34" s="10" t="n">
        <f aca="false">-1000*Escalation!$B$79</f>
        <v>-1126.162419264</v>
      </c>
      <c r="CC34" s="10" t="n">
        <f aca="false">-1000*Escalation!$B$80</f>
        <v>-1126.162419264</v>
      </c>
      <c r="CD34" s="10" t="n">
        <f aca="false">-1000*Escalation!$B$81</f>
        <v>-1126.162419264</v>
      </c>
      <c r="CE34" s="10" t="n">
        <f aca="false">-1000*Escalation!$B$82</f>
        <v>-1126.162419264</v>
      </c>
      <c r="CF34" s="10" t="n">
        <f aca="false">-1000*Escalation!$B$83</f>
        <v>-1126.162419264</v>
      </c>
      <c r="CG34" s="10" t="n">
        <f aca="false">-1000*Escalation!$B$84</f>
        <v>-1126.162419264</v>
      </c>
      <c r="CH34" s="10" t="n">
        <f aca="false">-1000*Escalation!$B$85</f>
        <v>-1126.162419264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-4166.67*Escalation!$B$2</f>
        <v>-4166.67</v>
      </c>
      <c r="D35" s="10" t="n">
        <f aca="false">-4166.67*Escalation!$B$3</f>
        <v>-4166.67</v>
      </c>
      <c r="E35" s="10" t="n">
        <f aca="false">-4166.67*Escalation!$B$4</f>
        <v>-4166.67</v>
      </c>
      <c r="F35" s="10" t="n">
        <f aca="false">-4166.67*Escalation!$B$5</f>
        <v>-4166.67</v>
      </c>
      <c r="G35" s="10" t="n">
        <f aca="false">-4166.67*Escalation!$B$6</f>
        <v>-4166.67</v>
      </c>
      <c r="H35" s="10" t="n">
        <f aca="false">-4166.67*Escalation!$B$7</f>
        <v>-4166.67</v>
      </c>
      <c r="I35" s="10" t="n">
        <f aca="false">-4166.67*Escalation!$B$8</f>
        <v>-4166.67</v>
      </c>
      <c r="J35" s="10" t="n">
        <f aca="false">-4166.67*Escalation!$B$9</f>
        <v>-4166.67</v>
      </c>
      <c r="K35" s="10" t="n">
        <f aca="false">-4166.67*Escalation!$B$10</f>
        <v>-4166.67</v>
      </c>
      <c r="L35" s="10" t="n">
        <f aca="false">-4166.67*Escalation!$B$11</f>
        <v>-4166.67</v>
      </c>
      <c r="M35" s="10" t="n">
        <f aca="false">-4166.67*Escalation!$B$12</f>
        <v>-4166.67</v>
      </c>
      <c r="N35" s="10" t="n">
        <f aca="false">-4166.67*Escalation!$B$13</f>
        <v>-4166.67</v>
      </c>
      <c r="O35" s="10" t="n">
        <f aca="false">-4166.67*Escalation!$B$14</f>
        <v>-4250.0034</v>
      </c>
      <c r="P35" s="10" t="n">
        <f aca="false">-4166.67*Escalation!$B$15</f>
        <v>-4250.0034</v>
      </c>
      <c r="Q35" s="10" t="n">
        <f aca="false">-4166.67*Escalation!$B$16</f>
        <v>-4250.0034</v>
      </c>
      <c r="R35" s="10" t="n">
        <f aca="false">-4166.67*Escalation!$B$17</f>
        <v>-4250.0034</v>
      </c>
      <c r="S35" s="10" t="n">
        <f aca="false">-4166.67*Escalation!$B$18</f>
        <v>-4250.0034</v>
      </c>
      <c r="T35" s="10" t="n">
        <f aca="false">-4166.67*Escalation!$B$19</f>
        <v>-4250.0034</v>
      </c>
      <c r="U35" s="10" t="n">
        <f aca="false">-4166.67*Escalation!$B$20</f>
        <v>-4250.0034</v>
      </c>
      <c r="V35" s="10" t="n">
        <f aca="false">-4166.67*Escalation!$B$21</f>
        <v>-4250.0034</v>
      </c>
      <c r="W35" s="10" t="n">
        <f aca="false">-4166.67*Escalation!$B$22</f>
        <v>-4250.0034</v>
      </c>
      <c r="X35" s="10" t="n">
        <f aca="false">-4166.67*Escalation!$B$23</f>
        <v>-4250.0034</v>
      </c>
      <c r="Y35" s="10" t="n">
        <f aca="false">-4166.67*Escalation!$B$24</f>
        <v>-4250.0034</v>
      </c>
      <c r="Z35" s="10" t="n">
        <f aca="false">-4166.67*Escalation!$B$25</f>
        <v>-4250.0034</v>
      </c>
      <c r="AA35" s="10" t="n">
        <f aca="false">-4166.67*Escalation!$B$26</f>
        <v>-4335.003468</v>
      </c>
      <c r="AB35" s="10" t="n">
        <f aca="false">-4166.67*Escalation!$B$27</f>
        <v>-4335.003468</v>
      </c>
      <c r="AC35" s="10" t="n">
        <f aca="false">-4166.67*Escalation!$B$28</f>
        <v>-4335.003468</v>
      </c>
      <c r="AD35" s="10" t="n">
        <f aca="false">-4166.67*Escalation!$B$29</f>
        <v>-4335.003468</v>
      </c>
      <c r="AE35" s="10" t="n">
        <f aca="false">-4166.67*Escalation!$B$30</f>
        <v>-4335.003468</v>
      </c>
      <c r="AF35" s="10" t="n">
        <f aca="false">-4166.67*Escalation!$B$31</f>
        <v>-4335.003468</v>
      </c>
      <c r="AG35" s="10" t="n">
        <f aca="false">-4166.67*Escalation!$B$32</f>
        <v>-4335.003468</v>
      </c>
      <c r="AH35" s="10" t="n">
        <f aca="false">-4166.67*Escalation!$B$33</f>
        <v>-4335.003468</v>
      </c>
      <c r="AI35" s="10" t="n">
        <f aca="false">-4166.67*Escalation!$B$34</f>
        <v>-4335.003468</v>
      </c>
      <c r="AJ35" s="10" t="n">
        <f aca="false">-4166.67*Escalation!$B$35</f>
        <v>-4335.003468</v>
      </c>
      <c r="AK35" s="10" t="n">
        <f aca="false">-4166.67*Escalation!$B$36</f>
        <v>-4335.003468</v>
      </c>
      <c r="AL35" s="10" t="n">
        <f aca="false">-4166.67*Escalation!$B$37</f>
        <v>-4335.003468</v>
      </c>
      <c r="AM35" s="10" t="n">
        <f aca="false">-4166.67*Escalation!$B$38</f>
        <v>-4421.70353736</v>
      </c>
      <c r="AN35" s="10" t="n">
        <f aca="false">-4166.67*Escalation!$B$39</f>
        <v>-4421.70353736</v>
      </c>
      <c r="AO35" s="10" t="n">
        <f aca="false">-4166.67*Escalation!$B$40</f>
        <v>-4421.70353736</v>
      </c>
      <c r="AP35" s="10" t="n">
        <f aca="false">-4166.67*Escalation!$B$41</f>
        <v>-4421.70353736</v>
      </c>
      <c r="AQ35" s="10" t="n">
        <f aca="false">-4166.67*Escalation!$B$42</f>
        <v>-4421.70353736</v>
      </c>
      <c r="AR35" s="10" t="n">
        <f aca="false">-4166.67*Escalation!$B$43</f>
        <v>-4421.70353736</v>
      </c>
      <c r="AS35" s="10" t="n">
        <f aca="false">-4166.67*Escalation!$B$44</f>
        <v>-4421.70353736</v>
      </c>
      <c r="AT35" s="10" t="n">
        <f aca="false">-4166.67*Escalation!$B$45</f>
        <v>-4421.70353736</v>
      </c>
      <c r="AU35" s="10" t="n">
        <f aca="false">-4166.67*Escalation!$B$46</f>
        <v>-4421.70353736</v>
      </c>
      <c r="AV35" s="10" t="n">
        <f aca="false">-4166.67*Escalation!$B$47</f>
        <v>-4421.70353736</v>
      </c>
      <c r="AW35" s="10" t="n">
        <f aca="false">-4166.67*Escalation!$B$48</f>
        <v>-4421.70353736</v>
      </c>
      <c r="AX35" s="10" t="n">
        <f aca="false">-4166.67*Escalation!$B$49</f>
        <v>-4421.70353736</v>
      </c>
      <c r="AY35" s="10" t="n">
        <f aca="false">-4166.67*Escalation!$B$50</f>
        <v>-4510.1376081072</v>
      </c>
      <c r="AZ35" s="10" t="n">
        <f aca="false">-4166.67*Escalation!$B$51</f>
        <v>-4510.1376081072</v>
      </c>
      <c r="BA35" s="10" t="n">
        <f aca="false">-4166.67*Escalation!$B$52</f>
        <v>-4510.1376081072</v>
      </c>
      <c r="BB35" s="10" t="n">
        <f aca="false">-4166.67*Escalation!$B$53</f>
        <v>-4510.1376081072</v>
      </c>
      <c r="BC35" s="10" t="n">
        <f aca="false">-4166.67*Escalation!$B$54</f>
        <v>-4510.1376081072</v>
      </c>
      <c r="BD35" s="10" t="n">
        <f aca="false">-4166.67*Escalation!$B$55</f>
        <v>-4510.1376081072</v>
      </c>
      <c r="BE35" s="10" t="n">
        <f aca="false">-4166.67*Escalation!$B$56</f>
        <v>-4510.1376081072</v>
      </c>
      <c r="BF35" s="10" t="n">
        <f aca="false">-4166.67*Escalation!$B$57</f>
        <v>-4510.1376081072</v>
      </c>
      <c r="BG35" s="10" t="n">
        <f aca="false">-4166.67*Escalation!$B$58</f>
        <v>-4510.1376081072</v>
      </c>
      <c r="BH35" s="10" t="n">
        <f aca="false">-4166.67*Escalation!$B$59</f>
        <v>-4510.1376081072</v>
      </c>
      <c r="BI35" s="10" t="n">
        <f aca="false">-4166.67*Escalation!$B$60</f>
        <v>-4510.1376081072</v>
      </c>
      <c r="BJ35" s="10" t="n">
        <f aca="false">-4166.67*Escalation!$B$61</f>
        <v>-4510.1376081072</v>
      </c>
      <c r="BK35" s="10" t="n">
        <f aca="false">-4166.67*Escalation!$B$62</f>
        <v>-4600.34036026934</v>
      </c>
      <c r="BL35" s="10" t="n">
        <f aca="false">-4166.67*Escalation!$B$63</f>
        <v>-4600.34036026934</v>
      </c>
      <c r="BM35" s="10" t="n">
        <f aca="false">-4166.67*Escalation!$B$64</f>
        <v>-4600.34036026934</v>
      </c>
      <c r="BN35" s="10" t="n">
        <f aca="false">-4166.67*Escalation!$B$65</f>
        <v>-4600.34036026934</v>
      </c>
      <c r="BO35" s="10" t="n">
        <f aca="false">-4166.67*Escalation!$B$66</f>
        <v>-4600.34036026934</v>
      </c>
      <c r="BP35" s="10" t="n">
        <f aca="false">-4166.67*Escalation!$B$67</f>
        <v>-4600.34036026934</v>
      </c>
      <c r="BQ35" s="10" t="n">
        <f aca="false">-4166.67*Escalation!$B$68</f>
        <v>-4600.34036026934</v>
      </c>
      <c r="BR35" s="10" t="n">
        <f aca="false">-4166.67*Escalation!$B$69</f>
        <v>-4600.34036026934</v>
      </c>
      <c r="BS35" s="10" t="n">
        <f aca="false">-4166.67*Escalation!$B$70</f>
        <v>-4600.34036026934</v>
      </c>
      <c r="BT35" s="10" t="n">
        <f aca="false">-4166.67*Escalation!$B$71</f>
        <v>-4600.34036026934</v>
      </c>
      <c r="BU35" s="10" t="n">
        <f aca="false">-4166.67*Escalation!$B$72</f>
        <v>-4600.34036026934</v>
      </c>
      <c r="BV35" s="10" t="n">
        <f aca="false">-4166.67*Escalation!$B$73</f>
        <v>-4600.34036026934</v>
      </c>
      <c r="BW35" s="10" t="n">
        <f aca="false">-4166.67*Escalation!$B$74</f>
        <v>-4692.34716747473</v>
      </c>
      <c r="BX35" s="10" t="n">
        <f aca="false">-4166.67*Escalation!$B$75</f>
        <v>-4692.34716747473</v>
      </c>
      <c r="BY35" s="10" t="n">
        <f aca="false">-4166.67*Escalation!$B$76</f>
        <v>-4692.34716747473</v>
      </c>
      <c r="BZ35" s="10" t="n">
        <f aca="false">-4166.67*Escalation!$B$77</f>
        <v>-4692.34716747473</v>
      </c>
      <c r="CA35" s="10" t="n">
        <f aca="false">-4166.67*Escalation!$B$78</f>
        <v>-4692.34716747473</v>
      </c>
      <c r="CB35" s="10" t="n">
        <f aca="false">-4166.67*Escalation!$B$79</f>
        <v>-4692.34716747473</v>
      </c>
      <c r="CC35" s="10" t="n">
        <f aca="false">-4166.67*Escalation!$B$80</f>
        <v>-4692.34716747473</v>
      </c>
      <c r="CD35" s="10" t="n">
        <f aca="false">-4166.67*Escalation!$B$81</f>
        <v>-4692.34716747473</v>
      </c>
      <c r="CE35" s="10" t="n">
        <f aca="false">-4166.67*Escalation!$B$82</f>
        <v>-4692.34716747473</v>
      </c>
      <c r="CF35" s="10" t="n">
        <f aca="false">-4166.67*Escalation!$B$83</f>
        <v>-4692.34716747473</v>
      </c>
      <c r="CG35" s="10" t="n">
        <f aca="false">-4166.67*Escalation!$B$84</f>
        <v>-4692.34716747473</v>
      </c>
      <c r="CH35" s="10" t="n">
        <f aca="false">-4166.67*Escalation!$B$85</f>
        <v>-4692.34716747473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-1000*Escalation!$B$2</f>
        <v>-1000</v>
      </c>
      <c r="D36" s="10" t="n">
        <f aca="false">-1000*Escalation!$B$3</f>
        <v>-1000</v>
      </c>
      <c r="E36" s="10" t="n">
        <f aca="false">-1000*Escalation!$B$4</f>
        <v>-1000</v>
      </c>
      <c r="F36" s="10" t="n">
        <f aca="false">-1000*Escalation!$B$5</f>
        <v>-1000</v>
      </c>
      <c r="G36" s="10" t="n">
        <f aca="false">-1000*Escalation!$B$6</f>
        <v>-1000</v>
      </c>
      <c r="H36" s="10" t="n">
        <f aca="false">-1000*Escalation!$B$7</f>
        <v>-1000</v>
      </c>
      <c r="I36" s="10" t="n">
        <f aca="false">-1000*Escalation!$B$8</f>
        <v>-1000</v>
      </c>
      <c r="J36" s="10" t="n">
        <f aca="false">-1000*Escalation!$B$9</f>
        <v>-1000</v>
      </c>
      <c r="K36" s="10" t="n">
        <f aca="false">-1000*Escalation!$B$10</f>
        <v>-1000</v>
      </c>
      <c r="L36" s="10" t="n">
        <f aca="false">-1000*Escalation!$B$11</f>
        <v>-1000</v>
      </c>
      <c r="M36" s="10" t="n">
        <f aca="false">-1000*Escalation!$B$12</f>
        <v>-1000</v>
      </c>
      <c r="N36" s="10" t="n">
        <f aca="false">-1000*Escalation!$B$13</f>
        <v>-1000</v>
      </c>
      <c r="O36" s="10" t="n">
        <f aca="false">-1000*Escalation!$B$14</f>
        <v>-1020</v>
      </c>
      <c r="P36" s="10" t="n">
        <f aca="false">-1000*Escalation!$B$15</f>
        <v>-1020</v>
      </c>
      <c r="Q36" s="10" t="n">
        <f aca="false">-1000*Escalation!$B$16</f>
        <v>-1020</v>
      </c>
      <c r="R36" s="10" t="n">
        <f aca="false">-1000*Escalation!$B$17</f>
        <v>-1020</v>
      </c>
      <c r="S36" s="10" t="n">
        <f aca="false">-1000*Escalation!$B$18</f>
        <v>-1020</v>
      </c>
      <c r="T36" s="10" t="n">
        <f aca="false">-1000*Escalation!$B$19</f>
        <v>-1020</v>
      </c>
      <c r="U36" s="10" t="n">
        <f aca="false">-1000*Escalation!$B$20</f>
        <v>-1020</v>
      </c>
      <c r="V36" s="10" t="n">
        <f aca="false">-1000*Escalation!$B$21</f>
        <v>-1020</v>
      </c>
      <c r="W36" s="10" t="n">
        <f aca="false">-1000*Escalation!$B$22</f>
        <v>-1020</v>
      </c>
      <c r="X36" s="10" t="n">
        <f aca="false">-1000*Escalation!$B$23</f>
        <v>-1020</v>
      </c>
      <c r="Y36" s="10" t="n">
        <f aca="false">-1000*Escalation!$B$24</f>
        <v>-1020</v>
      </c>
      <c r="Z36" s="10" t="n">
        <f aca="false">-1000*Escalation!$B$25</f>
        <v>-1020</v>
      </c>
      <c r="AA36" s="10" t="n">
        <f aca="false">-1000*Escalation!$B$26</f>
        <v>-1040.4</v>
      </c>
      <c r="AB36" s="10" t="n">
        <f aca="false">-1000*Escalation!$B$27</f>
        <v>-1040.4</v>
      </c>
      <c r="AC36" s="10" t="n">
        <f aca="false">-1000*Escalation!$B$28</f>
        <v>-1040.4</v>
      </c>
      <c r="AD36" s="10" t="n">
        <f aca="false">-1000*Escalation!$B$29</f>
        <v>-1040.4</v>
      </c>
      <c r="AE36" s="10" t="n">
        <f aca="false">-1000*Escalation!$B$30</f>
        <v>-1040.4</v>
      </c>
      <c r="AF36" s="10" t="n">
        <f aca="false">-1000*Escalation!$B$31</f>
        <v>-1040.4</v>
      </c>
      <c r="AG36" s="10" t="n">
        <f aca="false">-1000*Escalation!$B$32</f>
        <v>-1040.4</v>
      </c>
      <c r="AH36" s="10" t="n">
        <f aca="false">-1000*Escalation!$B$33</f>
        <v>-1040.4</v>
      </c>
      <c r="AI36" s="10" t="n">
        <f aca="false">-1000*Escalation!$B$34</f>
        <v>-1040.4</v>
      </c>
      <c r="AJ36" s="10" t="n">
        <f aca="false">-1000*Escalation!$B$35</f>
        <v>-1040.4</v>
      </c>
      <c r="AK36" s="10" t="n">
        <f aca="false">-1000*Escalation!$B$36</f>
        <v>-1040.4</v>
      </c>
      <c r="AL36" s="10" t="n">
        <f aca="false">-1000*Escalation!$B$37</f>
        <v>-1040.4</v>
      </c>
      <c r="AM36" s="10" t="n">
        <f aca="false">-1000*Escalation!$B$38</f>
        <v>-1061.208</v>
      </c>
      <c r="AN36" s="10" t="n">
        <f aca="false">-1000*Escalation!$B$39</f>
        <v>-1061.208</v>
      </c>
      <c r="AO36" s="10" t="n">
        <f aca="false">-1000*Escalation!$B$40</f>
        <v>-1061.208</v>
      </c>
      <c r="AP36" s="10" t="n">
        <f aca="false">-1000*Escalation!$B$41</f>
        <v>-1061.208</v>
      </c>
      <c r="AQ36" s="10" t="n">
        <f aca="false">-1000*Escalation!$B$42</f>
        <v>-1061.208</v>
      </c>
      <c r="AR36" s="10" t="n">
        <f aca="false">-1000*Escalation!$B$43</f>
        <v>-1061.208</v>
      </c>
      <c r="AS36" s="10" t="n">
        <f aca="false">-1000*Escalation!$B$44</f>
        <v>-1061.208</v>
      </c>
      <c r="AT36" s="10" t="n">
        <f aca="false">-1000*Escalation!$B$45</f>
        <v>-1061.208</v>
      </c>
      <c r="AU36" s="10" t="n">
        <f aca="false">-1000*Escalation!$B$46</f>
        <v>-1061.208</v>
      </c>
      <c r="AV36" s="10" t="n">
        <f aca="false">-1000*Escalation!$B$47</f>
        <v>-1061.208</v>
      </c>
      <c r="AW36" s="10" t="n">
        <f aca="false">-1000*Escalation!$B$48</f>
        <v>-1061.208</v>
      </c>
      <c r="AX36" s="10" t="n">
        <f aca="false">-1000*Escalation!$B$49</f>
        <v>-1061.208</v>
      </c>
      <c r="AY36" s="10" t="n">
        <f aca="false">-1000*Escalation!$B$50</f>
        <v>-1082.43216</v>
      </c>
      <c r="AZ36" s="10" t="n">
        <f aca="false">-1000*Escalation!$B$51</f>
        <v>-1082.43216</v>
      </c>
      <c r="BA36" s="10" t="n">
        <f aca="false">-1000*Escalation!$B$52</f>
        <v>-1082.43216</v>
      </c>
      <c r="BB36" s="10" t="n">
        <f aca="false">-1000*Escalation!$B$53</f>
        <v>-1082.43216</v>
      </c>
      <c r="BC36" s="10" t="n">
        <f aca="false">-1000*Escalation!$B$54</f>
        <v>-1082.43216</v>
      </c>
      <c r="BD36" s="10" t="n">
        <f aca="false">-1000*Escalation!$B$55</f>
        <v>-1082.43216</v>
      </c>
      <c r="BE36" s="10" t="n">
        <f aca="false">-1000*Escalation!$B$56</f>
        <v>-1082.43216</v>
      </c>
      <c r="BF36" s="10" t="n">
        <f aca="false">-1000*Escalation!$B$57</f>
        <v>-1082.43216</v>
      </c>
      <c r="BG36" s="10" t="n">
        <f aca="false">-1000*Escalation!$B$58</f>
        <v>-1082.43216</v>
      </c>
      <c r="BH36" s="10" t="n">
        <f aca="false">-1000*Escalation!$B$59</f>
        <v>-1082.43216</v>
      </c>
      <c r="BI36" s="10" t="n">
        <f aca="false">-1000*Escalation!$B$60</f>
        <v>-1082.43216</v>
      </c>
      <c r="BJ36" s="10" t="n">
        <f aca="false">-1000*Escalation!$B$61</f>
        <v>-1082.43216</v>
      </c>
      <c r="BK36" s="10" t="n">
        <f aca="false">-1000*Escalation!$B$62</f>
        <v>-1104.0808032</v>
      </c>
      <c r="BL36" s="10" t="n">
        <f aca="false">-1000*Escalation!$B$63</f>
        <v>-1104.0808032</v>
      </c>
      <c r="BM36" s="10" t="n">
        <f aca="false">-1000*Escalation!$B$64</f>
        <v>-1104.0808032</v>
      </c>
      <c r="BN36" s="10" t="n">
        <f aca="false">-1000*Escalation!$B$65</f>
        <v>-1104.0808032</v>
      </c>
      <c r="BO36" s="10" t="n">
        <f aca="false">-1000*Escalation!$B$66</f>
        <v>-1104.0808032</v>
      </c>
      <c r="BP36" s="10" t="n">
        <f aca="false">-1000*Escalation!$B$67</f>
        <v>-1104.0808032</v>
      </c>
      <c r="BQ36" s="10" t="n">
        <f aca="false">-1000*Escalation!$B$68</f>
        <v>-1104.0808032</v>
      </c>
      <c r="BR36" s="10" t="n">
        <f aca="false">-1000*Escalation!$B$69</f>
        <v>-1104.0808032</v>
      </c>
      <c r="BS36" s="10" t="n">
        <f aca="false">-1000*Escalation!$B$70</f>
        <v>-1104.0808032</v>
      </c>
      <c r="BT36" s="10" t="n">
        <f aca="false">-1000*Escalation!$B$71</f>
        <v>-1104.0808032</v>
      </c>
      <c r="BU36" s="10" t="n">
        <f aca="false">-1000*Escalation!$B$72</f>
        <v>-1104.0808032</v>
      </c>
      <c r="BV36" s="10" t="n">
        <f aca="false">-1000*Escalation!$B$73</f>
        <v>-1104.0808032</v>
      </c>
      <c r="BW36" s="10" t="n">
        <f aca="false">-1000*Escalation!$B$74</f>
        <v>-1126.162419264</v>
      </c>
      <c r="BX36" s="10" t="n">
        <f aca="false">-1000*Escalation!$B$75</f>
        <v>-1126.162419264</v>
      </c>
      <c r="BY36" s="10" t="n">
        <f aca="false">-1000*Escalation!$B$76</f>
        <v>-1126.162419264</v>
      </c>
      <c r="BZ36" s="10" t="n">
        <f aca="false">-1000*Escalation!$B$77</f>
        <v>-1126.162419264</v>
      </c>
      <c r="CA36" s="10" t="n">
        <f aca="false">-1000*Escalation!$B$78</f>
        <v>-1126.162419264</v>
      </c>
      <c r="CB36" s="10" t="n">
        <f aca="false">-1000*Escalation!$B$79</f>
        <v>-1126.162419264</v>
      </c>
      <c r="CC36" s="10" t="n">
        <f aca="false">-1000*Escalation!$B$80</f>
        <v>-1126.162419264</v>
      </c>
      <c r="CD36" s="10" t="n">
        <f aca="false">-1000*Escalation!$B$81</f>
        <v>-1126.162419264</v>
      </c>
      <c r="CE36" s="10" t="n">
        <f aca="false">-1000*Escalation!$B$82</f>
        <v>-1126.162419264</v>
      </c>
      <c r="CF36" s="10" t="n">
        <f aca="false">-1000*Escalation!$B$83</f>
        <v>-1126.162419264</v>
      </c>
      <c r="CG36" s="10" t="n">
        <f aca="false">-1000*Escalation!$B$84</f>
        <v>-1126.162419264</v>
      </c>
      <c r="CH36" s="10" t="n">
        <f aca="false">-1000*Escalation!$B$85</f>
        <v>-1126.162419264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-166.67*Escalation!$B$2</f>
        <v>-166.67</v>
      </c>
      <c r="D37" s="10" t="n">
        <f aca="false">-166.67*Escalation!$B$3</f>
        <v>-166.67</v>
      </c>
      <c r="E37" s="10" t="n">
        <f aca="false">-166.67*Escalation!$B$4</f>
        <v>-166.67</v>
      </c>
      <c r="F37" s="10" t="n">
        <f aca="false">-166.67*Escalation!$B$5</f>
        <v>-166.67</v>
      </c>
      <c r="G37" s="10" t="n">
        <f aca="false">-166.67*Escalation!$B$6</f>
        <v>-166.67</v>
      </c>
      <c r="H37" s="10" t="n">
        <f aca="false">-166.67*Escalation!$B$7</f>
        <v>-166.67</v>
      </c>
      <c r="I37" s="10" t="n">
        <f aca="false">-166.67*Escalation!$B$8</f>
        <v>-166.67</v>
      </c>
      <c r="J37" s="10" t="n">
        <f aca="false">-166.67*Escalation!$B$9</f>
        <v>-166.67</v>
      </c>
      <c r="K37" s="10" t="n">
        <f aca="false">-166.67*Escalation!$B$10</f>
        <v>-166.67</v>
      </c>
      <c r="L37" s="10" t="n">
        <f aca="false">-166.67*Escalation!$B$11</f>
        <v>-166.67</v>
      </c>
      <c r="M37" s="10" t="n">
        <f aca="false">-166.67*Escalation!$B$12</f>
        <v>-166.67</v>
      </c>
      <c r="N37" s="10" t="n">
        <f aca="false">-166.67*Escalation!$B$13</f>
        <v>-166.67</v>
      </c>
      <c r="O37" s="10" t="n">
        <f aca="false">-166.67*Escalation!$B$14</f>
        <v>-170.0034</v>
      </c>
      <c r="P37" s="10" t="n">
        <f aca="false">-166.67*Escalation!$B$15</f>
        <v>-170.0034</v>
      </c>
      <c r="Q37" s="10" t="n">
        <f aca="false">-166.67*Escalation!$B$16</f>
        <v>-170.0034</v>
      </c>
      <c r="R37" s="10" t="n">
        <f aca="false">-166.67*Escalation!$B$17</f>
        <v>-170.0034</v>
      </c>
      <c r="S37" s="10" t="n">
        <f aca="false">-166.67*Escalation!$B$18</f>
        <v>-170.0034</v>
      </c>
      <c r="T37" s="10" t="n">
        <f aca="false">-166.67*Escalation!$B$19</f>
        <v>-170.0034</v>
      </c>
      <c r="U37" s="10" t="n">
        <f aca="false">-166.67*Escalation!$B$20</f>
        <v>-170.0034</v>
      </c>
      <c r="V37" s="10" t="n">
        <f aca="false">-166.67*Escalation!$B$21</f>
        <v>-170.0034</v>
      </c>
      <c r="W37" s="10" t="n">
        <f aca="false">-166.67*Escalation!$B$22</f>
        <v>-170.0034</v>
      </c>
      <c r="X37" s="10" t="n">
        <f aca="false">-166.67*Escalation!$B$23</f>
        <v>-170.0034</v>
      </c>
      <c r="Y37" s="10" t="n">
        <f aca="false">-166.67*Escalation!$B$24</f>
        <v>-170.0034</v>
      </c>
      <c r="Z37" s="10" t="n">
        <f aca="false">-166.67*Escalation!$B$25</f>
        <v>-170.0034</v>
      </c>
      <c r="AA37" s="10" t="n">
        <f aca="false">-166.67*Escalation!$B$26</f>
        <v>-173.403468</v>
      </c>
      <c r="AB37" s="10" t="n">
        <f aca="false">-166.67*Escalation!$B$27</f>
        <v>-173.403468</v>
      </c>
      <c r="AC37" s="10" t="n">
        <f aca="false">-166.67*Escalation!$B$28</f>
        <v>-173.403468</v>
      </c>
      <c r="AD37" s="10" t="n">
        <f aca="false">-166.67*Escalation!$B$29</f>
        <v>-173.403468</v>
      </c>
      <c r="AE37" s="10" t="n">
        <f aca="false">-166.67*Escalation!$B$30</f>
        <v>-173.403468</v>
      </c>
      <c r="AF37" s="10" t="n">
        <f aca="false">-166.67*Escalation!$B$31</f>
        <v>-173.403468</v>
      </c>
      <c r="AG37" s="10" t="n">
        <f aca="false">-166.67*Escalation!$B$32</f>
        <v>-173.403468</v>
      </c>
      <c r="AH37" s="10" t="n">
        <f aca="false">-166.67*Escalation!$B$33</f>
        <v>-173.403468</v>
      </c>
      <c r="AI37" s="10" t="n">
        <f aca="false">-166.67*Escalation!$B$34</f>
        <v>-173.403468</v>
      </c>
      <c r="AJ37" s="10" t="n">
        <f aca="false">-166.67*Escalation!$B$35</f>
        <v>-173.403468</v>
      </c>
      <c r="AK37" s="10" t="n">
        <f aca="false">-166.67*Escalation!$B$36</f>
        <v>-173.403468</v>
      </c>
      <c r="AL37" s="10" t="n">
        <f aca="false">-166.67*Escalation!$B$37</f>
        <v>-173.403468</v>
      </c>
      <c r="AM37" s="10" t="n">
        <f aca="false">-166.67*Escalation!$B$38</f>
        <v>-176.87153736</v>
      </c>
      <c r="AN37" s="10" t="n">
        <f aca="false">-166.67*Escalation!$B$39</f>
        <v>-176.87153736</v>
      </c>
      <c r="AO37" s="10" t="n">
        <f aca="false">-166.67*Escalation!$B$40</f>
        <v>-176.87153736</v>
      </c>
      <c r="AP37" s="10" t="n">
        <f aca="false">-166.67*Escalation!$B$41</f>
        <v>-176.87153736</v>
      </c>
      <c r="AQ37" s="10" t="n">
        <f aca="false">-166.67*Escalation!$B$42</f>
        <v>-176.87153736</v>
      </c>
      <c r="AR37" s="10" t="n">
        <f aca="false">-166.67*Escalation!$B$43</f>
        <v>-176.87153736</v>
      </c>
      <c r="AS37" s="10" t="n">
        <f aca="false">-166.67*Escalation!$B$44</f>
        <v>-176.87153736</v>
      </c>
      <c r="AT37" s="10" t="n">
        <f aca="false">-166.67*Escalation!$B$45</f>
        <v>-176.87153736</v>
      </c>
      <c r="AU37" s="10" t="n">
        <f aca="false">-166.67*Escalation!$B$46</f>
        <v>-176.87153736</v>
      </c>
      <c r="AV37" s="10" t="n">
        <f aca="false">-166.67*Escalation!$B$47</f>
        <v>-176.87153736</v>
      </c>
      <c r="AW37" s="10" t="n">
        <f aca="false">-166.67*Escalation!$B$48</f>
        <v>-176.87153736</v>
      </c>
      <c r="AX37" s="10" t="n">
        <f aca="false">-166.67*Escalation!$B$49</f>
        <v>-176.87153736</v>
      </c>
      <c r="AY37" s="10" t="n">
        <f aca="false">-166.67*Escalation!$B$50</f>
        <v>-180.4089681072</v>
      </c>
      <c r="AZ37" s="10" t="n">
        <f aca="false">-166.67*Escalation!$B$51</f>
        <v>-180.4089681072</v>
      </c>
      <c r="BA37" s="10" t="n">
        <f aca="false">-166.67*Escalation!$B$52</f>
        <v>-180.4089681072</v>
      </c>
      <c r="BB37" s="10" t="n">
        <f aca="false">-166.67*Escalation!$B$53</f>
        <v>-180.4089681072</v>
      </c>
      <c r="BC37" s="10" t="n">
        <f aca="false">-166.67*Escalation!$B$54</f>
        <v>-180.4089681072</v>
      </c>
      <c r="BD37" s="10" t="n">
        <f aca="false">-166.67*Escalation!$B$55</f>
        <v>-180.4089681072</v>
      </c>
      <c r="BE37" s="10" t="n">
        <f aca="false">-166.67*Escalation!$B$56</f>
        <v>-180.4089681072</v>
      </c>
      <c r="BF37" s="10" t="n">
        <f aca="false">-166.67*Escalation!$B$57</f>
        <v>-180.4089681072</v>
      </c>
      <c r="BG37" s="10" t="n">
        <f aca="false">-166.67*Escalation!$B$58</f>
        <v>-180.4089681072</v>
      </c>
      <c r="BH37" s="10" t="n">
        <f aca="false">-166.67*Escalation!$B$59</f>
        <v>-180.4089681072</v>
      </c>
      <c r="BI37" s="10" t="n">
        <f aca="false">-166.67*Escalation!$B$60</f>
        <v>-180.4089681072</v>
      </c>
      <c r="BJ37" s="10" t="n">
        <f aca="false">-166.67*Escalation!$B$61</f>
        <v>-180.4089681072</v>
      </c>
      <c r="BK37" s="10" t="n">
        <f aca="false">-166.67*Escalation!$B$62</f>
        <v>-184.017147469344</v>
      </c>
      <c r="BL37" s="10" t="n">
        <f aca="false">-166.67*Escalation!$B$63</f>
        <v>-184.017147469344</v>
      </c>
      <c r="BM37" s="10" t="n">
        <f aca="false">-166.67*Escalation!$B$64</f>
        <v>-184.017147469344</v>
      </c>
      <c r="BN37" s="10" t="n">
        <f aca="false">-166.67*Escalation!$B$65</f>
        <v>-184.017147469344</v>
      </c>
      <c r="BO37" s="10" t="n">
        <f aca="false">-166.67*Escalation!$B$66</f>
        <v>-184.017147469344</v>
      </c>
      <c r="BP37" s="10" t="n">
        <f aca="false">-166.67*Escalation!$B$67</f>
        <v>-184.017147469344</v>
      </c>
      <c r="BQ37" s="10" t="n">
        <f aca="false">-166.67*Escalation!$B$68</f>
        <v>-184.017147469344</v>
      </c>
      <c r="BR37" s="10" t="n">
        <f aca="false">-166.67*Escalation!$B$69</f>
        <v>-184.017147469344</v>
      </c>
      <c r="BS37" s="10" t="n">
        <f aca="false">-166.67*Escalation!$B$70</f>
        <v>-184.017147469344</v>
      </c>
      <c r="BT37" s="10" t="n">
        <f aca="false">-166.67*Escalation!$B$71</f>
        <v>-184.017147469344</v>
      </c>
      <c r="BU37" s="10" t="n">
        <f aca="false">-166.67*Escalation!$B$72</f>
        <v>-184.017147469344</v>
      </c>
      <c r="BV37" s="10" t="n">
        <f aca="false">-166.67*Escalation!$B$73</f>
        <v>-184.017147469344</v>
      </c>
      <c r="BW37" s="10" t="n">
        <f aca="false">-166.67*Escalation!$B$74</f>
        <v>-187.697490418731</v>
      </c>
      <c r="BX37" s="10" t="n">
        <f aca="false">-166.67*Escalation!$B$75</f>
        <v>-187.697490418731</v>
      </c>
      <c r="BY37" s="10" t="n">
        <f aca="false">-166.67*Escalation!$B$76</f>
        <v>-187.697490418731</v>
      </c>
      <c r="BZ37" s="10" t="n">
        <f aca="false">-166.67*Escalation!$B$77</f>
        <v>-187.697490418731</v>
      </c>
      <c r="CA37" s="10" t="n">
        <f aca="false">-166.67*Escalation!$B$78</f>
        <v>-187.697490418731</v>
      </c>
      <c r="CB37" s="10" t="n">
        <f aca="false">-166.67*Escalation!$B$79</f>
        <v>-187.697490418731</v>
      </c>
      <c r="CC37" s="10" t="n">
        <f aca="false">-166.67*Escalation!$B$80</f>
        <v>-187.697490418731</v>
      </c>
      <c r="CD37" s="10" t="n">
        <f aca="false">-166.67*Escalation!$B$81</f>
        <v>-187.697490418731</v>
      </c>
      <c r="CE37" s="10" t="n">
        <f aca="false">-166.67*Escalation!$B$82</f>
        <v>-187.697490418731</v>
      </c>
      <c r="CF37" s="10" t="n">
        <f aca="false">-166.67*Escalation!$B$83</f>
        <v>-187.697490418731</v>
      </c>
      <c r="CG37" s="10" t="n">
        <f aca="false">-166.67*Escalation!$B$84</f>
        <v>-187.697490418731</v>
      </c>
      <c r="CH37" s="10" t="n">
        <f aca="false">-166.67*Escalation!$B$85</f>
        <v>-187.697490418731</v>
      </c>
      <c r="CI37" s="25"/>
    </row>
    <row r="38" customFormat="false" ht="15" hidden="false" customHeight="true" outlineLevel="0" collapsed="false">
      <c r="A38" s="9" t="s">
        <v>85</v>
      </c>
      <c r="B38" s="24"/>
      <c r="C38" s="10" t="n">
        <f aca="false">-4166.67*Escalation!$B$2</f>
        <v>-4166.67</v>
      </c>
      <c r="D38" s="10" t="n">
        <f aca="false">-4166.67*Escalation!$B$3</f>
        <v>-4166.67</v>
      </c>
      <c r="E38" s="10" t="n">
        <f aca="false">-4166.67*Escalation!$B$4</f>
        <v>-4166.67</v>
      </c>
      <c r="F38" s="10" t="n">
        <f aca="false">-4166.67*Escalation!$B$5</f>
        <v>-4166.67</v>
      </c>
      <c r="G38" s="10" t="n">
        <f aca="false">-4166.67*Escalation!$B$6</f>
        <v>-4166.67</v>
      </c>
      <c r="H38" s="10" t="n">
        <f aca="false">-4166.67*Escalation!$B$7</f>
        <v>-4166.67</v>
      </c>
      <c r="I38" s="10" t="n">
        <f aca="false">-4166.67*Escalation!$B$8</f>
        <v>-4166.67</v>
      </c>
      <c r="J38" s="10" t="n">
        <f aca="false">-4166.67*Escalation!$B$9</f>
        <v>-4166.67</v>
      </c>
      <c r="K38" s="10" t="n">
        <f aca="false">-4166.67*Escalation!$B$10</f>
        <v>-4166.67</v>
      </c>
      <c r="L38" s="10" t="n">
        <f aca="false">-4166.67*Escalation!$B$11</f>
        <v>-4166.67</v>
      </c>
      <c r="M38" s="10" t="n">
        <f aca="false">-4166.67*Escalation!$B$12</f>
        <v>-4166.67</v>
      </c>
      <c r="N38" s="10" t="n">
        <f aca="false">-4166.67*Escalation!$B$13</f>
        <v>-4166.67</v>
      </c>
      <c r="O38" s="10" t="n">
        <f aca="false">-4166.67*Escalation!$B$14</f>
        <v>-4250.0034</v>
      </c>
      <c r="P38" s="10" t="n">
        <f aca="false">-4166.67*Escalation!$B$15</f>
        <v>-4250.0034</v>
      </c>
      <c r="Q38" s="10" t="n">
        <f aca="false">-4166.67*Escalation!$B$16</f>
        <v>-4250.0034</v>
      </c>
      <c r="R38" s="10" t="n">
        <f aca="false">-4166.67*Escalation!$B$17</f>
        <v>-4250.0034</v>
      </c>
      <c r="S38" s="10" t="n">
        <f aca="false">-4166.67*Escalation!$B$18</f>
        <v>-4250.0034</v>
      </c>
      <c r="T38" s="10" t="n">
        <f aca="false">-4166.67*Escalation!$B$19</f>
        <v>-4250.0034</v>
      </c>
      <c r="U38" s="10" t="n">
        <f aca="false">-4166.67*Escalation!$B$20</f>
        <v>-4250.0034</v>
      </c>
      <c r="V38" s="10" t="n">
        <f aca="false">-4166.67*Escalation!$B$21</f>
        <v>-4250.0034</v>
      </c>
      <c r="W38" s="10" t="n">
        <f aca="false">-4166.67*Escalation!$B$22</f>
        <v>-4250.0034</v>
      </c>
      <c r="X38" s="10" t="n">
        <f aca="false">-4166.67*Escalation!$B$23</f>
        <v>-4250.0034</v>
      </c>
      <c r="Y38" s="10" t="n">
        <f aca="false">-4166.67*Escalation!$B$24</f>
        <v>-4250.0034</v>
      </c>
      <c r="Z38" s="10" t="n">
        <f aca="false">-4166.67*Escalation!$B$25</f>
        <v>-4250.0034</v>
      </c>
      <c r="AA38" s="10" t="n">
        <f aca="false">-4166.67*Escalation!$B$26</f>
        <v>-4335.003468</v>
      </c>
      <c r="AB38" s="10" t="n">
        <f aca="false">-4166.67*Escalation!$B$27</f>
        <v>-4335.003468</v>
      </c>
      <c r="AC38" s="10" t="n">
        <f aca="false">-4166.67*Escalation!$B$28</f>
        <v>-4335.003468</v>
      </c>
      <c r="AD38" s="10" t="n">
        <f aca="false">-4166.67*Escalation!$B$29</f>
        <v>-4335.003468</v>
      </c>
      <c r="AE38" s="10" t="n">
        <f aca="false">-4166.67*Escalation!$B$30</f>
        <v>-4335.003468</v>
      </c>
      <c r="AF38" s="10" t="n">
        <f aca="false">-4166.67*Escalation!$B$31</f>
        <v>-4335.003468</v>
      </c>
      <c r="AG38" s="10" t="n">
        <f aca="false">-4166.67*Escalation!$B$32</f>
        <v>-4335.003468</v>
      </c>
      <c r="AH38" s="10" t="n">
        <f aca="false">-4166.67*Escalation!$B$33</f>
        <v>-4335.003468</v>
      </c>
      <c r="AI38" s="10" t="n">
        <f aca="false">-4166.67*Escalation!$B$34</f>
        <v>-4335.003468</v>
      </c>
      <c r="AJ38" s="10" t="n">
        <f aca="false">-4166.67*Escalation!$B$35</f>
        <v>-4335.003468</v>
      </c>
      <c r="AK38" s="10" t="n">
        <f aca="false">-4166.67*Escalation!$B$36</f>
        <v>-4335.003468</v>
      </c>
      <c r="AL38" s="10" t="n">
        <f aca="false">-4166.67*Escalation!$B$37</f>
        <v>-4335.003468</v>
      </c>
      <c r="AM38" s="10" t="n">
        <f aca="false">-4166.67*Escalation!$B$38</f>
        <v>-4421.70353736</v>
      </c>
      <c r="AN38" s="10" t="n">
        <f aca="false">-4166.67*Escalation!$B$39</f>
        <v>-4421.70353736</v>
      </c>
      <c r="AO38" s="10" t="n">
        <f aca="false">-4166.67*Escalation!$B$40</f>
        <v>-4421.70353736</v>
      </c>
      <c r="AP38" s="10" t="n">
        <f aca="false">-4166.67*Escalation!$B$41</f>
        <v>-4421.70353736</v>
      </c>
      <c r="AQ38" s="10" t="n">
        <f aca="false">-4166.67*Escalation!$B$42</f>
        <v>-4421.70353736</v>
      </c>
      <c r="AR38" s="10" t="n">
        <f aca="false">-4166.67*Escalation!$B$43</f>
        <v>-4421.70353736</v>
      </c>
      <c r="AS38" s="10" t="n">
        <f aca="false">-4166.67*Escalation!$B$44</f>
        <v>-4421.70353736</v>
      </c>
      <c r="AT38" s="10" t="n">
        <f aca="false">-4166.67*Escalation!$B$45</f>
        <v>-4421.70353736</v>
      </c>
      <c r="AU38" s="10" t="n">
        <f aca="false">-4166.67*Escalation!$B$46</f>
        <v>-4421.70353736</v>
      </c>
      <c r="AV38" s="10" t="n">
        <f aca="false">-4166.67*Escalation!$B$47</f>
        <v>-4421.70353736</v>
      </c>
      <c r="AW38" s="10" t="n">
        <f aca="false">-4166.67*Escalation!$B$48</f>
        <v>-4421.70353736</v>
      </c>
      <c r="AX38" s="10" t="n">
        <f aca="false">-4166.67*Escalation!$B$49</f>
        <v>-4421.70353736</v>
      </c>
      <c r="AY38" s="10" t="n">
        <f aca="false">-4166.67*Escalation!$B$50</f>
        <v>-4510.1376081072</v>
      </c>
      <c r="AZ38" s="10" t="n">
        <f aca="false">-4166.67*Escalation!$B$51</f>
        <v>-4510.1376081072</v>
      </c>
      <c r="BA38" s="10" t="n">
        <f aca="false">-4166.67*Escalation!$B$52</f>
        <v>-4510.1376081072</v>
      </c>
      <c r="BB38" s="10" t="n">
        <f aca="false">-4166.67*Escalation!$B$53</f>
        <v>-4510.1376081072</v>
      </c>
      <c r="BC38" s="10" t="n">
        <f aca="false">-4166.67*Escalation!$B$54</f>
        <v>-4510.1376081072</v>
      </c>
      <c r="BD38" s="10" t="n">
        <f aca="false">-4166.67*Escalation!$B$55</f>
        <v>-4510.1376081072</v>
      </c>
      <c r="BE38" s="10" t="n">
        <f aca="false">-4166.67*Escalation!$B$56</f>
        <v>-4510.1376081072</v>
      </c>
      <c r="BF38" s="10" t="n">
        <f aca="false">-4166.67*Escalation!$B$57</f>
        <v>-4510.1376081072</v>
      </c>
      <c r="BG38" s="10" t="n">
        <f aca="false">-4166.67*Escalation!$B$58</f>
        <v>-4510.1376081072</v>
      </c>
      <c r="BH38" s="10" t="n">
        <f aca="false">-4166.67*Escalation!$B$59</f>
        <v>-4510.1376081072</v>
      </c>
      <c r="BI38" s="10" t="n">
        <f aca="false">-4166.67*Escalation!$B$60</f>
        <v>-4510.1376081072</v>
      </c>
      <c r="BJ38" s="10" t="n">
        <f aca="false">-4166.67*Escalation!$B$61</f>
        <v>-4510.1376081072</v>
      </c>
      <c r="BK38" s="10" t="n">
        <f aca="false">-4166.67*Escalation!$B$62</f>
        <v>-4600.34036026934</v>
      </c>
      <c r="BL38" s="10" t="n">
        <f aca="false">-4166.67*Escalation!$B$63</f>
        <v>-4600.34036026934</v>
      </c>
      <c r="BM38" s="10" t="n">
        <f aca="false">-4166.67*Escalation!$B$64</f>
        <v>-4600.34036026934</v>
      </c>
      <c r="BN38" s="10" t="n">
        <f aca="false">-4166.67*Escalation!$B$65</f>
        <v>-4600.34036026934</v>
      </c>
      <c r="BO38" s="10" t="n">
        <f aca="false">-4166.67*Escalation!$B$66</f>
        <v>-4600.34036026934</v>
      </c>
      <c r="BP38" s="10" t="n">
        <f aca="false">-4166.67*Escalation!$B$67</f>
        <v>-4600.34036026934</v>
      </c>
      <c r="BQ38" s="10" t="n">
        <f aca="false">-4166.67*Escalation!$B$68</f>
        <v>-4600.34036026934</v>
      </c>
      <c r="BR38" s="10" t="n">
        <f aca="false">-4166.67*Escalation!$B$69</f>
        <v>-4600.34036026934</v>
      </c>
      <c r="BS38" s="10" t="n">
        <f aca="false">-4166.67*Escalation!$B$70</f>
        <v>-4600.34036026934</v>
      </c>
      <c r="BT38" s="10" t="n">
        <f aca="false">-4166.67*Escalation!$B$71</f>
        <v>-4600.34036026934</v>
      </c>
      <c r="BU38" s="10" t="n">
        <f aca="false">-4166.67*Escalation!$B$72</f>
        <v>-4600.34036026934</v>
      </c>
      <c r="BV38" s="10" t="n">
        <f aca="false">-4166.67*Escalation!$B$73</f>
        <v>-4600.34036026934</v>
      </c>
      <c r="BW38" s="10" t="n">
        <f aca="false">-4166.67*Escalation!$B$74</f>
        <v>-4692.34716747473</v>
      </c>
      <c r="BX38" s="10" t="n">
        <f aca="false">-4166.67*Escalation!$B$75</f>
        <v>-4692.34716747473</v>
      </c>
      <c r="BY38" s="10" t="n">
        <f aca="false">-4166.67*Escalation!$B$76</f>
        <v>-4692.34716747473</v>
      </c>
      <c r="BZ38" s="10" t="n">
        <f aca="false">-4166.67*Escalation!$B$77</f>
        <v>-4692.34716747473</v>
      </c>
      <c r="CA38" s="10" t="n">
        <f aca="false">-4166.67*Escalation!$B$78</f>
        <v>-4692.34716747473</v>
      </c>
      <c r="CB38" s="10" t="n">
        <f aca="false">-4166.67*Escalation!$B$79</f>
        <v>-4692.34716747473</v>
      </c>
      <c r="CC38" s="10" t="n">
        <f aca="false">-4166.67*Escalation!$B$80</f>
        <v>-4692.34716747473</v>
      </c>
      <c r="CD38" s="10" t="n">
        <f aca="false">-4166.67*Escalation!$B$81</f>
        <v>-4692.34716747473</v>
      </c>
      <c r="CE38" s="10" t="n">
        <f aca="false">-4166.67*Escalation!$B$82</f>
        <v>-4692.34716747473</v>
      </c>
      <c r="CF38" s="10" t="n">
        <f aca="false">-4166.67*Escalation!$B$83</f>
        <v>-4692.34716747473</v>
      </c>
      <c r="CG38" s="10" t="n">
        <f aca="false">-4166.67*Escalation!$B$84</f>
        <v>-4692.34716747473</v>
      </c>
      <c r="CH38" s="10" t="n">
        <f aca="false">-4166.67*Escalation!$B$85</f>
        <v>-4692.34716747473</v>
      </c>
      <c r="CI38" s="25"/>
    </row>
    <row r="39" customFormat="false" ht="15" hidden="false" customHeight="true" outlineLevel="0" collapsed="false">
      <c r="A39" s="11" t="s">
        <v>20</v>
      </c>
      <c r="B39" s="30"/>
      <c r="C39" s="12" t="n">
        <f aca="false">C15+C16+C17+C18+C19+C20+C21+C22+C23+SUM(C24:C38)</f>
        <v>-310258.698333333</v>
      </c>
      <c r="D39" s="12" t="n">
        <f aca="false">D15+D16+D17+D18+D19+D20+D21+D22+D23+SUM(D24:D38)</f>
        <v>-352489.948333333</v>
      </c>
      <c r="E39" s="12" t="n">
        <f aca="false">E15+E16+E17+E18+E19+E20+E21+E22+E23+SUM(E24:E38)</f>
        <v>-387439.948333333</v>
      </c>
      <c r="F39" s="12" t="n">
        <f aca="false">F15+F16+F17+F18+F19+F20+F21+F22+F23+SUM(F24:F38)</f>
        <v>-705406.463533333</v>
      </c>
      <c r="G39" s="12" t="n">
        <f aca="false">G15+G16+G17+G18+G19+G20+G21+G22+G23+SUM(G24:G38)</f>
        <v>-387439.948333333</v>
      </c>
      <c r="H39" s="12" t="n">
        <f aca="false">H15+H16+H17+H18+H19+H20+H21+H22+H23+SUM(H24:H38)</f>
        <v>-387439.948333333</v>
      </c>
      <c r="I39" s="12" t="n">
        <f aca="false">I15+I16+I17+I18+I19+I20+I21+I22+I23+SUM(I24:I38)</f>
        <v>-605522.795333333</v>
      </c>
      <c r="J39" s="12" t="n">
        <f aca="false">J15+J16+J17+J18+J19+J20+J21+J22+J23+SUM(J24:J38)</f>
        <v>-544789.145333333</v>
      </c>
      <c r="K39" s="12" t="n">
        <f aca="false">K15+K16+K17+K18+K19+K20+K21+K22+K23+SUM(K24:K38)</f>
        <v>-387439.948333333</v>
      </c>
      <c r="L39" s="12" t="n">
        <f aca="false">L15+L16+L17+L18+L19+L20+L21+L22+L23+SUM(L24:L38)</f>
        <v>-387439.948333333</v>
      </c>
      <c r="M39" s="12" t="n">
        <f aca="false">M15+M16+M17+M18+M19+M20+M21+M22+M23+SUM(M24:M38)</f>
        <v>-387439.948333333</v>
      </c>
      <c r="N39" s="12" t="n">
        <f aca="false">N15+N16+N17+N18+N19+N20+N21+N22+N23+SUM(N24:N38)</f>
        <v>-387439.948333333</v>
      </c>
      <c r="O39" s="12" t="n">
        <f aca="false">O15+O16+O17+O18+O19+O20+O21+O22+O23+SUM(O24:O38)</f>
        <v>-1861213.9523</v>
      </c>
      <c r="P39" s="12" t="n">
        <f aca="false">P15+P16+P17+P18+P19+P20+P21+P22+P23+SUM(P24:P38)</f>
        <v>-390043.9273</v>
      </c>
      <c r="Q39" s="12" t="n">
        <f aca="false">Q15+Q16+Q17+Q18+Q19+Q20+Q21+Q22+Q23+SUM(Q24:Q38)</f>
        <v>-390043.9273</v>
      </c>
      <c r="R39" s="12" t="n">
        <f aca="false">R15+R16+R17+R18+R19+R20+R21+R22+R23+SUM(R24:R38)</f>
        <v>-390043.9273</v>
      </c>
      <c r="S39" s="12" t="n">
        <f aca="false">S15+S16+S17+S18+S19+S20+S21+S22+S23+SUM(S24:S38)</f>
        <v>-390043.9273</v>
      </c>
      <c r="T39" s="12" t="n">
        <f aca="false">T15+T16+T17+T18+T19+T20+T21+T22+T23+SUM(T24:T38)</f>
        <v>-390043.9273</v>
      </c>
      <c r="U39" s="12" t="n">
        <f aca="false">U15+U16+U17+U18+U19+U20+U21+U22+U23+SUM(U24:U38)</f>
        <v>-390043.9273</v>
      </c>
      <c r="V39" s="12" t="n">
        <f aca="false">V15+V16+V17+V18+V19+V20+V21+V22+V23+SUM(V24:V38)</f>
        <v>-390043.9273</v>
      </c>
      <c r="W39" s="12" t="n">
        <f aca="false">W15+W16+W17+W18+W19+W20+W21+W22+W23+SUM(W24:W38)</f>
        <v>-390043.9273</v>
      </c>
      <c r="X39" s="12" t="n">
        <f aca="false">X15+X16+X17+X18+X19+X20+X21+X22+X23+SUM(X24:X38)</f>
        <v>-390043.9273</v>
      </c>
      <c r="Y39" s="12" t="n">
        <f aca="false">Y15+Y16+Y17+Y18+Y19+Y20+Y21+Y22+Y23+SUM(Y24:Y38)</f>
        <v>-390043.9273</v>
      </c>
      <c r="Z39" s="12" t="n">
        <f aca="false">Z15+Z16+Z17+Z18+Z19+Z20+Z21+Z22+Z23+SUM(Z24:Z38)</f>
        <v>-390043.9273</v>
      </c>
      <c r="AA39" s="12" t="n">
        <f aca="false">AA15+AA16+AA17+AA18+AA19+AA20+AA21+AA22+AA23+SUM(AA24:AA38)</f>
        <v>-392699.985846</v>
      </c>
      <c r="AB39" s="12" t="n">
        <f aca="false">AB15+AB16+AB17+AB18+AB19+AB20+AB21+AB22+AB23+SUM(AB24:AB38)</f>
        <v>-392699.985846</v>
      </c>
      <c r="AC39" s="12" t="n">
        <f aca="false">AC15+AC16+AC17+AC18+AC19+AC20+AC21+AC22+AC23+SUM(AC24:AC38)</f>
        <v>-1736725.525846</v>
      </c>
      <c r="AD39" s="12" t="n">
        <f aca="false">AD15+AD16+AD17+AD18+AD19+AD20+AD21+AD22+AD23+SUM(AD24:AD38)</f>
        <v>-392699.985846</v>
      </c>
      <c r="AE39" s="12" t="n">
        <f aca="false">AE15+AE16+AE17+AE18+AE19+AE20+AE21+AE22+AE23+SUM(AE24:AE38)</f>
        <v>-392699.985846</v>
      </c>
      <c r="AF39" s="12" t="n">
        <f aca="false">AF15+AF16+AF17+AF18+AF19+AF20+AF21+AF22+AF23+SUM(AF24:AF38)</f>
        <v>-392699.985846</v>
      </c>
      <c r="AG39" s="12" t="n">
        <f aca="false">AG15+AG16+AG17+AG18+AG19+AG20+AG21+AG22+AG23+SUM(AG24:AG38)</f>
        <v>-392699.985846</v>
      </c>
      <c r="AH39" s="12" t="n">
        <f aca="false">AH15+AH16+AH17+AH18+AH19+AH20+AH21+AH22+AH23+SUM(AH24:AH38)</f>
        <v>-392699.985846</v>
      </c>
      <c r="AI39" s="12" t="n">
        <f aca="false">AI15+AI16+AI17+AI18+AI19+AI20+AI21+AI22+AI23+SUM(AI24:AI38)</f>
        <v>-392699.985846</v>
      </c>
      <c r="AJ39" s="12" t="n">
        <f aca="false">AJ15+AJ16+AJ17+AJ18+AJ19+AJ20+AJ21+AJ22+AJ23+SUM(AJ24:AJ38)</f>
        <v>-392699.985846</v>
      </c>
      <c r="AK39" s="12" t="n">
        <f aca="false">AK15+AK16+AK17+AK18+AK19+AK20+AK21+AK22+AK23+SUM(AK24:AK38)</f>
        <v>-392699.985846</v>
      </c>
      <c r="AL39" s="12" t="n">
        <f aca="false">AL15+AL16+AL17+AL18+AL19+AL20+AL21+AL22+AL23+SUM(AL24:AL38)</f>
        <v>-392699.985846</v>
      </c>
      <c r="AM39" s="12" t="n">
        <f aca="false">AM15+AM16+AM17+AM18+AM19+AM20+AM21+AM22+AM23+SUM(AM24:AM38)</f>
        <v>-395409.16556292</v>
      </c>
      <c r="AN39" s="12" t="n">
        <f aca="false">AN15+AN16+AN17+AN18+AN19+AN20+AN21+AN22+AN23+SUM(AN24:AN38)</f>
        <v>-395409.16556292</v>
      </c>
      <c r="AO39" s="12" t="n">
        <f aca="false">AO15+AO16+AO17+AO18+AO19+AO20+AO21+AO22+AO23+SUM(AO24:AO38)</f>
        <v>-395409.16556292</v>
      </c>
      <c r="AP39" s="12" t="n">
        <f aca="false">AP15+AP16+AP17+AP18+AP19+AP20+AP21+AP22+AP23+SUM(AP24:AP38)</f>
        <v>-395409.16556292</v>
      </c>
      <c r="AQ39" s="12" t="n">
        <f aca="false">AQ15+AQ16+AQ17+AQ18+AQ19+AQ20+AQ21+AQ22+AQ23+SUM(AQ24:AQ38)</f>
        <v>-395409.16556292</v>
      </c>
      <c r="AR39" s="12" t="n">
        <f aca="false">AR15+AR16+AR17+AR18+AR19+AR20+AR21+AR22+AR23+SUM(AR24:AR38)</f>
        <v>-395409.16556292</v>
      </c>
      <c r="AS39" s="12" t="n">
        <f aca="false">AS15+AS16+AS17+AS18+AS19+AS20+AS21+AS22+AS23+SUM(AS24:AS38)</f>
        <v>-395409.16556292</v>
      </c>
      <c r="AT39" s="12" t="n">
        <f aca="false">AT15+AT16+AT17+AT18+AT19+AT20+AT21+AT22+AT23+SUM(AT24:AT38)</f>
        <v>-395409.16556292</v>
      </c>
      <c r="AU39" s="12" t="n">
        <f aca="false">AU15+AU16+AU17+AU18+AU19+AU20+AU21+AU22+AU23+SUM(AU24:AU38)</f>
        <v>-395409.16556292</v>
      </c>
      <c r="AV39" s="12" t="n">
        <f aca="false">AV15+AV16+AV17+AV18+AV19+AV20+AV21+AV22+AV23+SUM(AV24:AV38)</f>
        <v>-395409.16556292</v>
      </c>
      <c r="AW39" s="12" t="n">
        <f aca="false">AW15+AW16+AW17+AW18+AW19+AW20+AW21+AW22+AW23+SUM(AW24:AW38)</f>
        <v>-395409.16556292</v>
      </c>
      <c r="AX39" s="12" t="n">
        <f aca="false">AX15+AX16+AX17+AX18+AX19+AX20+AX21+AX22+AX23+SUM(AX24:AX38)</f>
        <v>-395409.16556292</v>
      </c>
      <c r="AY39" s="12" t="n">
        <f aca="false">AY15+AY16+AY17+AY18+AY19+AY20+AY21+AY22+AY23+SUM(AY24:AY38)</f>
        <v>-398172.528874179</v>
      </c>
      <c r="AZ39" s="12" t="n">
        <f aca="false">AZ15+AZ16+AZ17+AZ18+AZ19+AZ20+AZ21+AZ22+AZ23+SUM(AZ24:AZ38)</f>
        <v>-398172.528874179</v>
      </c>
      <c r="BA39" s="12" t="n">
        <f aca="false">BA15+BA16+BA17+BA18+BA19+BA20+BA21+BA22+BA23+SUM(BA24:BA38)</f>
        <v>-398172.528874179</v>
      </c>
      <c r="BB39" s="12" t="n">
        <f aca="false">BB15+BB16+BB17+BB18+BB19+BB20+BB21+BB22+BB23+SUM(BB24:BB38)</f>
        <v>-398172.528874179</v>
      </c>
      <c r="BC39" s="12" t="n">
        <f aca="false">BC15+BC16+BC17+BC18+BC19+BC20+BC21+BC22+BC23+SUM(BC24:BC38)</f>
        <v>-398172.528874179</v>
      </c>
      <c r="BD39" s="12" t="n">
        <f aca="false">BD15+BD16+BD17+BD18+BD19+BD20+BD21+BD22+BD23+SUM(BD24:BD38)</f>
        <v>-398172.528874179</v>
      </c>
      <c r="BE39" s="12" t="n">
        <f aca="false">BE15+BE16+BE17+BE18+BE19+BE20+BE21+BE22+BE23+SUM(BE24:BE38)</f>
        <v>-398172.528874179</v>
      </c>
      <c r="BF39" s="12" t="n">
        <f aca="false">BF15+BF16+BF17+BF18+BF19+BF20+BF21+BF22+BF23+SUM(BF24:BF38)</f>
        <v>-398172.528874179</v>
      </c>
      <c r="BG39" s="12" t="n">
        <f aca="false">BG15+BG16+BG17+BG18+BG19+BG20+BG21+BG22+BG23+SUM(BG24:BG38)</f>
        <v>-398172.528874179</v>
      </c>
      <c r="BH39" s="12" t="n">
        <f aca="false">BH15+BH16+BH17+BH18+BH19+BH20+BH21+BH22+BH23+SUM(BH24:BH38)</f>
        <v>-398172.528874179</v>
      </c>
      <c r="BI39" s="12" t="n">
        <f aca="false">BI15+BI16+BI17+BI18+BI19+BI20+BI21+BI22+BI23+SUM(BI24:BI38)</f>
        <v>-398172.528874179</v>
      </c>
      <c r="BJ39" s="12" t="n">
        <f aca="false">BJ15+BJ16+BJ17+BJ18+BJ19+BJ20+BJ21+BJ22+BJ23+SUM(BJ24:BJ38)</f>
        <v>-398172.528874179</v>
      </c>
      <c r="BK39" s="12" t="n">
        <f aca="false">BK15+BK16+BK17+BK18+BK19+BK20+BK21+BK22+BK23+SUM(BK24:BK38)</f>
        <v>-400991.159451662</v>
      </c>
      <c r="BL39" s="12" t="n">
        <f aca="false">BL15+BL16+BL17+BL18+BL19+BL20+BL21+BL22+BL23+SUM(BL24:BL38)</f>
        <v>-400991.159451662</v>
      </c>
      <c r="BM39" s="12" t="n">
        <f aca="false">BM15+BM16+BM17+BM18+BM19+BM20+BM21+BM22+BM23+SUM(BM24:BM38)</f>
        <v>-400991.159451662</v>
      </c>
      <c r="BN39" s="12" t="n">
        <f aca="false">BN15+BN16+BN17+BN18+BN19+BN20+BN21+BN22+BN23+SUM(BN24:BN38)</f>
        <v>-400991.159451662</v>
      </c>
      <c r="BO39" s="12" t="n">
        <f aca="false">BO15+BO16+BO17+BO18+BO19+BO20+BO21+BO22+BO23+SUM(BO24:BO38)</f>
        <v>-400991.159451662</v>
      </c>
      <c r="BP39" s="12" t="n">
        <f aca="false">BP15+BP16+BP17+BP18+BP19+BP20+BP21+BP22+BP23+SUM(BP24:BP38)</f>
        <v>-400991.159451662</v>
      </c>
      <c r="BQ39" s="12" t="n">
        <f aca="false">BQ15+BQ16+BQ17+BQ18+BQ19+BQ20+BQ21+BQ22+BQ23+SUM(BQ24:BQ38)</f>
        <v>-400991.159451662</v>
      </c>
      <c r="BR39" s="12" t="n">
        <f aca="false">BR15+BR16+BR17+BR18+BR19+BR20+BR21+BR22+BR23+SUM(BR24:BR38)</f>
        <v>-400991.159451662</v>
      </c>
      <c r="BS39" s="12" t="n">
        <f aca="false">BS15+BS16+BS17+BS18+BS19+BS20+BS21+BS22+BS23+SUM(BS24:BS38)</f>
        <v>-400991.159451662</v>
      </c>
      <c r="BT39" s="12" t="n">
        <f aca="false">BT15+BT16+BT17+BT18+BT19+BT20+BT21+BT22+BT23+SUM(BT24:BT38)</f>
        <v>-400991.159451662</v>
      </c>
      <c r="BU39" s="12" t="n">
        <f aca="false">BU15+BU16+BU17+BU18+BU19+BU20+BU21+BU22+BU23+SUM(BU24:BU38)</f>
        <v>-400991.159451662</v>
      </c>
      <c r="BV39" s="12" t="n">
        <f aca="false">BV15+BV16+BV17+BV18+BV19+BV20+BV21+BV22+BV23+SUM(BV24:BV38)</f>
        <v>-400991.159451662</v>
      </c>
      <c r="BW39" s="12" t="n">
        <f aca="false">BW15+BW16+BW17+BW18+BW19+BW20+BW21+BW22+BW23+SUM(BW24:BW38)</f>
        <v>-403866.162640695</v>
      </c>
      <c r="BX39" s="12" t="n">
        <f aca="false">BX15+BX16+BX17+BX18+BX19+BX20+BX21+BX22+BX23+SUM(BX24:BX38)</f>
        <v>-403866.162640695</v>
      </c>
      <c r="BY39" s="12" t="n">
        <f aca="false">BY15+BY16+BY17+BY18+BY19+BY20+BY21+BY22+BY23+SUM(BY24:BY38)</f>
        <v>-403866.162640695</v>
      </c>
      <c r="BZ39" s="12" t="n">
        <f aca="false">BZ15+BZ16+BZ17+BZ18+BZ19+BZ20+BZ21+BZ22+BZ23+SUM(BZ24:BZ38)</f>
        <v>-403866.162640695</v>
      </c>
      <c r="CA39" s="12" t="n">
        <f aca="false">CA15+CA16+CA17+CA18+CA19+CA20+CA21+CA22+CA23+SUM(CA24:CA38)</f>
        <v>-403866.162640695</v>
      </c>
      <c r="CB39" s="12" t="n">
        <f aca="false">CB15+CB16+CB17+CB18+CB19+CB20+CB21+CB22+CB23+SUM(CB24:CB38)</f>
        <v>-403866.162640695</v>
      </c>
      <c r="CC39" s="12" t="n">
        <f aca="false">CC15+CC16+CC17+CC18+CC19+CC20+CC21+CC22+CC23+SUM(CC24:CC38)</f>
        <v>-403866.162640695</v>
      </c>
      <c r="CD39" s="12" t="n">
        <f aca="false">CD15+CD16+CD17+CD18+CD19+CD20+CD21+CD22+CD23+SUM(CD24:CD38)</f>
        <v>-403866.162640695</v>
      </c>
      <c r="CE39" s="12" t="n">
        <f aca="false">CE15+CE16+CE17+CE18+CE19+CE20+CE21+CE22+CE23+SUM(CE24:CE38)</f>
        <v>-403866.162640695</v>
      </c>
      <c r="CF39" s="12" t="n">
        <f aca="false">CF15+CF16+CF17+CF18+CF19+CF20+CF21+CF22+CF23+SUM(CF24:CF38)</f>
        <v>-403866.162640695</v>
      </c>
      <c r="CG39" s="12" t="n">
        <f aca="false">CG15+CG16+CG17+CG18+CG19+CG20+CG21+CG22+CG23+SUM(CG24:CG38)</f>
        <v>-403866.162640695</v>
      </c>
      <c r="CH39" s="12" t="n">
        <f aca="false">CH15+CH16+CH17+CH18+CH19+CH20+CH21+CH22+CH23+SUM(CH24:CH38)</f>
        <v>-403866.162640695</v>
      </c>
      <c r="CI39" s="25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5"/>
    </row>
    <row r="41" customFormat="false" ht="15" hidden="false" customHeight="true" outlineLevel="0" collapsed="false">
      <c r="A41" s="15" t="s">
        <v>21</v>
      </c>
      <c r="B41" s="31"/>
      <c r="C41" s="16" t="n">
        <f aca="false">C12+C39</f>
        <v>85187.2086787024</v>
      </c>
      <c r="D41" s="16" t="n">
        <f aca="false">D12+D39</f>
        <v>52672.2936148811</v>
      </c>
      <c r="E41" s="16" t="n">
        <f aca="false">E12+E39</f>
        <v>25002.3676362195</v>
      </c>
      <c r="F41" s="16" t="n">
        <f aca="false">F12+F39</f>
        <v>485002.427596377</v>
      </c>
      <c r="G41" s="16" t="n">
        <f aca="false">G12+G39</f>
        <v>167089.09331542</v>
      </c>
      <c r="H41" s="16" t="n">
        <f aca="false">H12+H39</f>
        <v>172737.021718898</v>
      </c>
      <c r="I41" s="16" t="n">
        <f aca="false">I12+I39</f>
        <v>504522.210377636</v>
      </c>
      <c r="J41" s="16" t="n">
        <f aca="false">J12+J39</f>
        <v>552872.091829295</v>
      </c>
      <c r="K41" s="16" t="n">
        <f aca="false">K12+K39</f>
        <v>331043.980342874</v>
      </c>
      <c r="L41" s="16" t="n">
        <f aca="false">L12+L39</f>
        <v>340131.439500752</v>
      </c>
      <c r="M41" s="16" t="n">
        <f aca="false">M12+M39</f>
        <v>346631.350937816</v>
      </c>
      <c r="N41" s="16" t="n">
        <f aca="false">N12+N39</f>
        <v>350382.620938278</v>
      </c>
      <c r="O41" s="16" t="n">
        <f aca="false">O12+O39</f>
        <v>-316770.991969663</v>
      </c>
      <c r="P41" s="16" t="n">
        <f aca="false">P12+P39</f>
        <v>478153.397906424</v>
      </c>
      <c r="Q41" s="16" t="n">
        <f aca="false">Q12+Q39</f>
        <v>620933.85107069</v>
      </c>
      <c r="R41" s="16" t="n">
        <f aca="false">R12+R39</f>
        <v>444492.603561529</v>
      </c>
      <c r="S41" s="16" t="n">
        <f aca="false">S12+S39</f>
        <v>257622.563195964</v>
      </c>
      <c r="T41" s="16" t="n">
        <f aca="false">T12+T39</f>
        <v>257451.327379701</v>
      </c>
      <c r="U41" s="16" t="n">
        <f aca="false">U12+U39</f>
        <v>274951.476769931</v>
      </c>
      <c r="V41" s="16" t="n">
        <f aca="false">V12+V39</f>
        <v>228059.229010271</v>
      </c>
      <c r="W41" s="16" t="n">
        <f aca="false">W12+W39</f>
        <v>217036.653563201</v>
      </c>
      <c r="X41" s="16" t="n">
        <f aca="false">X12+X39</f>
        <v>203296.320686128</v>
      </c>
      <c r="Y41" s="16" t="n">
        <f aca="false">Y12+Y39</f>
        <v>187631.562687684</v>
      </c>
      <c r="Z41" s="16" t="n">
        <f aca="false">Z12+Z39</f>
        <v>170817.448744448</v>
      </c>
      <c r="AA41" s="16" t="n">
        <f aca="false">AA12+AA39</f>
        <v>228297.924424959</v>
      </c>
      <c r="AB41" s="16" t="n">
        <f aca="false">AB12+AB39</f>
        <v>76252.8105730042</v>
      </c>
      <c r="AC41" s="16" t="n">
        <f aca="false">AC12+AC39</f>
        <v>-565857.826780972</v>
      </c>
      <c r="AD41" s="16" t="n">
        <f aca="false">AD12+AD39</f>
        <v>120036.649433576</v>
      </c>
      <c r="AE41" s="16" t="n">
        <f aca="false">AE12+AE39</f>
        <v>122149.700745913</v>
      </c>
      <c r="AF41" s="16" t="n">
        <f aca="false">AF12+AF39</f>
        <v>123446.664076833</v>
      </c>
      <c r="AG41" s="16" t="n">
        <f aca="false">AG12+AG39</f>
        <v>244763.169706735</v>
      </c>
      <c r="AH41" s="16" t="n">
        <f aca="false">AH12+AH39</f>
        <v>69032.5911753314</v>
      </c>
      <c r="AI41" s="16" t="n">
        <f aca="false">AI12+AI39</f>
        <v>312180.390560854</v>
      </c>
      <c r="AJ41" s="16" t="n">
        <f aca="false">AJ12+AJ39</f>
        <v>-21997.2665801005</v>
      </c>
      <c r="AK41" s="16" t="n">
        <f aca="false">AK12+AK39</f>
        <v>-24336.1336897279</v>
      </c>
      <c r="AL41" s="16" t="n">
        <f aca="false">AL12+AL39</f>
        <v>62734.2895935067</v>
      </c>
      <c r="AM41" s="16" t="n">
        <f aca="false">AM12+AM39</f>
        <v>-76287.4053652636</v>
      </c>
      <c r="AN41" s="16" t="n">
        <f aca="false">AN12+AN39</f>
        <v>-78881.3818560234</v>
      </c>
      <c r="AO41" s="16" t="n">
        <f aca="false">AO12+AO39</f>
        <v>-82144.1420707539</v>
      </c>
      <c r="AP41" s="16" t="n">
        <f aca="false">AP12+AP39</f>
        <v>-86047.5027841792</v>
      </c>
      <c r="AQ41" s="16" t="n">
        <f aca="false">AQ12+AQ39</f>
        <v>-90553.4298316159</v>
      </c>
      <c r="AR41" s="16" t="n">
        <f aca="false">AR12+AR39</f>
        <v>161582.148385811</v>
      </c>
      <c r="AS41" s="16" t="n">
        <f aca="false">AS12+AS39</f>
        <v>-223291.511660611</v>
      </c>
      <c r="AT41" s="16" t="n">
        <f aca="false">AT12+AT39</f>
        <v>-225013.502424896</v>
      </c>
      <c r="AU41" s="16" t="n">
        <f aca="false">AU12+AU39</f>
        <v>-227535.262233039</v>
      </c>
      <c r="AV41" s="16" t="n">
        <f aca="false">AV12+AV39</f>
        <v>-230780.258162182</v>
      </c>
      <c r="AW41" s="16" t="n">
        <f aca="false">AW12+AW39</f>
        <v>-234658.564027968</v>
      </c>
      <c r="AX41" s="16" t="n">
        <f aca="false">AX12+AX39</f>
        <v>-239064.947061468</v>
      </c>
      <c r="AY41" s="16" t="n">
        <f aca="false">AY12+AY39</f>
        <v>-246644.144543512</v>
      </c>
      <c r="AZ41" s="16" t="n">
        <f aca="false">AZ12+AZ39</f>
        <v>-251752.717144226</v>
      </c>
      <c r="BA41" s="16" t="n">
        <f aca="false">BA12+BA39</f>
        <v>-257031.575498298</v>
      </c>
      <c r="BB41" s="16" t="n">
        <f aca="false">BB12+BB39</f>
        <v>-262365.92022144</v>
      </c>
      <c r="BC41" s="16" t="n">
        <f aca="false">BC12+BC39</f>
        <v>-267650.518544726</v>
      </c>
      <c r="BD41" s="16" t="n">
        <f aca="false">BD12+BD39</f>
        <v>-272789.704314583</v>
      </c>
      <c r="BE41" s="16" t="n">
        <f aca="false">BE12+BE39</f>
        <v>-277705.031285083</v>
      </c>
      <c r="BF41" s="16" t="n">
        <f aca="false">BF12+BF39</f>
        <v>-47360.0331487261</v>
      </c>
      <c r="BG41" s="16" t="n">
        <f aca="false">BG12+BG39</f>
        <v>-398172.528874179</v>
      </c>
      <c r="BH41" s="16" t="n">
        <f aca="false">BH12+BH39</f>
        <v>-398172.528874179</v>
      </c>
      <c r="BI41" s="16" t="n">
        <f aca="false">BI12+BI39</f>
        <v>-398172.528874179</v>
      </c>
      <c r="BJ41" s="16" t="n">
        <f aca="false">BJ12+BJ39</f>
        <v>-398172.528874179</v>
      </c>
      <c r="BK41" s="16" t="n">
        <f aca="false">BK12+BK39</f>
        <v>-400991.159451662</v>
      </c>
      <c r="BL41" s="16" t="n">
        <f aca="false">BL12+BL39</f>
        <v>-400991.159451662</v>
      </c>
      <c r="BM41" s="16" t="n">
        <f aca="false">BM12+BM39</f>
        <v>-400991.159451662</v>
      </c>
      <c r="BN41" s="16" t="n">
        <f aca="false">BN12+BN39</f>
        <v>-400991.159451662</v>
      </c>
      <c r="BO41" s="16" t="n">
        <f aca="false">BO12+BO39</f>
        <v>-400991.159451662</v>
      </c>
      <c r="BP41" s="16" t="n">
        <f aca="false">BP12+BP39</f>
        <v>-400991.159451662</v>
      </c>
      <c r="BQ41" s="16" t="n">
        <f aca="false">BQ12+BQ39</f>
        <v>-400991.159451662</v>
      </c>
      <c r="BR41" s="16" t="n">
        <f aca="false">BR12+BR39</f>
        <v>-400991.159451662</v>
      </c>
      <c r="BS41" s="16" t="n">
        <f aca="false">BS12+BS39</f>
        <v>-400991.159451662</v>
      </c>
      <c r="BT41" s="16" t="n">
        <f aca="false">BT12+BT39</f>
        <v>-400991.159451662</v>
      </c>
      <c r="BU41" s="16" t="n">
        <f aca="false">BU12+BU39</f>
        <v>-400991.159451662</v>
      </c>
      <c r="BV41" s="16" t="n">
        <f aca="false">BV12+BV39</f>
        <v>-400991.159451662</v>
      </c>
      <c r="BW41" s="16" t="n">
        <f aca="false">BW12+BW39</f>
        <v>-403866.162640695</v>
      </c>
      <c r="BX41" s="16" t="n">
        <f aca="false">BX12+BX39</f>
        <v>-403866.162640695</v>
      </c>
      <c r="BY41" s="16" t="n">
        <f aca="false">BY12+BY39</f>
        <v>-403866.162640695</v>
      </c>
      <c r="BZ41" s="16" t="n">
        <f aca="false">BZ12+BZ39</f>
        <v>-403866.162640695</v>
      </c>
      <c r="CA41" s="16" t="n">
        <f aca="false">CA12+CA39</f>
        <v>-403866.162640695</v>
      </c>
      <c r="CB41" s="16" t="n">
        <f aca="false">CB12+CB39</f>
        <v>-403866.162640695</v>
      </c>
      <c r="CC41" s="16" t="n">
        <f aca="false">CC12+CC39</f>
        <v>-403866.162640695</v>
      </c>
      <c r="CD41" s="16" t="n">
        <f aca="false">CD12+CD39</f>
        <v>-403866.162640695</v>
      </c>
      <c r="CE41" s="16" t="n">
        <f aca="false">CE12+CE39</f>
        <v>-403866.162640695</v>
      </c>
      <c r="CF41" s="16" t="n">
        <f aca="false">CF12+CF39</f>
        <v>-403866.162640695</v>
      </c>
      <c r="CG41" s="16" t="n">
        <f aca="false">CG12+CG39</f>
        <v>-403866.162640695</v>
      </c>
      <c r="CH41" s="16" t="n">
        <f aca="false">CH12+CH39</f>
        <v>-403866.162640695</v>
      </c>
      <c r="CI41" s="25"/>
    </row>
    <row r="42" customFormat="false" ht="15" hidden="false" customHeight="true" outlineLevel="0" collapsed="false">
      <c r="A42" s="9" t="s">
        <v>22</v>
      </c>
      <c r="B42" s="24"/>
      <c r="C42" s="32" t="n">
        <f aca="false">IF(C12&lt;&gt;0,C41/C12,0)</f>
        <v>0.215420635713166</v>
      </c>
      <c r="D42" s="32" t="n">
        <f aca="false">IF(D12&lt;&gt;0,D41/D12,0)</f>
        <v>0.130002967111662</v>
      </c>
      <c r="E42" s="32" t="n">
        <f aca="false">IF(E12&lt;&gt;0,E41/E12,0)</f>
        <v>0.0606202774743057</v>
      </c>
      <c r="F42" s="32" t="n">
        <f aca="false">IF(F12&lt;&gt;0,F41/F12,0)</f>
        <v>0.407425071511441</v>
      </c>
      <c r="G42" s="32" t="n">
        <f aca="false">IF(G12&lt;&gt;0,G41/G12,0)</f>
        <v>0.301317119151456</v>
      </c>
      <c r="H42" s="32" t="n">
        <f aca="false">IF(H12&lt;&gt;0,H41/H12,0)</f>
        <v>0.308361519579772</v>
      </c>
      <c r="I42" s="32" t="n">
        <f aca="false">IF(I12&lt;&gt;0,I41/I12,0)</f>
        <v>0.454506085592896</v>
      </c>
      <c r="J42" s="32" t="n">
        <f aca="false">IF(J12&lt;&gt;0,J41/J12,0)</f>
        <v>0.503681894842554</v>
      </c>
      <c r="K42" s="32" t="n">
        <f aca="false">IF(K12&lt;&gt;0,K41/K12,0)</f>
        <v>0.460753493752903</v>
      </c>
      <c r="L42" s="32" t="n">
        <f aca="false">IF(L12&lt;&gt;0,L41/L12,0)</f>
        <v>0.467488751190852</v>
      </c>
      <c r="M42" s="32" t="n">
        <f aca="false">IF(M12&lt;&gt;0,M41/M12,0)</f>
        <v>0.472203927986262</v>
      </c>
      <c r="N42" s="32" t="n">
        <f aca="false">IF(N12&lt;&gt;0,N41/N12,0)</f>
        <v>0.474887372019781</v>
      </c>
      <c r="O42" s="32" t="n">
        <f aca="false">IF(O12&lt;&gt;0,O41/O12,0)</f>
        <v>-0.205103717072147</v>
      </c>
      <c r="P42" s="32" t="n">
        <f aca="false">IF(P12&lt;&gt;0,P41/P12,0)</f>
        <v>0.55074276782958</v>
      </c>
      <c r="Q42" s="32" t="n">
        <f aca="false">IF(Q12&lt;&gt;0,Q41/Q12,0)</f>
        <v>0.614191394069411</v>
      </c>
      <c r="R42" s="32" t="n">
        <f aca="false">IF(R12&lt;&gt;0,R41/R12,0)</f>
        <v>0.532622104753952</v>
      </c>
      <c r="S42" s="32" t="n">
        <f aca="false">IF(S12&lt;&gt;0,S41/S12,0)</f>
        <v>0.397770406492212</v>
      </c>
      <c r="T42" s="32" t="n">
        <f aca="false">IF(T12&lt;&gt;0,T41/T12,0)</f>
        <v>0.397611141578258</v>
      </c>
      <c r="U42" s="32" t="n">
        <f aca="false">IF(U12&lt;&gt;0,U41/U12,0)</f>
        <v>0.413463724842551</v>
      </c>
      <c r="V42" s="32" t="n">
        <f aca="false">IF(V12&lt;&gt;0,V41/V12,0)</f>
        <v>0.368966290953207</v>
      </c>
      <c r="W42" s="32" t="n">
        <f aca="false">IF(W12&lt;&gt;0,W41/W12,0)</f>
        <v>0.357508805922599</v>
      </c>
      <c r="X42" s="32" t="n">
        <f aca="false">IF(X12&lt;&gt;0,X41/X12,0)</f>
        <v>0.34263025536552</v>
      </c>
      <c r="Y42" s="32" t="n">
        <f aca="false">IF(Y12&lt;&gt;0,Y41/Y12,0)</f>
        <v>0.324804437681239</v>
      </c>
      <c r="Z42" s="32" t="n">
        <f aca="false">IF(Z12&lt;&gt;0,Z41/Z12,0)</f>
        <v>0.304562688821901</v>
      </c>
      <c r="AA42" s="32" t="n">
        <f aca="false">IF(AA12&lt;&gt;0,AA41/AA12,0)</f>
        <v>0.36763074504606</v>
      </c>
      <c r="AB42" s="32" t="n">
        <f aca="false">IF(AB12&lt;&gt;0,AB41/AB12,0)</f>
        <v>0.162602315532144</v>
      </c>
      <c r="AC42" s="32" t="n">
        <f aca="false">IF(AC12&lt;&gt;0,AC41/AC12,0)</f>
        <v>-0.483280756000722</v>
      </c>
      <c r="AD42" s="32" t="n">
        <f aca="false">IF(AD12&lt;&gt;0,AD41/AD12,0)</f>
        <v>0.234109757669499</v>
      </c>
      <c r="AE42" s="32" t="n">
        <f aca="false">IF(AE12&lt;&gt;0,AE41/AE12,0)</f>
        <v>0.237253132180175</v>
      </c>
      <c r="AF42" s="32" t="n">
        <f aca="false">IF(AF12&lt;&gt;0,AF41/AF12,0)</f>
        <v>0.239169747774764</v>
      </c>
      <c r="AG42" s="32" t="n">
        <f aca="false">IF(AG12&lt;&gt;0,AG41/AG12,0)</f>
        <v>0.383964418295681</v>
      </c>
      <c r="AH42" s="32" t="n">
        <f aca="false">IF(AH12&lt;&gt;0,AH41/AH12,0)</f>
        <v>0.149507733720383</v>
      </c>
      <c r="AI42" s="32" t="n">
        <f aca="false">IF(AI12&lt;&gt;0,AI41/AI12,0)</f>
        <v>0.442884212711668</v>
      </c>
      <c r="AJ42" s="32" t="n">
        <f aca="false">IF(AJ12&lt;&gt;0,AJ41/AJ12,0)</f>
        <v>-0.0593393720544093</v>
      </c>
      <c r="AK42" s="32" t="n">
        <f aca="false">IF(AK12&lt;&gt;0,AK41/AK12,0)</f>
        <v>-0.0660654772374453</v>
      </c>
      <c r="AL42" s="32" t="n">
        <f aca="false">IF(AL12&lt;&gt;0,AL41/AL12,0)</f>
        <v>0.137746087584134</v>
      </c>
      <c r="AM42" s="32" t="n">
        <f aca="false">IF(AM12&lt;&gt;0,AM41/AM12,0)</f>
        <v>-0.239054225941888</v>
      </c>
      <c r="AN42" s="32" t="n">
        <f aca="false">IF(AN12&lt;&gt;0,AN41/AN12,0)</f>
        <v>-0.249208397860793</v>
      </c>
      <c r="AO42" s="32" t="n">
        <f aca="false">IF(AO12&lt;&gt;0,AO41/AO12,0)</f>
        <v>-0.262219322013803</v>
      </c>
      <c r="AP42" s="32" t="n">
        <f aca="false">IF(AP12&lt;&gt;0,AP41/AP12,0)</f>
        <v>-0.278145333236463</v>
      </c>
      <c r="AQ42" s="32" t="n">
        <f aca="false">IF(AQ12&lt;&gt;0,AQ41/AQ12,0)</f>
        <v>-0.297036989034802</v>
      </c>
      <c r="AR42" s="32" t="n">
        <f aca="false">IF(AR12&lt;&gt;0,AR41/AR12,0)</f>
        <v>0.290098147564082</v>
      </c>
      <c r="AS42" s="32" t="n">
        <f aca="false">IF(AS12&lt;&gt;0,AS41/AS12,0)</f>
        <v>-1.29731905239277</v>
      </c>
      <c r="AT42" s="32" t="n">
        <f aca="false">IF(AT12&lt;&gt;0,AT41/AT12,0)</f>
        <v>-1.32053538382976</v>
      </c>
      <c r="AU42" s="32" t="n">
        <f aca="false">IF(AU12&lt;&gt;0,AU41/AU12,0)</f>
        <v>-1.35539388624282</v>
      </c>
      <c r="AV42" s="32" t="n">
        <f aca="false">IF(AV12&lt;&gt;0,AV41/AV12,0)</f>
        <v>-1.40182099125774</v>
      </c>
      <c r="AW42" s="32" t="n">
        <f aca="false">IF(AW12&lt;&gt;0,AW41/AW12,0)</f>
        <v>-1.4597678751264</v>
      </c>
      <c r="AX42" s="32" t="n">
        <f aca="false">IF(AX12&lt;&gt;0,AX41/AX12,0)</f>
        <v>-1.52909362017277</v>
      </c>
      <c r="AY42" s="32" t="n">
        <f aca="false">IF(AY12&lt;&gt;0,AY41/AY12,0)</f>
        <v>-1.62770919542891</v>
      </c>
      <c r="AZ42" s="32" t="n">
        <f aca="false">IF(AZ12&lt;&gt;0,AZ41/AZ12,0)</f>
        <v>-1.71938970669176</v>
      </c>
      <c r="BA42" s="32" t="n">
        <f aca="false">IF(BA12&lt;&gt;0,BA41/BA12,0)</f>
        <v>-1.82109847886447</v>
      </c>
      <c r="BB42" s="32" t="n">
        <f aca="false">IF(BB12&lt;&gt;0,BB41/BB12,0)</f>
        <v>-1.93190834248957</v>
      </c>
      <c r="BC42" s="32" t="n">
        <f aca="false">IF(BC12&lt;&gt;0,BC41/BC12,0)</f>
        <v>-2.05061596790569</v>
      </c>
      <c r="BD42" s="32" t="n">
        <f aca="false">IF(BD12&lt;&gt;0,BD41/BD12,0)</f>
        <v>-2.1756544827631</v>
      </c>
      <c r="BE42" s="32" t="n">
        <f aca="false">IF(BE12&lt;&gt;0,BE41/BE12,0)</f>
        <v>-2.30522785683083</v>
      </c>
      <c r="BF42" s="32" t="n">
        <f aca="false">IF(BF12&lt;&gt;0,BF41/BF12,0)</f>
        <v>-0.135000986925478</v>
      </c>
      <c r="BG42" s="32" t="n">
        <f aca="false">IF(BG12&lt;&gt;0,BG41/BG12,0)</f>
        <v>0</v>
      </c>
      <c r="BH42" s="32" t="n">
        <f aca="false">IF(BH12&lt;&gt;0,BH41/BH12,0)</f>
        <v>0</v>
      </c>
      <c r="BI42" s="32" t="n">
        <f aca="false">IF(BI12&lt;&gt;0,BI41/BI12,0)</f>
        <v>0</v>
      </c>
      <c r="BJ42" s="32" t="n">
        <f aca="false">IF(BJ12&lt;&gt;0,BJ41/BJ12,0)</f>
        <v>0</v>
      </c>
      <c r="BK42" s="32" t="n">
        <f aca="false">IF(BK12&lt;&gt;0,BK41/BK12,0)</f>
        <v>0</v>
      </c>
      <c r="BL42" s="32" t="n">
        <f aca="false">IF(BL12&lt;&gt;0,BL41/BL12,0)</f>
        <v>0</v>
      </c>
      <c r="BM42" s="32" t="n">
        <f aca="false">IF(BM12&lt;&gt;0,BM41/BM12,0)</f>
        <v>0</v>
      </c>
      <c r="BN42" s="32" t="n">
        <f aca="false">IF(BN12&lt;&gt;0,BN41/BN12,0)</f>
        <v>0</v>
      </c>
      <c r="BO42" s="32" t="n">
        <f aca="false">IF(BO12&lt;&gt;0,BO41/BO12,0)</f>
        <v>0</v>
      </c>
      <c r="BP42" s="32" t="n">
        <f aca="false">IF(BP12&lt;&gt;0,BP41/BP12,0)</f>
        <v>0</v>
      </c>
      <c r="BQ42" s="32" t="n">
        <f aca="false">IF(BQ12&lt;&gt;0,BQ41/BQ12,0)</f>
        <v>0</v>
      </c>
      <c r="BR42" s="32" t="n">
        <f aca="false">IF(BR12&lt;&gt;0,BR41/BR12,0)</f>
        <v>0</v>
      </c>
      <c r="BS42" s="32" t="n">
        <f aca="false">IF(BS12&lt;&gt;0,BS41/BS12,0)</f>
        <v>0</v>
      </c>
      <c r="BT42" s="32" t="n">
        <f aca="false">IF(BT12&lt;&gt;0,BT41/BT12,0)</f>
        <v>0</v>
      </c>
      <c r="BU42" s="32" t="n">
        <f aca="false">IF(BU12&lt;&gt;0,BU41/BU12,0)</f>
        <v>0</v>
      </c>
      <c r="BV42" s="32" t="n">
        <f aca="false">IF(BV12&lt;&gt;0,BV41/BV12,0)</f>
        <v>0</v>
      </c>
      <c r="BW42" s="32" t="n">
        <f aca="false">IF(BW12&lt;&gt;0,BW41/BW12,0)</f>
        <v>0</v>
      </c>
      <c r="BX42" s="32" t="n">
        <f aca="false">IF(BX12&lt;&gt;0,BX41/BX12,0)</f>
        <v>0</v>
      </c>
      <c r="BY42" s="32" t="n">
        <f aca="false">IF(BY12&lt;&gt;0,BY41/BY12,0)</f>
        <v>0</v>
      </c>
      <c r="BZ42" s="32" t="n">
        <f aca="false">IF(BZ12&lt;&gt;0,BZ41/BZ12,0)</f>
        <v>0</v>
      </c>
      <c r="CA42" s="32" t="n">
        <f aca="false">IF(CA12&lt;&gt;0,CA41/CA12,0)</f>
        <v>0</v>
      </c>
      <c r="CB42" s="32" t="n">
        <f aca="false">IF(CB12&lt;&gt;0,CB41/CB12,0)</f>
        <v>0</v>
      </c>
      <c r="CC42" s="32" t="n">
        <f aca="false">IF(CC12&lt;&gt;0,CC41/CC12,0)</f>
        <v>0</v>
      </c>
      <c r="CD42" s="32" t="n">
        <f aca="false">IF(CD12&lt;&gt;0,CD41/CD12,0)</f>
        <v>0</v>
      </c>
      <c r="CE42" s="32" t="n">
        <f aca="false">IF(CE12&lt;&gt;0,CE41/CE12,0)</f>
        <v>0</v>
      </c>
      <c r="CF42" s="32" t="n">
        <f aca="false">IF(CF12&lt;&gt;0,CF41/CF12,0)</f>
        <v>0</v>
      </c>
      <c r="CG42" s="32" t="n">
        <f aca="false">IF(CG12&lt;&gt;0,CG41/CG12,0)</f>
        <v>0</v>
      </c>
      <c r="CH42" s="32" t="n">
        <f aca="false">IF(CH12&lt;&gt;0,CH41/CH12,0)</f>
        <v>0</v>
      </c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5"/>
    </row>
    <row r="45" customFormat="false" ht="15" hidden="false" customHeight="true" outlineLevel="0" collapsed="false">
      <c r="A45" s="28" t="s">
        <v>86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5"/>
    </row>
    <row r="46" customFormat="false" ht="15" hidden="false" customHeight="true" outlineLevel="0" collapsed="false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IF(1&lt;=Assumptions!$B$68,Assumptions!$B$67,0)</f>
        <v>833.33</v>
      </c>
      <c r="D47" s="10" t="n">
        <f aca="false">IF(2&lt;=Assumptions!$B$68,Assumptions!$B$67,0)</f>
        <v>833.33</v>
      </c>
      <c r="E47" s="10" t="n">
        <f aca="false">IF(3&lt;=Assumptions!$B$68,Assumptions!$B$67,0)</f>
        <v>833.33</v>
      </c>
      <c r="F47" s="10" t="n">
        <f aca="false">IF(4&lt;=Assumptions!$B$68,Assumptions!$B$67,0)</f>
        <v>833.33</v>
      </c>
      <c r="G47" s="10" t="n">
        <f aca="false">IF(5&lt;=Assumptions!$B$68,Assumptions!$B$67,0)</f>
        <v>833.33</v>
      </c>
      <c r="H47" s="10" t="n">
        <f aca="false">IF(6&lt;=Assumptions!$B$68,Assumptions!$B$67,0)</f>
        <v>0</v>
      </c>
      <c r="I47" s="10" t="n">
        <f aca="false">IF(7&lt;=Assumptions!$B$68,Assumptions!$B$67,0)</f>
        <v>0</v>
      </c>
      <c r="J47" s="10" t="n">
        <f aca="false">IF(8&lt;=Assumptions!$B$68,Assumptions!$B$67,0)</f>
        <v>0</v>
      </c>
      <c r="K47" s="10" t="n">
        <f aca="false">IF(9&lt;=Assumptions!$B$68,Assumptions!$B$67,0)</f>
        <v>0</v>
      </c>
      <c r="L47" s="10" t="n">
        <f aca="false">IF(10&lt;=Assumptions!$B$68,Assumptions!$B$67,0)</f>
        <v>0</v>
      </c>
      <c r="M47" s="10" t="n">
        <f aca="false">IF(11&lt;=Assumptions!$B$68,Assumptions!$B$67,0)</f>
        <v>0</v>
      </c>
      <c r="N47" s="10" t="n">
        <f aca="false">IF(12&lt;=Assumptions!$B$68,Assumptions!$B$67,0)</f>
        <v>0</v>
      </c>
      <c r="O47" s="10" t="n">
        <f aca="false">IF(13&lt;=Assumptions!$B$68,Assumptions!$B$67,0)</f>
        <v>0</v>
      </c>
      <c r="P47" s="10" t="n">
        <f aca="false">IF(14&lt;=Assumptions!$B$68,Assumptions!$B$67,0)</f>
        <v>0</v>
      </c>
      <c r="Q47" s="10" t="n">
        <f aca="false">IF(15&lt;=Assumptions!$B$68,Assumptions!$B$67,0)</f>
        <v>0</v>
      </c>
      <c r="R47" s="10" t="n">
        <f aca="false">IF(16&lt;=Assumptions!$B$68,Assumptions!$B$67,0)</f>
        <v>0</v>
      </c>
      <c r="S47" s="10" t="n">
        <f aca="false">IF(17&lt;=Assumptions!$B$68,Assumptions!$B$67,0)</f>
        <v>0</v>
      </c>
      <c r="T47" s="10" t="n">
        <f aca="false">IF(18&lt;=Assumptions!$B$68,Assumptions!$B$67,0)</f>
        <v>0</v>
      </c>
      <c r="U47" s="10" t="n">
        <f aca="false">IF(19&lt;=Assumptions!$B$68,Assumptions!$B$67,0)</f>
        <v>0</v>
      </c>
      <c r="V47" s="10" t="n">
        <f aca="false">IF(20&lt;=Assumptions!$B$68,Assumptions!$B$67,0)</f>
        <v>0</v>
      </c>
      <c r="W47" s="10" t="n">
        <f aca="false">IF(21&lt;=Assumptions!$B$68,Assumptions!$B$67,0)</f>
        <v>0</v>
      </c>
      <c r="X47" s="10" t="n">
        <f aca="false">IF(22&lt;=Assumptions!$B$68,Assumptions!$B$67,0)</f>
        <v>0</v>
      </c>
      <c r="Y47" s="10" t="n">
        <f aca="false">IF(23&lt;=Assumptions!$B$68,Assumptions!$B$67,0)</f>
        <v>0</v>
      </c>
      <c r="Z47" s="10" t="n">
        <f aca="false">IF(24&lt;=Assumptions!$B$68,Assumptions!$B$67,0)</f>
        <v>0</v>
      </c>
      <c r="AA47" s="10" t="n">
        <f aca="false">IF(25&lt;=Assumptions!$B$68,Assumptions!$B$67,0)</f>
        <v>0</v>
      </c>
      <c r="AB47" s="10" t="n">
        <f aca="false">IF(26&lt;=Assumptions!$B$68,Assumptions!$B$67,0)</f>
        <v>0</v>
      </c>
      <c r="AC47" s="10" t="n">
        <f aca="false">IF(27&lt;=Assumptions!$B$68,Assumptions!$B$67,0)</f>
        <v>0</v>
      </c>
      <c r="AD47" s="10" t="n">
        <f aca="false">IF(28&lt;=Assumptions!$B$68,Assumptions!$B$67,0)</f>
        <v>0</v>
      </c>
      <c r="AE47" s="10" t="n">
        <f aca="false">IF(29&lt;=Assumptions!$B$68,Assumptions!$B$67,0)</f>
        <v>0</v>
      </c>
      <c r="AF47" s="10" t="n">
        <f aca="false">IF(30&lt;=Assumptions!$B$68,Assumptions!$B$67,0)</f>
        <v>0</v>
      </c>
      <c r="AG47" s="10" t="n">
        <f aca="false">IF(31&lt;=Assumptions!$B$68,Assumptions!$B$67,0)</f>
        <v>0</v>
      </c>
      <c r="AH47" s="10" t="n">
        <f aca="false">IF(32&lt;=Assumptions!$B$68,Assumptions!$B$67,0)</f>
        <v>0</v>
      </c>
      <c r="AI47" s="10" t="n">
        <f aca="false">IF(33&lt;=Assumptions!$B$68,Assumptions!$B$67,0)</f>
        <v>0</v>
      </c>
      <c r="AJ47" s="10" t="n">
        <f aca="false">IF(34&lt;=Assumptions!$B$68,Assumptions!$B$67,0)</f>
        <v>0</v>
      </c>
      <c r="AK47" s="10" t="n">
        <f aca="false">IF(35&lt;=Assumptions!$B$68,Assumptions!$B$67,0)</f>
        <v>0</v>
      </c>
      <c r="AL47" s="10" t="n">
        <f aca="false">IF(36&lt;=Assumptions!$B$68,Assumptions!$B$67,0)</f>
        <v>0</v>
      </c>
      <c r="AM47" s="10" t="n">
        <f aca="false">IF(37&lt;=Assumptions!$B$68,Assumptions!$B$67,0)</f>
        <v>0</v>
      </c>
      <c r="AN47" s="10" t="n">
        <f aca="false">IF(38&lt;=Assumptions!$B$68,Assumptions!$B$67,0)</f>
        <v>0</v>
      </c>
      <c r="AO47" s="10" t="n">
        <f aca="false">IF(39&lt;=Assumptions!$B$68,Assumptions!$B$67,0)</f>
        <v>0</v>
      </c>
      <c r="AP47" s="10" t="n">
        <f aca="false">IF(40&lt;=Assumptions!$B$68,Assumptions!$B$67,0)</f>
        <v>0</v>
      </c>
      <c r="AQ47" s="10" t="n">
        <f aca="false">IF(41&lt;=Assumptions!$B$68,Assumptions!$B$67,0)</f>
        <v>0</v>
      </c>
      <c r="AR47" s="10" t="n">
        <f aca="false">IF(42&lt;=Assumptions!$B$68,Assumptions!$B$67,0)</f>
        <v>0</v>
      </c>
      <c r="AS47" s="10" t="n">
        <f aca="false">IF(43&lt;=Assumptions!$B$68,Assumptions!$B$67,0)</f>
        <v>0</v>
      </c>
      <c r="AT47" s="10" t="n">
        <f aca="false">IF(44&lt;=Assumptions!$B$68,Assumptions!$B$67,0)</f>
        <v>0</v>
      </c>
      <c r="AU47" s="10" t="n">
        <f aca="false">IF(45&lt;=Assumptions!$B$68,Assumptions!$B$67,0)</f>
        <v>0</v>
      </c>
      <c r="AV47" s="10" t="n">
        <f aca="false">IF(46&lt;=Assumptions!$B$68,Assumptions!$B$67,0)</f>
        <v>0</v>
      </c>
      <c r="AW47" s="10" t="n">
        <f aca="false">IF(47&lt;=Assumptions!$B$68,Assumptions!$B$67,0)</f>
        <v>0</v>
      </c>
      <c r="AX47" s="10" t="n">
        <f aca="false">IF(48&lt;=Assumptions!$B$68,Assumptions!$B$67,0)</f>
        <v>0</v>
      </c>
      <c r="AY47" s="10" t="n">
        <f aca="false">IF(49&lt;=Assumptions!$B$68,Assumptions!$B$67,0)</f>
        <v>0</v>
      </c>
      <c r="AZ47" s="10" t="n">
        <f aca="false">IF(50&lt;=Assumptions!$B$68,Assumptions!$B$67,0)</f>
        <v>0</v>
      </c>
      <c r="BA47" s="10" t="n">
        <f aca="false">IF(51&lt;=Assumptions!$B$68,Assumptions!$B$67,0)</f>
        <v>0</v>
      </c>
      <c r="BB47" s="10" t="n">
        <f aca="false">IF(52&lt;=Assumptions!$B$68,Assumptions!$B$67,0)</f>
        <v>0</v>
      </c>
      <c r="BC47" s="10" t="n">
        <f aca="false">IF(53&lt;=Assumptions!$B$68,Assumptions!$B$67,0)</f>
        <v>0</v>
      </c>
      <c r="BD47" s="10" t="n">
        <f aca="false">IF(54&lt;=Assumptions!$B$68,Assumptions!$B$67,0)</f>
        <v>0</v>
      </c>
      <c r="BE47" s="10" t="n">
        <f aca="false">IF(55&lt;=Assumptions!$B$68,Assumptions!$B$67,0)</f>
        <v>0</v>
      </c>
      <c r="BF47" s="10" t="n">
        <f aca="false">IF(56&lt;=Assumptions!$B$68,Assumptions!$B$67,0)</f>
        <v>0</v>
      </c>
      <c r="BG47" s="10" t="n">
        <f aca="false">IF(57&lt;=Assumptions!$B$68,Assumptions!$B$67,0)</f>
        <v>0</v>
      </c>
      <c r="BH47" s="10" t="n">
        <f aca="false">IF(58&lt;=Assumptions!$B$68,Assumptions!$B$67,0)</f>
        <v>0</v>
      </c>
      <c r="BI47" s="10" t="n">
        <f aca="false">IF(59&lt;=Assumptions!$B$68,Assumptions!$B$67,0)</f>
        <v>0</v>
      </c>
      <c r="BJ47" s="10" t="n">
        <f aca="false">IF(60&lt;=Assumptions!$B$68,Assumptions!$B$67,0)</f>
        <v>0</v>
      </c>
      <c r="BK47" s="10" t="n">
        <f aca="false">IF(61&lt;=Assumptions!$B$68,Assumptions!$B$67,0)</f>
        <v>0</v>
      </c>
      <c r="BL47" s="10" t="n">
        <f aca="false">IF(62&lt;=Assumptions!$B$68,Assumptions!$B$67,0)</f>
        <v>0</v>
      </c>
      <c r="BM47" s="10" t="n">
        <f aca="false">IF(63&lt;=Assumptions!$B$68,Assumptions!$B$67,0)</f>
        <v>0</v>
      </c>
      <c r="BN47" s="10" t="n">
        <f aca="false">IF(64&lt;=Assumptions!$B$68,Assumptions!$B$67,0)</f>
        <v>0</v>
      </c>
      <c r="BO47" s="10" t="n">
        <f aca="false">IF(65&lt;=Assumptions!$B$68,Assumptions!$B$67,0)</f>
        <v>0</v>
      </c>
      <c r="BP47" s="10" t="n">
        <f aca="false">IF(66&lt;=Assumptions!$B$68,Assumptions!$B$67,0)</f>
        <v>0</v>
      </c>
      <c r="BQ47" s="10" t="n">
        <f aca="false">IF(67&lt;=Assumptions!$B$68,Assumptions!$B$67,0)</f>
        <v>0</v>
      </c>
      <c r="BR47" s="10" t="n">
        <f aca="false">IF(68&lt;=Assumptions!$B$68,Assumptions!$B$67,0)</f>
        <v>0</v>
      </c>
      <c r="BS47" s="10" t="n">
        <f aca="false">IF(69&lt;=Assumptions!$B$68,Assumptions!$B$67,0)</f>
        <v>0</v>
      </c>
      <c r="BT47" s="10" t="n">
        <f aca="false">IF(70&lt;=Assumptions!$B$68,Assumptions!$B$67,0)</f>
        <v>0</v>
      </c>
      <c r="BU47" s="10" t="n">
        <f aca="false">IF(71&lt;=Assumptions!$B$68,Assumptions!$B$67,0)</f>
        <v>0</v>
      </c>
      <c r="BV47" s="10" t="n">
        <f aca="false">IF(72&lt;=Assumptions!$B$68,Assumptions!$B$67,0)</f>
        <v>0</v>
      </c>
      <c r="BW47" s="10" t="n">
        <f aca="false">IF(73&lt;=Assumptions!$B$68,Assumptions!$B$67,0)</f>
        <v>0</v>
      </c>
      <c r="BX47" s="10" t="n">
        <f aca="false">IF(74&lt;=Assumptions!$B$68,Assumptions!$B$67,0)</f>
        <v>0</v>
      </c>
      <c r="BY47" s="10" t="n">
        <f aca="false">IF(75&lt;=Assumptions!$B$68,Assumptions!$B$67,0)</f>
        <v>0</v>
      </c>
      <c r="BZ47" s="10" t="n">
        <f aca="false">IF(76&lt;=Assumptions!$B$68,Assumptions!$B$67,0)</f>
        <v>0</v>
      </c>
      <c r="CA47" s="10" t="n">
        <f aca="false">IF(77&lt;=Assumptions!$B$68,Assumptions!$B$67,0)</f>
        <v>0</v>
      </c>
      <c r="CB47" s="10" t="n">
        <f aca="false">IF(78&lt;=Assumptions!$B$68,Assumptions!$B$67,0)</f>
        <v>0</v>
      </c>
      <c r="CC47" s="10" t="n">
        <f aca="false">IF(79&lt;=Assumptions!$B$68,Assumptions!$B$67,0)</f>
        <v>0</v>
      </c>
      <c r="CD47" s="10" t="n">
        <f aca="false">IF(80&lt;=Assumptions!$B$68,Assumptions!$B$67,0)</f>
        <v>0</v>
      </c>
      <c r="CE47" s="10" t="n">
        <f aca="false">IF(81&lt;=Assumptions!$B$68,Assumptions!$B$67,0)</f>
        <v>0</v>
      </c>
      <c r="CF47" s="10" t="n">
        <f aca="false">IF(82&lt;=Assumptions!$B$68,Assumptions!$B$67,0)</f>
        <v>0</v>
      </c>
      <c r="CG47" s="10" t="n">
        <f aca="false">IF(83&lt;=Assumptions!$B$68,Assumptions!$B$67,0)</f>
        <v>0</v>
      </c>
      <c r="CH47" s="10" t="n">
        <f aca="false">IF(84&lt;=Assumptions!$B$68,Assumptions!$B$67,0)</f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f aca="false">IF(Projects!$G$3="Yes",23906.25,0)</f>
        <v>23906.25</v>
      </c>
      <c r="D48" s="10" t="n">
        <f aca="false">IF(Projects!$G$3="Yes",23906.25,0)</f>
        <v>23906.25</v>
      </c>
      <c r="E48" s="10" t="n">
        <f aca="false">IF(Projects!$G$3="Yes",23906.25,0)</f>
        <v>23906.25</v>
      </c>
      <c r="F48" s="10" t="n">
        <f aca="false">IF(Projects!$G$3="Yes",23906.25,0)</f>
        <v>23906.25</v>
      </c>
      <c r="G48" s="10" t="n">
        <f aca="false">IF(Projects!$G$3="Yes",23906.25,0)</f>
        <v>23906.25</v>
      </c>
      <c r="H48" s="10" t="n">
        <f aca="false">IF(Projects!$G$3="Yes",23906.25,0)</f>
        <v>23906.25</v>
      </c>
      <c r="I48" s="10" t="n">
        <f aca="false">IF(Projects!$G$3="Yes",23906.25,0)</f>
        <v>23906.25</v>
      </c>
      <c r="J48" s="10" t="n">
        <f aca="false">IF(Projects!$G$3="Yes",23906.25,0)</f>
        <v>23906.25</v>
      </c>
      <c r="K48" s="10" t="n">
        <f aca="false">IF(Projects!$G$3="Yes",23906.25,0)</f>
        <v>23906.25</v>
      </c>
      <c r="L48" s="10" t="n">
        <f aca="false">IF(Projects!$G$3="Yes",23906.25,0)</f>
        <v>23906.25</v>
      </c>
      <c r="M48" s="10" t="n">
        <f aca="false">IF(Projects!$G$3="Yes",23906.25,0)</f>
        <v>23906.25</v>
      </c>
      <c r="N48" s="10" t="n">
        <f aca="false">IF(Projects!$G$3="Yes",23906.25,0)</f>
        <v>23906.25</v>
      </c>
      <c r="O48" s="10" t="n">
        <f aca="false">IF(Projects!$G$3="Yes",23906.25,0)</f>
        <v>23906.25</v>
      </c>
      <c r="P48" s="10" t="n">
        <f aca="false">IF(Projects!$G$3="Yes",23906.25,0)</f>
        <v>23906.25</v>
      </c>
      <c r="Q48" s="10" t="n">
        <f aca="false">IF(Projects!$G$3="Yes",23906.25,0)</f>
        <v>23906.25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f aca="false">IF(Projects!$G$3="Yes",57375,0)</f>
        <v>57375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f aca="false">IF(Projects!$G$3="Yes",57375,0)</f>
        <v>57375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f aca="false">IF(Projects!$G$3="Yes",57375,0)</f>
        <v>57375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f aca="false">IF(Projects!$G$2="Yes",9375,0)</f>
        <v>9375</v>
      </c>
      <c r="D52" s="10" t="n">
        <f aca="false">IF(Projects!$G$2="Yes",9375,0)</f>
        <v>9375</v>
      </c>
      <c r="E52" s="10" t="n">
        <f aca="false">IF(Projects!$G$2="Yes",9375,0)</f>
        <v>9375</v>
      </c>
      <c r="F52" s="10" t="n">
        <f aca="false">IF(Projects!$G$2="Yes",9375,0)</f>
        <v>9375</v>
      </c>
      <c r="G52" s="10" t="n">
        <f aca="false">IF(Projects!$G$2="Yes",9375,0)</f>
        <v>9375</v>
      </c>
      <c r="H52" s="10" t="n">
        <f aca="false">IF(Projects!$G$2="Yes",9375,0)</f>
        <v>9375</v>
      </c>
      <c r="I52" s="10" t="n">
        <f aca="false">IF(Projects!$G$2="Yes",9375,0)</f>
        <v>9375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9500</v>
      </c>
      <c r="D53" s="10" t="n">
        <v>9500</v>
      </c>
      <c r="E53" s="10" t="n">
        <v>9500</v>
      </c>
      <c r="F53" s="10" t="n">
        <v>9500</v>
      </c>
      <c r="G53" s="10" t="n">
        <v>9500</v>
      </c>
      <c r="H53" s="10" t="n">
        <v>9500</v>
      </c>
      <c r="I53" s="10" t="n">
        <v>9500</v>
      </c>
      <c r="J53" s="10" t="n">
        <v>9500</v>
      </c>
      <c r="K53" s="10" t="n">
        <v>9500</v>
      </c>
      <c r="L53" s="10" t="n">
        <v>9500</v>
      </c>
      <c r="M53" s="10" t="n">
        <v>9500</v>
      </c>
      <c r="N53" s="10" t="n">
        <v>9500</v>
      </c>
      <c r="O53" s="10" t="n">
        <v>9500</v>
      </c>
      <c r="P53" s="10" t="n">
        <v>9500</v>
      </c>
      <c r="Q53" s="10" t="n">
        <v>9500</v>
      </c>
      <c r="R53" s="10" t="n">
        <v>9500</v>
      </c>
      <c r="S53" s="10" t="n">
        <v>9500</v>
      </c>
      <c r="T53" s="10" t="n">
        <v>9500</v>
      </c>
      <c r="U53" s="10" t="n">
        <v>9500</v>
      </c>
      <c r="V53" s="10" t="n">
        <v>9500</v>
      </c>
      <c r="W53" s="10" t="n">
        <v>9500</v>
      </c>
      <c r="X53" s="10" t="n">
        <v>9500</v>
      </c>
      <c r="Y53" s="10" t="n">
        <v>9500</v>
      </c>
      <c r="Z53" s="10" t="n">
        <v>9500</v>
      </c>
      <c r="AA53" s="10" t="n">
        <v>9500</v>
      </c>
      <c r="AB53" s="10" t="n">
        <v>9500</v>
      </c>
      <c r="AC53" s="10" t="n">
        <v>9500</v>
      </c>
      <c r="AD53" s="10" t="n">
        <v>9500</v>
      </c>
      <c r="AE53" s="10" t="n">
        <v>9500</v>
      </c>
      <c r="AF53" s="10" t="n">
        <v>9500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0</v>
      </c>
      <c r="H54" s="10" t="n">
        <f aca="false">IF(Projects!$G$11="Yes",6315.79,0)</f>
        <v>0</v>
      </c>
      <c r="I54" s="10" t="n">
        <f aca="false">IF(Projects!$G$11="Yes",6315.79,0)</f>
        <v>0</v>
      </c>
      <c r="J54" s="10" t="n">
        <f aca="false">IF(Projects!$G$11="Yes",6315.79,0)</f>
        <v>0</v>
      </c>
      <c r="K54" s="10" t="n">
        <f aca="false">IF(Projects!$G$11="Yes",6315.79,0)</f>
        <v>0</v>
      </c>
      <c r="L54" s="10" t="n">
        <f aca="false">IF(Projects!$G$11="Yes",6315.79,0)</f>
        <v>0</v>
      </c>
      <c r="M54" s="10" t="n">
        <f aca="false">IF(Projects!$G$11="Yes",6315.79,0)</f>
        <v>0</v>
      </c>
      <c r="N54" s="10" t="n">
        <f aca="false">IF(Projects!$G$11="Yes",6315.79,0)</f>
        <v>0</v>
      </c>
      <c r="O54" s="10" t="n">
        <f aca="false">IF(Projects!$G$11="Yes",6315.79,0)</f>
        <v>0</v>
      </c>
      <c r="P54" s="10" t="n">
        <f aca="false">IF(Projects!$G$11="Yes",6315.79,0)</f>
        <v>0</v>
      </c>
      <c r="Q54" s="10" t="n">
        <f aca="false">IF(Projects!$G$11="Yes",6315.79,0)</f>
        <v>0</v>
      </c>
      <c r="R54" s="10" t="n">
        <f aca="false">IF(Projects!$G$11="Yes",6315.79,0)</f>
        <v>0</v>
      </c>
      <c r="S54" s="10" t="n">
        <f aca="false">IF(Projects!$G$11="Yes",6315.79,0)</f>
        <v>0</v>
      </c>
      <c r="T54" s="10" t="n">
        <f aca="false">IF(Projects!$G$11="Yes",6315.79,0)</f>
        <v>0</v>
      </c>
      <c r="U54" s="10" t="n">
        <f aca="false">IF(Projects!$G$11="Yes",6315.79,0)</f>
        <v>0</v>
      </c>
      <c r="V54" s="10" t="n">
        <f aca="false">IF(Projects!$G$11="Yes",6315.79,0)</f>
        <v>0</v>
      </c>
      <c r="W54" s="10" t="n">
        <f aca="false">IF(Projects!$G$11="Yes",6315.79,0)</f>
        <v>0</v>
      </c>
      <c r="X54" s="10" t="n">
        <f aca="false">IF(Projects!$G$11="Yes",6315.79,0)</f>
        <v>0</v>
      </c>
      <c r="Y54" s="10" t="n">
        <f aca="false">IF(Projects!$G$11="Yes",6315.79,0)</f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IF(Projects!$G$11="Yes",6315.79,0)</f>
        <v>0</v>
      </c>
      <c r="H55" s="10" t="n">
        <f aca="false">IF(Projects!$G$11="Yes",6315.79,0)</f>
        <v>0</v>
      </c>
      <c r="I55" s="10" t="n">
        <f aca="false">IF(Projects!$G$11="Yes",6315.79,0)</f>
        <v>0</v>
      </c>
      <c r="J55" s="10" t="n">
        <f aca="false">IF(Projects!$G$11="Yes",6315.79,0)</f>
        <v>0</v>
      </c>
      <c r="K55" s="10" t="n">
        <f aca="false">IF(Projects!$G$11="Yes",6315.79,0)</f>
        <v>0</v>
      </c>
      <c r="L55" s="10" t="n">
        <f aca="false">IF(Projects!$G$11="Yes",6315.79,0)</f>
        <v>0</v>
      </c>
      <c r="M55" s="10" t="n">
        <f aca="false">IF(Projects!$G$11="Yes",6315.79,0)</f>
        <v>0</v>
      </c>
      <c r="N55" s="10" t="n">
        <f aca="false">IF(Projects!$G$11="Yes",6315.79,0)</f>
        <v>0</v>
      </c>
      <c r="O55" s="10" t="n">
        <f aca="false">IF(Projects!$G$11="Yes",6315.79,0)</f>
        <v>0</v>
      </c>
      <c r="P55" s="10" t="n">
        <f aca="false">IF(Projects!$G$11="Yes",6315.79,0)</f>
        <v>0</v>
      </c>
      <c r="Q55" s="10" t="n">
        <f aca="false">IF(Projects!$G$11="Yes",6315.79,0)</f>
        <v>0</v>
      </c>
      <c r="R55" s="10" t="n">
        <f aca="false">IF(Projects!$G$11="Yes",6315.79,0)</f>
        <v>0</v>
      </c>
      <c r="S55" s="10" t="n">
        <f aca="false">IF(Projects!$G$11="Yes",6315.79,0)</f>
        <v>0</v>
      </c>
      <c r="T55" s="10" t="n">
        <f aca="false">IF(Projects!$G$11="Yes",6315.79,0)</f>
        <v>0</v>
      </c>
      <c r="U55" s="10" t="n">
        <f aca="false">IF(Projects!$G$11="Yes",6315.79,0)</f>
        <v>0</v>
      </c>
      <c r="V55" s="10" t="n">
        <f aca="false">IF(Projects!$G$11="Yes",6315.79,0)</f>
        <v>0</v>
      </c>
      <c r="W55" s="10" t="n">
        <f aca="false">IF(Projects!$G$11="Yes",6315.79,0)</f>
        <v>0</v>
      </c>
      <c r="X55" s="10" t="n">
        <f aca="false">IF(Projects!$G$11="Yes",6315.79,0)</f>
        <v>0</v>
      </c>
      <c r="Y55" s="10" t="n">
        <f aca="false">IF(Projects!$G$11="Yes",6315.79,0)</f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f aca="false">IF(Projects!$G$11="Yes",253980,0)</f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IF(Projects!$G$12="Yes",6315.79,0)</f>
        <v>0</v>
      </c>
      <c r="I57" s="10" t="n">
        <f aca="false">IF(Projects!$G$12="Yes",6315.79,0)</f>
        <v>0</v>
      </c>
      <c r="J57" s="10" t="n">
        <f aca="false">IF(Projects!$G$12="Yes",6315.79,0)</f>
        <v>0</v>
      </c>
      <c r="K57" s="10" t="n">
        <f aca="false">IF(Projects!$G$12="Yes",6315.79,0)</f>
        <v>0</v>
      </c>
      <c r="L57" s="10" t="n">
        <f aca="false">IF(Projects!$G$12="Yes",6315.79,0)</f>
        <v>0</v>
      </c>
      <c r="M57" s="10" t="n">
        <f aca="false">IF(Projects!$G$12="Yes",6315.79,0)</f>
        <v>0</v>
      </c>
      <c r="N57" s="10" t="n">
        <f aca="false">IF(Projects!$G$12="Yes",6315.79,0)</f>
        <v>0</v>
      </c>
      <c r="O57" s="10" t="n">
        <f aca="false">IF(Projects!$G$12="Yes",6315.79,0)</f>
        <v>0</v>
      </c>
      <c r="P57" s="10" t="n">
        <f aca="false">IF(Projects!$G$12="Yes",6315.79,0)</f>
        <v>0</v>
      </c>
      <c r="Q57" s="10" t="n">
        <f aca="false">IF(Projects!$G$12="Yes",6315.79,0)</f>
        <v>0</v>
      </c>
      <c r="R57" s="10" t="n">
        <f aca="false">IF(Projects!$G$12="Yes",6315.79,0)</f>
        <v>0</v>
      </c>
      <c r="S57" s="10" t="n">
        <f aca="false">IF(Projects!$G$12="Yes",6315.79,0)</f>
        <v>0</v>
      </c>
      <c r="T57" s="10" t="n">
        <f aca="false">IF(Projects!$G$12="Yes",6315.79,0)</f>
        <v>0</v>
      </c>
      <c r="U57" s="10" t="n">
        <f aca="false">IF(Projects!$G$12="Yes",6315.79,0)</f>
        <v>0</v>
      </c>
      <c r="V57" s="10" t="n">
        <f aca="false">IF(Projects!$G$12="Yes",6315.79,0)</f>
        <v>0</v>
      </c>
      <c r="W57" s="10" t="n">
        <f aca="false">IF(Projects!$G$12="Yes",6315.79,0)</f>
        <v>0</v>
      </c>
      <c r="X57" s="10" t="n">
        <f aca="false">IF(Projects!$G$12="Yes",6315.79,0)</f>
        <v>0</v>
      </c>
      <c r="Y57" s="10" t="n">
        <f aca="false">IF(Projects!$G$12="Yes",6315.79,0)</f>
        <v>0</v>
      </c>
      <c r="Z57" s="10" t="n">
        <f aca="false">IF(Projects!$G$12="Yes",6315.79,0)</f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IF(Projects!$G$12="Yes",4736.84,0)</f>
        <v>0</v>
      </c>
      <c r="I58" s="10" t="n">
        <f aca="false">IF(Projects!$G$12="Yes",4736.84,0)</f>
        <v>0</v>
      </c>
      <c r="J58" s="10" t="n">
        <f aca="false">IF(Projects!$G$12="Yes",4736.84,0)</f>
        <v>0</v>
      </c>
      <c r="K58" s="10" t="n">
        <f aca="false">IF(Projects!$G$12="Yes",4736.84,0)</f>
        <v>0</v>
      </c>
      <c r="L58" s="10" t="n">
        <f aca="false">IF(Projects!$G$12="Yes",4736.84,0)</f>
        <v>0</v>
      </c>
      <c r="M58" s="10" t="n">
        <f aca="false">IF(Projects!$G$12="Yes",4736.84,0)</f>
        <v>0</v>
      </c>
      <c r="N58" s="10" t="n">
        <f aca="false">IF(Projects!$G$12="Yes",4736.84,0)</f>
        <v>0</v>
      </c>
      <c r="O58" s="10" t="n">
        <f aca="false">IF(Projects!$G$12="Yes",4736.84,0)</f>
        <v>0</v>
      </c>
      <c r="P58" s="10" t="n">
        <f aca="false">IF(Projects!$G$12="Yes",4736.84,0)</f>
        <v>0</v>
      </c>
      <c r="Q58" s="10" t="n">
        <f aca="false">IF(Projects!$G$12="Yes",4736.84,0)</f>
        <v>0</v>
      </c>
      <c r="R58" s="10" t="n">
        <f aca="false">IF(Projects!$G$12="Yes",4736.84,0)</f>
        <v>0</v>
      </c>
      <c r="S58" s="10" t="n">
        <f aca="false">IF(Projects!$G$12="Yes",4736.84,0)</f>
        <v>0</v>
      </c>
      <c r="T58" s="10" t="n">
        <f aca="false">IF(Projects!$G$12="Yes",4736.84,0)</f>
        <v>0</v>
      </c>
      <c r="U58" s="10" t="n">
        <f aca="false">IF(Projects!$G$12="Yes",4736.84,0)</f>
        <v>0</v>
      </c>
      <c r="V58" s="10" t="n">
        <f aca="false">IF(Projects!$G$12="Yes",4736.84,0)</f>
        <v>0</v>
      </c>
      <c r="W58" s="10" t="n">
        <f aca="false">IF(Projects!$G$12="Yes",4736.84,0)</f>
        <v>0</v>
      </c>
      <c r="X58" s="10" t="n">
        <f aca="false">IF(Projects!$G$12="Yes",4736.84,0)</f>
        <v>0</v>
      </c>
      <c r="Y58" s="10" t="n">
        <f aca="false">IF(Projects!$G$12="Yes",4736.84,0)</f>
        <v>0</v>
      </c>
      <c r="Z58" s="10" t="n">
        <f aca="false">IF(Projects!$G$12="Yes",4736.84,0)</f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f aca="false">IF(Projects!$G$12="Yes",181745,0)</f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n">
        <v>0</v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n">
        <v>0</v>
      </c>
      <c r="BB59" s="10" t="n">
        <v>0</v>
      </c>
      <c r="BC59" s="10" t="n">
        <v>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f aca="false">IF(Projects!$G$7="Yes",81683,0)</f>
        <v>81683</v>
      </c>
      <c r="AS60" s="10" t="n">
        <v>0</v>
      </c>
      <c r="AT60" s="10" t="n">
        <v>0</v>
      </c>
      <c r="AU60" s="10" t="n">
        <f aca="false">IF(Projects!$G$7="Yes",81682,0)</f>
        <v>81682</v>
      </c>
      <c r="AV60" s="10" t="n">
        <v>0</v>
      </c>
      <c r="AW60" s="10" t="n">
        <v>0</v>
      </c>
      <c r="AX60" s="10" t="n">
        <f aca="false">IF(Projects!$G$7="Yes",81682,0)</f>
        <v>81682</v>
      </c>
      <c r="AY60" s="10" t="n">
        <v>0</v>
      </c>
      <c r="AZ60" s="10" t="n">
        <v>0</v>
      </c>
      <c r="BA60" s="10" t="n">
        <f aca="false">IF(Projects!$G$7="Yes",81682,0)</f>
        <v>81682</v>
      </c>
      <c r="BB60" s="10" t="n">
        <v>0</v>
      </c>
      <c r="BC60" s="10" t="n">
        <v>0</v>
      </c>
      <c r="BD60" s="10" t="n">
        <f aca="false">IF(Projects!$G$7="Yes",59178,0)</f>
        <v>59178</v>
      </c>
      <c r="BE60" s="10" t="n">
        <v>0</v>
      </c>
      <c r="BF60" s="10" t="n">
        <v>0</v>
      </c>
      <c r="BG60" s="10" t="n">
        <f aca="false">IF(Projects!$G$7="Yes",59176,0)</f>
        <v>59176</v>
      </c>
      <c r="BH60" s="10" t="n">
        <v>0</v>
      </c>
      <c r="BI60" s="10" t="n">
        <v>0</v>
      </c>
      <c r="BJ60" s="10" t="n">
        <f aca="false">IF(Projects!$G$7="Yes",59176,0)</f>
        <v>59176</v>
      </c>
      <c r="BK60" s="10" t="n">
        <v>0</v>
      </c>
      <c r="BL60" s="10" t="n">
        <v>0</v>
      </c>
      <c r="BM60" s="10" t="n">
        <f aca="false">IF(Projects!$G$7="Yes",59176,0)</f>
        <v>59176</v>
      </c>
      <c r="BN60" s="10" t="n">
        <v>0</v>
      </c>
      <c r="BO60" s="10" t="n">
        <v>0</v>
      </c>
      <c r="BP60" s="10" t="n">
        <f aca="false">IF(Projects!$G$7="Yes",67763,0)</f>
        <v>67763</v>
      </c>
      <c r="BQ60" s="10" t="n">
        <v>0</v>
      </c>
      <c r="BR60" s="10" t="n">
        <v>0</v>
      </c>
      <c r="BS60" s="10" t="n">
        <f aca="false">IF(Projects!$G$7="Yes",67762,0)</f>
        <v>67762</v>
      </c>
      <c r="BT60" s="10" t="n">
        <v>0</v>
      </c>
      <c r="BU60" s="10" t="n">
        <v>0</v>
      </c>
      <c r="BV60" s="10" t="n">
        <f aca="false">IF(Projects!$G$7="Yes",67762,0)</f>
        <v>67762</v>
      </c>
      <c r="BW60" s="10" t="n">
        <v>0</v>
      </c>
      <c r="BX60" s="10" t="n">
        <v>0</v>
      </c>
      <c r="BY60" s="10" t="n">
        <f aca="false">IF(Projects!$G$7="Yes",67762,0)</f>
        <v>67762</v>
      </c>
      <c r="BZ60" s="10" t="n">
        <v>0</v>
      </c>
      <c r="CA60" s="10" t="n">
        <v>0</v>
      </c>
      <c r="CB60" s="10" t="n">
        <f aca="false">IF(Projects!$G$7="Yes",76499,0)</f>
        <v>76499</v>
      </c>
      <c r="CC60" s="10" t="n">
        <v>0</v>
      </c>
      <c r="CD60" s="10" t="n">
        <v>0</v>
      </c>
      <c r="CE60" s="10" t="n">
        <f aca="false">IF(Projects!$G$7="Yes",76499,0)</f>
        <v>76499</v>
      </c>
      <c r="CF60" s="10" t="n">
        <v>0</v>
      </c>
      <c r="CG60" s="10" t="n">
        <v>0</v>
      </c>
      <c r="CH60" s="10" t="n">
        <f aca="false">IF(Projects!$G$7="Yes",76499,0)</f>
        <v>76499</v>
      </c>
      <c r="CI60" s="25"/>
    </row>
    <row r="61" customFormat="false" ht="15" hidden="false" customHeight="true" outlineLevel="0" collapsed="false">
      <c r="A61" s="9" t="s">
        <v>101</v>
      </c>
      <c r="B61" s="24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f aca="false">IF(Projects!$G$13="Yes",851839,0)</f>
        <v>851839</v>
      </c>
      <c r="BB61" s="10" t="n">
        <v>0</v>
      </c>
      <c r="BC61" s="10" t="n">
        <v>0</v>
      </c>
      <c r="BD61" s="10" t="n">
        <f aca="false">IF(Projects!$G$13="Yes",71700,0)</f>
        <v>71700</v>
      </c>
      <c r="BE61" s="10" t="n">
        <v>0</v>
      </c>
      <c r="BF61" s="10" t="n">
        <v>0</v>
      </c>
      <c r="BG61" s="10" t="n">
        <f aca="false">IF(Projects!$G$13="Yes",71700,0)</f>
        <v>71700</v>
      </c>
      <c r="BH61" s="10" t="n">
        <v>0</v>
      </c>
      <c r="BI61" s="10" t="n">
        <v>0</v>
      </c>
      <c r="BJ61" s="10" t="n">
        <f aca="false">IF(Projects!$G$13="Yes",71700,0)</f>
        <v>71700</v>
      </c>
      <c r="BK61" s="10" t="n">
        <v>0</v>
      </c>
      <c r="BL61" s="10" t="n">
        <v>0</v>
      </c>
      <c r="BM61" s="10" t="n">
        <f aca="false">IF(Projects!$G$13="Yes",71700,0)</f>
        <v>71700</v>
      </c>
      <c r="BN61" s="10" t="n">
        <v>0</v>
      </c>
      <c r="BO61" s="10" t="n">
        <v>0</v>
      </c>
      <c r="BP61" s="10" t="n">
        <f aca="false">IF(Projects!$G$13="Yes",74643,0)</f>
        <v>74643</v>
      </c>
      <c r="BQ61" s="10" t="n">
        <v>0</v>
      </c>
      <c r="BR61" s="10" t="n">
        <v>0</v>
      </c>
      <c r="BS61" s="10" t="n">
        <f aca="false">IF(Projects!$G$13="Yes",74640,0)</f>
        <v>74640</v>
      </c>
      <c r="BT61" s="10" t="n">
        <v>0</v>
      </c>
      <c r="BU61" s="10" t="n">
        <v>0</v>
      </c>
      <c r="BV61" s="10" t="n">
        <f aca="false">IF(Projects!$G$13="Yes",74640,0)</f>
        <v>74640</v>
      </c>
      <c r="BW61" s="10" t="n">
        <v>0</v>
      </c>
      <c r="BX61" s="10" t="n">
        <v>0</v>
      </c>
      <c r="BY61" s="10" t="n">
        <f aca="false">IF(Projects!$G$13="Yes",74640,0)</f>
        <v>74640</v>
      </c>
      <c r="BZ61" s="10" t="n">
        <v>0</v>
      </c>
      <c r="CA61" s="10" t="n">
        <v>0</v>
      </c>
      <c r="CB61" s="10" t="n">
        <f aca="false">IF(Projects!$G$13="Yes",81363,0)</f>
        <v>81363</v>
      </c>
      <c r="CC61" s="10" t="n">
        <v>0</v>
      </c>
      <c r="CD61" s="10" t="n">
        <v>0</v>
      </c>
      <c r="CE61" s="10" t="n">
        <f aca="false">IF(Projects!$G$13="Yes",81362,0)</f>
        <v>81362</v>
      </c>
      <c r="CF61" s="10" t="n">
        <v>0</v>
      </c>
      <c r="CG61" s="10" t="n">
        <v>0</v>
      </c>
      <c r="CH61" s="10" t="n">
        <f aca="false">IF(Projects!$G$13="Yes",81362,0)</f>
        <v>81362</v>
      </c>
      <c r="CI61" s="25"/>
    </row>
    <row r="62" customFormat="false" ht="15" hidden="false" customHeight="true" outlineLevel="0" collapsed="false">
      <c r="A62" s="9" t="s">
        <v>582</v>
      </c>
      <c r="B62" s="9">
        <v>4101960.074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23132.2304</v>
      </c>
      <c r="M62" s="10" t="n">
        <v>16882.0304</v>
      </c>
      <c r="N62" s="10" t="n">
        <v>16882.0304</v>
      </c>
      <c r="O62" s="10" t="n">
        <v>16882.0304</v>
      </c>
      <c r="P62" s="10" t="n">
        <v>12382.0304</v>
      </c>
      <c r="Q62" s="10" t="n">
        <v>12382.0304</v>
      </c>
      <c r="R62" s="10" t="n">
        <v>28954.2928</v>
      </c>
      <c r="S62" s="10" t="n">
        <v>45526.555199999995</v>
      </c>
      <c r="T62" s="10" t="n">
        <v>62098.817599999995</v>
      </c>
      <c r="U62" s="10" t="n">
        <v>72225.794</v>
      </c>
      <c r="V62" s="10" t="n">
        <v>87762.296</v>
      </c>
      <c r="W62" s="10" t="n">
        <v>103298.786</v>
      </c>
      <c r="X62" s="10" t="n">
        <v>118835.276</v>
      </c>
      <c r="Y62" s="10" t="n">
        <v>134371.772</v>
      </c>
      <c r="Z62" s="10" t="n">
        <v>149908.27399999998</v>
      </c>
      <c r="AA62" s="10" t="n">
        <v>152699.367</v>
      </c>
      <c r="AB62" s="10" t="n">
        <v>166941.1605</v>
      </c>
      <c r="AC62" s="10" t="n">
        <v>200231.2855</v>
      </c>
      <c r="AD62" s="10" t="n">
        <v>151106.05550000002</v>
      </c>
      <c r="AE62" s="10" t="n">
        <v>151536.22149999999</v>
      </c>
      <c r="AF62" s="10" t="n">
        <v>151966.37649999998</v>
      </c>
      <c r="AG62" s="10" t="n">
        <v>152396.537</v>
      </c>
      <c r="AH62" s="10" t="n">
        <v>152826.69199999998</v>
      </c>
      <c r="AI62" s="10" t="n">
        <v>167498.6405</v>
      </c>
      <c r="AJ62" s="10" t="n">
        <v>153687.0185</v>
      </c>
      <c r="AK62" s="10" t="n">
        <v>139875.391</v>
      </c>
      <c r="AL62" s="10" t="n">
        <v>126063.7635</v>
      </c>
      <c r="AM62" s="10" t="n">
        <v>112252.1305</v>
      </c>
      <c r="AN62" s="10" t="n">
        <v>90627.735</v>
      </c>
      <c r="AO62" s="10" t="n">
        <v>78071.71</v>
      </c>
      <c r="AP62" s="10" t="n">
        <v>65515.67999999999</v>
      </c>
      <c r="AQ62" s="10" t="n">
        <v>52959.66</v>
      </c>
      <c r="AR62" s="10" t="n">
        <v>39919.048500000004</v>
      </c>
      <c r="AS62" s="10" t="n">
        <v>80797.05</v>
      </c>
      <c r="AT62" s="10" t="n">
        <v>67849.975</v>
      </c>
      <c r="AU62" s="10" t="n">
        <v>42056.6125</v>
      </c>
      <c r="AV62" s="10" t="n">
        <v>41626.452</v>
      </c>
      <c r="AW62" s="10" t="n">
        <v>41196.286</v>
      </c>
      <c r="AX62" s="10" t="n">
        <v>40766.130999999994</v>
      </c>
      <c r="AY62" s="10" t="n">
        <v>40335.970499999996</v>
      </c>
      <c r="AZ62" s="10" t="n">
        <v>39905.81</v>
      </c>
      <c r="BA62" s="10" t="n">
        <v>39475.6495</v>
      </c>
      <c r="BB62" s="10" t="n">
        <v>39045.489</v>
      </c>
      <c r="BC62" s="10" t="n">
        <v>38615.3285</v>
      </c>
      <c r="BD62" s="10" t="n">
        <v>38185.168</v>
      </c>
      <c r="BE62" s="10" t="n">
        <v>37755.0075</v>
      </c>
      <c r="BF62" s="10" t="n">
        <v>37324.846999999994</v>
      </c>
      <c r="BG62" s="10" t="n">
        <v>36894.692</v>
      </c>
      <c r="BH62" s="10" t="n">
        <v>59965.026000000005</v>
      </c>
      <c r="BI62" s="10" t="n">
        <v>59534.86550000001</v>
      </c>
      <c r="BJ62" s="10" t="n">
        <v>112930.995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f aca="false">IF(Projects!$G$14="Yes",73156,0)</f>
        <v>0</v>
      </c>
      <c r="BZ62" s="10" t="n">
        <v>0</v>
      </c>
      <c r="CA62" s="10" t="n">
        <v>0</v>
      </c>
      <c r="CB62" s="10" t="n">
        <f aca="false">IF(Projects!$G$14="Yes",73155,0)</f>
        <v>0</v>
      </c>
      <c r="CC62" s="10" t="n">
        <v>0</v>
      </c>
      <c r="CD62" s="10" t="n">
        <v>0</v>
      </c>
      <c r="CE62" s="10" t="n">
        <f aca="false">IF(Projects!$G$14="Yes",73155,0)</f>
        <v>0</v>
      </c>
      <c r="CF62" s="10" t="n">
        <v>0</v>
      </c>
      <c r="CG62" s="10" t="n">
        <v>0</v>
      </c>
      <c r="CH62" s="10" t="n">
        <f aca="false">IF(Projects!$G$14="Yes",73155,0)</f>
        <v>0</v>
      </c>
      <c r="CI62" s="25"/>
    </row>
    <row r="63" customFormat="false" ht="15" hidden="false" customHeight="true" outlineLevel="0" collapsed="false">
      <c r="A63" s="9" t="s">
        <v>103</v>
      </c>
      <c r="B63" s="33"/>
      <c r="C63" s="10" t="n">
        <f aca="false">IF(Uplifters!$B$2="Yes",Uplifters!C107,0)</f>
        <v>0</v>
      </c>
      <c r="D63" s="10" t="n">
        <f aca="false">IF(Uplifters!$B$2="Yes",Uplifters!D107,0)</f>
        <v>0</v>
      </c>
      <c r="E63" s="10" t="n">
        <f aca="false">IF(Uplifters!$B$2="Yes",Uplifters!E107,0)</f>
        <v>0</v>
      </c>
      <c r="F63" s="10" t="n">
        <f aca="false">IF(Uplifters!$B$2="Yes",Uplifters!F107,0)</f>
        <v>0</v>
      </c>
      <c r="G63" s="10" t="n">
        <f aca="false">IF(Uplifters!$B$2="Yes",Uplifters!G107,0)</f>
        <v>0</v>
      </c>
      <c r="H63" s="10" t="n">
        <f aca="false">IF(Uplifters!$B$2="Yes",Uplifters!H107,0)</f>
        <v>0</v>
      </c>
      <c r="I63" s="10" t="n">
        <f aca="false">IF(Uplifters!$B$2="Yes",Uplifters!I107,0)</f>
        <v>0</v>
      </c>
      <c r="J63" s="10" t="n">
        <f aca="false">IF(Uplifters!$B$2="Yes",Uplifters!J107,0)</f>
        <v>0</v>
      </c>
      <c r="K63" s="10" t="n">
        <f aca="false">IF(Uplifters!$B$2="Yes",Uplifters!K107,0)</f>
        <v>0</v>
      </c>
      <c r="L63" s="10" t="n">
        <f aca="false">IF(Uplifters!$B$2="Yes",Uplifters!L107,0)</f>
        <v>12131.8304</v>
      </c>
      <c r="M63" s="10" t="n">
        <f aca="false">IF(Uplifters!$B$2="Yes",Uplifters!M107,0)</f>
        <v>12131.8304</v>
      </c>
      <c r="N63" s="10" t="n">
        <f aca="false">IF(Uplifters!$B$2="Yes",Uplifters!N107,0)</f>
        <v>12131.8304</v>
      </c>
      <c r="O63" s="10" t="n">
        <f aca="false">IF(Uplifters!$B$2="Yes",Uplifters!O107,0)</f>
        <v>12131.8304</v>
      </c>
      <c r="P63" s="10" t="n">
        <f aca="false">IF(Uplifters!$B$2="Yes",Uplifters!P107,0)</f>
        <v>12131.8304</v>
      </c>
      <c r="Q63" s="10" t="n">
        <f aca="false">IF(Uplifters!$B$2="Yes",Uplifters!Q107,0)</f>
        <v>12131.8304</v>
      </c>
      <c r="R63" s="10" t="n">
        <f aca="false">IF(Uplifters!$B$2="Yes",Uplifters!R107,0)</f>
        <v>16203.6928</v>
      </c>
      <c r="S63" s="10" t="n">
        <f aca="false">IF(Uplifters!$B$2="Yes",Uplifters!S107,0)</f>
        <v>32775.9552</v>
      </c>
      <c r="T63" s="10" t="n">
        <f aca="false">IF(Uplifters!$B$2="Yes",Uplifters!T107,0)</f>
        <v>49348.2176</v>
      </c>
      <c r="U63" s="10" t="n">
        <f aca="false">IF(Uplifters!$B$2="Yes",Uplifters!U107,0)</f>
        <v>65920.4736</v>
      </c>
      <c r="V63" s="10" t="n">
        <f aca="false">IF(Uplifters!$B$2="Yes",Uplifters!V107,0)</f>
        <v>82492.7424</v>
      </c>
      <c r="W63" s="10" t="n">
        <f aca="false">IF(Uplifters!$B$2="Yes",Uplifters!W107,0)</f>
        <v>99064.9984</v>
      </c>
      <c r="X63" s="10" t="n">
        <f aca="false">IF(Uplifters!$B$2="Yes",Uplifters!X107,0)</f>
        <v>115637.2544</v>
      </c>
      <c r="Y63" s="10" t="n">
        <f aca="false">IF(Uplifters!$B$2="Yes",Uplifters!Y107,0)</f>
        <v>132209.5168</v>
      </c>
      <c r="Z63" s="10" t="n">
        <f aca="false">IF(Uplifters!$B$2="Yes",Uplifters!Z107,0)</f>
        <v>148781.7856</v>
      </c>
      <c r="AA63" s="10" t="n">
        <f aca="false">IF(Uplifters!$B$2="Yes",Uplifters!AA107,0)</f>
        <v>165354.0416</v>
      </c>
      <c r="AB63" s="10" t="n">
        <f aca="false">IF(Uplifters!$B$2="Yes",Uplifters!AB107,0)</f>
        <v>181926.3104</v>
      </c>
      <c r="AC63" s="10" t="n">
        <f aca="false">IF(Uplifters!$B$2="Yes",Uplifters!AC107,0)</f>
        <v>227330.7904</v>
      </c>
      <c r="AD63" s="10" t="n">
        <f aca="false">IF(Uplifters!$B$2="Yes",Uplifters!AD107,0)</f>
        <v>170166.8864</v>
      </c>
      <c r="AE63" s="10" t="n">
        <f aca="false">IF(Uplifters!$B$2="Yes",Uplifters!AE107,0)</f>
        <v>170667.4432</v>
      </c>
      <c r="AF63" s="10" t="n">
        <f aca="false">IF(Uplifters!$B$2="Yes",Uplifters!AF107,0)</f>
        <v>171167.9872</v>
      </c>
      <c r="AG63" s="10" t="n">
        <f aca="false">IF(Uplifters!$B$2="Yes",Uplifters!AG107,0)</f>
        <v>171668.5376</v>
      </c>
      <c r="AH63" s="10" t="n">
        <f aca="false">IF(Uplifters!$B$2="Yes",Uplifters!AH107,0)</f>
        <v>172169.0816</v>
      </c>
      <c r="AI63" s="10" t="n">
        <f aca="false">IF(Uplifters!$B$2="Yes",Uplifters!AI107,0)</f>
        <v>189241.8944</v>
      </c>
      <c r="AJ63" s="10" t="n">
        <f aca="false">IF(Uplifters!$B$2="Yes",Uplifters!AJ107,0)</f>
        <v>173170.1888</v>
      </c>
      <c r="AK63" s="10" t="n">
        <f aca="false">IF(Uplifters!$B$2="Yes",Uplifters!AK107,0)</f>
        <v>157098.4768</v>
      </c>
      <c r="AL63" s="10" t="n">
        <f aca="false">IF(Uplifters!$B$2="Yes",Uplifters!AL107,0)</f>
        <v>141026.7648</v>
      </c>
      <c r="AM63" s="10" t="n">
        <f aca="false">IF(Uplifters!$B$2="Yes",Uplifters!AM107,0)</f>
        <v>124955.0464</v>
      </c>
      <c r="AN63" s="10" t="n">
        <f aca="false">IF(Uplifters!$B$2="Yes",Uplifters!AN107,0)</f>
        <v>108883.3408</v>
      </c>
      <c r="AO63" s="10" t="n">
        <f aca="false">IF(Uplifters!$B$2="Yes",Uplifters!AO107,0)</f>
        <v>92811.6288</v>
      </c>
      <c r="AP63" s="10" t="n">
        <f aca="false">IF(Uplifters!$B$2="Yes",Uplifters!AP107,0)</f>
        <v>76739.9104</v>
      </c>
      <c r="AQ63" s="10" t="n">
        <f aca="false">IF(Uplifters!$B$2="Yes",Uplifters!AQ107,0)</f>
        <v>60668.2048</v>
      </c>
      <c r="AR63" s="10" t="n">
        <f aca="false">IF(Uplifters!$B$2="Yes",Uplifters!AR107,0)</f>
        <v>44596.4928</v>
      </c>
      <c r="AS63" s="10" t="n">
        <f aca="false">IF(Uplifters!$B$2="Yes",Uplifters!AS107,0)</f>
        <v>96300.064</v>
      </c>
      <c r="AT63" s="10" t="n">
        <f aca="false">IF(Uplifters!$B$2="Yes",Uplifters!AT107,0)</f>
        <v>79727.808</v>
      </c>
      <c r="AU63" s="10" t="n">
        <f aca="false">IF(Uplifters!$B$2="Yes",Uplifters!AU107,0)</f>
        <v>47083.84</v>
      </c>
      <c r="AV63" s="10" t="n">
        <f aca="false">IF(Uplifters!$B$2="Yes",Uplifters!AV107,0)</f>
        <v>46583.2896</v>
      </c>
      <c r="AW63" s="10" t="n">
        <f aca="false">IF(Uplifters!$B$2="Yes",Uplifters!AW107,0)</f>
        <v>46082.7328</v>
      </c>
      <c r="AX63" s="10" t="n">
        <f aca="false">IF(Uplifters!$B$2="Yes",Uplifters!AX107,0)</f>
        <v>45582.1888</v>
      </c>
      <c r="AY63" s="10" t="n">
        <f aca="false">IF(Uplifters!$B$2="Yes",Uplifters!AY107,0)</f>
        <v>45081.6384</v>
      </c>
      <c r="AZ63" s="10" t="n">
        <f aca="false">IF(Uplifters!$B$2="Yes",Uplifters!AZ107,0)</f>
        <v>44581.088</v>
      </c>
      <c r="BA63" s="10" t="n">
        <f aca="false">IF(Uplifters!$B$2="Yes",Uplifters!BA107,0)</f>
        <v>44080.5376</v>
      </c>
      <c r="BB63" s="10" t="n">
        <f aca="false">IF(Uplifters!$B$2="Yes",Uplifters!BB107,0)</f>
        <v>43579.9872</v>
      </c>
      <c r="BC63" s="10" t="n">
        <f aca="false">IF(Uplifters!$B$2="Yes",Uplifters!BC107,0)</f>
        <v>43079.4368</v>
      </c>
      <c r="BD63" s="10" t="n">
        <f aca="false">IF(Uplifters!$B$2="Yes",Uplifters!BD107,0)</f>
        <v>42578.8864</v>
      </c>
      <c r="BE63" s="10" t="n">
        <f aca="false">IF(Uplifters!$B$2="Yes",Uplifters!BE107,0)</f>
        <v>42078.336</v>
      </c>
      <c r="BF63" s="10" t="n">
        <f aca="false">IF(Uplifters!$B$2="Yes",Uplifters!BF107,0)</f>
        <v>41577.7856</v>
      </c>
      <c r="BG63" s="10" t="n">
        <f aca="false">IF(Uplifters!$B$2="Yes",Uplifters!BG107,0)</f>
        <v>41077.2416</v>
      </c>
      <c r="BH63" s="10" t="n">
        <f aca="false">IF(Uplifters!$B$2="Yes",Uplifters!BH107,0)</f>
        <v>69777.4848</v>
      </c>
      <c r="BI63" s="10" t="n">
        <f aca="false">IF(Uplifters!$B$2="Yes",Uplifters!BI107,0)</f>
        <v>69276.9344</v>
      </c>
      <c r="BJ63" s="10" t="n">
        <f aca="false">IF(Uplifters!$B$2="Yes",Uplifters!BJ107,0)</f>
        <v>136551.6736</v>
      </c>
      <c r="BK63" s="10" t="n">
        <f aca="false">IF(Uplifters!$B$2="Yes",Uplifters!BK107,0)</f>
        <v>0</v>
      </c>
      <c r="BL63" s="10" t="n">
        <f aca="false">IF(Uplifters!$B$2="Yes",Uplifters!BL107,0)</f>
        <v>0</v>
      </c>
      <c r="BM63" s="10" t="n">
        <f aca="false">IF(Uplifters!$B$2="Yes",Uplifters!BM107,0)</f>
        <v>0</v>
      </c>
      <c r="BN63" s="10" t="n">
        <f aca="false">IF(Uplifters!$B$2="Yes",Uplifters!BN107,0)</f>
        <v>0</v>
      </c>
      <c r="BO63" s="10" t="n">
        <f aca="false">IF(Uplifters!$B$2="Yes",Uplifters!BO107,0)</f>
        <v>0</v>
      </c>
      <c r="BP63" s="10" t="n">
        <f aca="false">IF(Uplifters!$B$2="Yes",Uplifters!BP107,0)</f>
        <v>0</v>
      </c>
      <c r="BQ63" s="10" t="n">
        <f aca="false">IF(Uplifters!$B$2="Yes",Uplifters!BQ107,0)</f>
        <v>0</v>
      </c>
      <c r="BR63" s="10" t="n">
        <f aca="false">IF(Uplifters!$B$2="Yes",Uplifters!BR107,0)</f>
        <v>0</v>
      </c>
      <c r="BS63" s="10" t="n">
        <f aca="false">IF(Uplifters!$B$2="Yes",Uplifters!BS107,0)</f>
        <v>0</v>
      </c>
      <c r="BT63" s="10" t="n">
        <f aca="false">IF(Uplifters!$B$2="Yes",Uplifters!BT107,0)</f>
        <v>0</v>
      </c>
      <c r="BU63" s="10" t="n">
        <f aca="false">IF(Uplifters!$B$2="Yes",Uplifters!BU107,0)</f>
        <v>0</v>
      </c>
      <c r="BV63" s="10" t="n">
        <f aca="false">IF(Uplifters!$B$2="Yes",Uplifters!BV107,0)</f>
        <v>0</v>
      </c>
      <c r="BW63" s="10" t="n">
        <f aca="false">IF(Uplifters!$B$2="Yes",Uplifters!BW107,0)</f>
        <v>0</v>
      </c>
      <c r="BX63" s="10" t="n">
        <f aca="false">IF(Uplifters!$B$2="Yes",Uplifters!BX107,0)</f>
        <v>0</v>
      </c>
      <c r="BY63" s="10" t="n">
        <f aca="false">IF(Uplifters!$B$2="Yes",Uplifters!BY107,0)</f>
        <v>0</v>
      </c>
      <c r="BZ63" s="10" t="n">
        <f aca="false">IF(Uplifters!$B$2="Yes",Uplifters!BZ107,0)</f>
        <v>0</v>
      </c>
      <c r="CA63" s="10" t="n">
        <f aca="false">IF(Uplifters!$B$2="Yes",Uplifters!CA107,0)</f>
        <v>0</v>
      </c>
      <c r="CB63" s="10" t="n">
        <f aca="false">IF(Uplifters!$B$2="Yes",Uplifters!CB107,0)</f>
        <v>0</v>
      </c>
      <c r="CC63" s="10" t="n">
        <f aca="false">IF(Uplifters!$B$2="Yes",Uplifters!CC107,0)</f>
        <v>0</v>
      </c>
      <c r="CD63" s="10" t="n">
        <f aca="false">IF(Uplifters!$B$2="Yes",Uplifters!CD107,0)</f>
        <v>0</v>
      </c>
      <c r="CE63" s="10" t="n">
        <f aca="false">IF(Uplifters!$B$2="Yes",Uplifters!CE107,0)</f>
        <v>0</v>
      </c>
      <c r="CF63" s="10" t="n">
        <f aca="false">IF(Uplifters!$B$2="Yes",Uplifters!CF107,0)</f>
        <v>0</v>
      </c>
      <c r="CG63" s="10" t="n">
        <f aca="false">IF(Uplifters!$B$2="Yes",Uplifters!CG107,0)</f>
        <v>0</v>
      </c>
      <c r="CH63" s="10" t="n">
        <f aca="false">IF(Uplifters!$B$2="Yes",Uplifters!CH107,0)</f>
        <v>0</v>
      </c>
      <c r="CI63" s="25"/>
    </row>
    <row r="64" customFormat="false" ht="15" hidden="false" customHeight="true" outlineLevel="0" collapsed="false">
      <c r="A64" s="11" t="s">
        <v>104</v>
      </c>
      <c r="B64" s="30"/>
      <c r="C64" s="34" t="n">
        <f aca="false">SUM(C47:C63)</f>
        <v>43614.58</v>
      </c>
      <c r="D64" s="34" t="n">
        <f aca="false">SUM(D47:D63)</f>
        <v>43614.58</v>
      </c>
      <c r="E64" s="34" t="n">
        <f aca="false">SUM(E47:E63)</f>
        <v>43614.58</v>
      </c>
      <c r="F64" s="34" t="n">
        <f aca="false">SUM(F47:F63)</f>
        <v>43614.58</v>
      </c>
      <c r="G64" s="34" t="n">
        <f aca="false">SUM(G47:G63)</f>
        <v>43614.58</v>
      </c>
      <c r="H64" s="34" t="n">
        <f aca="false">SUM(H47:H63)</f>
        <v>42781.25</v>
      </c>
      <c r="I64" s="34" t="n">
        <f aca="false">SUM(I47:I63)</f>
        <v>42781.25</v>
      </c>
      <c r="J64" s="34" t="n">
        <f aca="false">SUM(J47:J63)</f>
        <v>33406.25</v>
      </c>
      <c r="K64" s="34" t="n">
        <f aca="false">SUM(K47:K63)</f>
        <v>33406.25</v>
      </c>
      <c r="L64" s="34" t="n">
        <f aca="false">SUM(L47:L63)</f>
        <v>45538.0804</v>
      </c>
      <c r="M64" s="34" t="n">
        <f aca="false">SUM(M47:M63)</f>
        <v>45538.0804</v>
      </c>
      <c r="N64" s="34" t="n">
        <f aca="false">SUM(N47:N63)</f>
        <v>45538.0804</v>
      </c>
      <c r="O64" s="34" t="n">
        <f aca="false">SUM(O47:O63)</f>
        <v>45538.0804</v>
      </c>
      <c r="P64" s="34" t="n">
        <f aca="false">SUM(P47:P63)</f>
        <v>45538.0804</v>
      </c>
      <c r="Q64" s="34" t="n">
        <f aca="false">SUM(Q47:Q63)</f>
        <v>45538.0804</v>
      </c>
      <c r="R64" s="34" t="n">
        <f aca="false">SUM(R47:R63)</f>
        <v>25703.6928</v>
      </c>
      <c r="S64" s="34" t="n">
        <f aca="false">SUM(S47:S63)</f>
        <v>42275.9552</v>
      </c>
      <c r="T64" s="34" t="n">
        <f aca="false">SUM(T47:T63)</f>
        <v>58848.2176</v>
      </c>
      <c r="U64" s="34" t="n">
        <f aca="false">SUM(U47:U63)</f>
        <v>75420.4736</v>
      </c>
      <c r="V64" s="34" t="n">
        <f aca="false">SUM(V47:V63)</f>
        <v>91992.7424</v>
      </c>
      <c r="W64" s="34" t="n">
        <f aca="false">SUM(W47:W63)</f>
        <v>165939.9984</v>
      </c>
      <c r="X64" s="34" t="n">
        <f aca="false">SUM(X47:X63)</f>
        <v>125137.2544</v>
      </c>
      <c r="Y64" s="34" t="n">
        <f aca="false">SUM(Y47:Y63)</f>
        <v>141709.5168</v>
      </c>
      <c r="Z64" s="34" t="n">
        <f aca="false">SUM(Z47:Z63)</f>
        <v>215656.7856</v>
      </c>
      <c r="AA64" s="34" t="n">
        <f aca="false">SUM(AA47:AA63)</f>
        <v>174854.0416</v>
      </c>
      <c r="AB64" s="34" t="n">
        <f aca="false">SUM(AB47:AB63)</f>
        <v>191426.3104</v>
      </c>
      <c r="AC64" s="34" t="n">
        <f aca="false">SUM(AC47:AC63)</f>
        <v>294205.7904</v>
      </c>
      <c r="AD64" s="34" t="n">
        <f aca="false">SUM(AD47:AD63)</f>
        <v>179666.8864</v>
      </c>
      <c r="AE64" s="34" t="n">
        <f aca="false">SUM(AE47:AE63)</f>
        <v>180167.4432</v>
      </c>
      <c r="AF64" s="34" t="n">
        <f aca="false">SUM(AF47:AF63)</f>
        <v>180667.9872</v>
      </c>
      <c r="AG64" s="34" t="n">
        <f aca="false">SUM(AG47:AG63)</f>
        <v>171668.5376</v>
      </c>
      <c r="AH64" s="34" t="n">
        <f aca="false">SUM(AH47:AH63)</f>
        <v>172169.0816</v>
      </c>
      <c r="AI64" s="34" t="n">
        <f aca="false">SUM(AI47:AI63)</f>
        <v>189241.8944</v>
      </c>
      <c r="AJ64" s="34" t="n">
        <f aca="false">SUM(AJ47:AJ63)</f>
        <v>173170.1888</v>
      </c>
      <c r="AK64" s="34" t="n">
        <f aca="false">SUM(AK47:AK63)</f>
        <v>157098.4768</v>
      </c>
      <c r="AL64" s="34" t="n">
        <f aca="false">SUM(AL47:AL63)</f>
        <v>141026.7648</v>
      </c>
      <c r="AM64" s="34" t="n">
        <f aca="false">SUM(AM47:AM63)</f>
        <v>124955.0464</v>
      </c>
      <c r="AN64" s="34" t="n">
        <f aca="false">SUM(AN47:AN63)</f>
        <v>108883.3408</v>
      </c>
      <c r="AO64" s="34" t="n">
        <f aca="false">SUM(AO47:AO63)</f>
        <v>92811.6288</v>
      </c>
      <c r="AP64" s="34" t="n">
        <f aca="false">SUM(AP47:AP63)</f>
        <v>76739.9104</v>
      </c>
      <c r="AQ64" s="34" t="n">
        <f aca="false">SUM(AQ47:AQ63)</f>
        <v>60668.2048</v>
      </c>
      <c r="AR64" s="34" t="n">
        <f aca="false">SUM(AR47:AR63)</f>
        <v>126279.4928</v>
      </c>
      <c r="AS64" s="34" t="n">
        <f aca="false">SUM(AS47:AS63)</f>
        <v>96300.064</v>
      </c>
      <c r="AT64" s="34" t="n">
        <f aca="false">SUM(AT47:AT63)</f>
        <v>79727.808</v>
      </c>
      <c r="AU64" s="34" t="n">
        <f aca="false">SUM(AU47:AU63)</f>
        <v>128765.84</v>
      </c>
      <c r="AV64" s="34" t="n">
        <f aca="false">SUM(AV47:AV63)</f>
        <v>46583.2896</v>
      </c>
      <c r="AW64" s="34" t="n">
        <f aca="false">SUM(AW47:AW63)</f>
        <v>46082.7328</v>
      </c>
      <c r="AX64" s="34" t="n">
        <f aca="false">SUM(AX47:AX63)</f>
        <v>127264.1888</v>
      </c>
      <c r="AY64" s="34" t="n">
        <f aca="false">SUM(AY47:AY63)</f>
        <v>45081.6384</v>
      </c>
      <c r="AZ64" s="34" t="n">
        <f aca="false">SUM(AZ47:AZ63)</f>
        <v>44581.088</v>
      </c>
      <c r="BA64" s="34" t="n">
        <f aca="false">SUM(BA47:BA63)</f>
        <v>977601.5376</v>
      </c>
      <c r="BB64" s="34" t="n">
        <f aca="false">SUM(BB47:BB63)</f>
        <v>43579.9872</v>
      </c>
      <c r="BC64" s="34" t="n">
        <f aca="false">SUM(BC47:BC63)</f>
        <v>43079.4368</v>
      </c>
      <c r="BD64" s="34" t="n">
        <f aca="false">SUM(BD47:BD63)</f>
        <v>173456.8864</v>
      </c>
      <c r="BE64" s="34" t="n">
        <f aca="false">SUM(BE47:BE63)</f>
        <v>42078.336</v>
      </c>
      <c r="BF64" s="34" t="n">
        <f aca="false">SUM(BF47:BF63)</f>
        <v>41577.7856</v>
      </c>
      <c r="BG64" s="34" t="n">
        <f aca="false">SUM(BG47:BG63)</f>
        <v>171953.2416</v>
      </c>
      <c r="BH64" s="34" t="n">
        <f aca="false">SUM(BH47:BH63)</f>
        <v>69777.4848</v>
      </c>
      <c r="BI64" s="34" t="n">
        <f aca="false">SUM(BI47:BI63)</f>
        <v>69276.9344</v>
      </c>
      <c r="BJ64" s="34" t="n">
        <f aca="false">SUM(BJ47:BJ63)</f>
        <v>267427.6736</v>
      </c>
      <c r="BK64" s="34" t="n">
        <f aca="false">SUM(BK47:BK63)</f>
        <v>0</v>
      </c>
      <c r="BL64" s="34" t="n">
        <f aca="false">SUM(BL47:BL63)</f>
        <v>0</v>
      </c>
      <c r="BM64" s="34" t="n">
        <f aca="false">SUM(BM47:BM63)</f>
        <v>130876</v>
      </c>
      <c r="BN64" s="34" t="n">
        <f aca="false">SUM(BN47:BN63)</f>
        <v>0</v>
      </c>
      <c r="BO64" s="34" t="n">
        <f aca="false">SUM(BO47:BO63)</f>
        <v>0</v>
      </c>
      <c r="BP64" s="34" t="n">
        <f aca="false">SUM(BP47:BP63)</f>
        <v>142406</v>
      </c>
      <c r="BQ64" s="34" t="n">
        <f aca="false">SUM(BQ47:BQ63)</f>
        <v>0</v>
      </c>
      <c r="BR64" s="34" t="n">
        <f aca="false">SUM(BR47:BR63)</f>
        <v>0</v>
      </c>
      <c r="BS64" s="34" t="n">
        <f aca="false">SUM(BS47:BS63)</f>
        <v>142402</v>
      </c>
      <c r="BT64" s="34" t="n">
        <f aca="false">SUM(BT47:BT63)</f>
        <v>0</v>
      </c>
      <c r="BU64" s="34" t="n">
        <f aca="false">SUM(BU47:BU63)</f>
        <v>0</v>
      </c>
      <c r="BV64" s="34" t="n">
        <f aca="false">SUM(BV47:BV63)</f>
        <v>142402</v>
      </c>
      <c r="BW64" s="34" t="n">
        <f aca="false">SUM(BW47:BW63)</f>
        <v>0</v>
      </c>
      <c r="BX64" s="34" t="n">
        <f aca="false">SUM(BX47:BX63)</f>
        <v>0</v>
      </c>
      <c r="BY64" s="34" t="n">
        <f aca="false">SUM(BY47:BY63)</f>
        <v>215558</v>
      </c>
      <c r="BZ64" s="34" t="n">
        <f aca="false">SUM(BZ47:BZ63)</f>
        <v>0</v>
      </c>
      <c r="CA64" s="34" t="n">
        <f aca="false">SUM(CA47:CA63)</f>
        <v>0</v>
      </c>
      <c r="CB64" s="34" t="n">
        <f aca="false">SUM(CB47:CB63)</f>
        <v>231017</v>
      </c>
      <c r="CC64" s="34" t="n">
        <f aca="false">SUM(CC47:CC63)</f>
        <v>0</v>
      </c>
      <c r="CD64" s="34" t="n">
        <f aca="false">SUM(CD47:CD63)</f>
        <v>0</v>
      </c>
      <c r="CE64" s="34" t="n">
        <f aca="false">SUM(CE47:CE63)</f>
        <v>231016</v>
      </c>
      <c r="CF64" s="34" t="n">
        <f aca="false">SUM(CF47:CF63)</f>
        <v>0</v>
      </c>
      <c r="CG64" s="34" t="n">
        <f aca="false">SUM(CG47:CG63)</f>
        <v>0</v>
      </c>
      <c r="CH64" s="34" t="n">
        <f aca="false">SUM(CH47:CH63)</f>
        <v>231016</v>
      </c>
      <c r="CI64" s="25"/>
    </row>
    <row r="65" customFormat="false" ht="15" hidden="false" customHeight="true" outlineLevel="0" collapsed="false">
      <c r="A65" s="8" t="s">
        <v>24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6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6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6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6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6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6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6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6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6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6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6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6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6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6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6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6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6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6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6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6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6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6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6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6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6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6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6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6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6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6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6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6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6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6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6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6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6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6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6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6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6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6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6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6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6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6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6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6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6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6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6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6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6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6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6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6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6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6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6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6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6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6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6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6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6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6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6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6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6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6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6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6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6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6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6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6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6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6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6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6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6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6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6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-Helpers!C5*Assumptions!$B$20</f>
        <v>-1604.16666666667</v>
      </c>
      <c r="D67" s="10" t="n">
        <f aca="false">-Helpers!D5*Assumptions!$B$20</f>
        <v>-1604.16666666667</v>
      </c>
      <c r="E67" s="10" t="n">
        <f aca="false">-Helpers!E5*Assumptions!$B$20</f>
        <v>-1604.16666666667</v>
      </c>
      <c r="F67" s="10" t="n">
        <f aca="false">-Helpers!F5*Assumptions!$B$20</f>
        <v>-1604.16666666667</v>
      </c>
      <c r="G67" s="10" t="n">
        <f aca="false">-Helpers!G5*Assumptions!$B$20</f>
        <v>-1604.16666666667</v>
      </c>
      <c r="H67" s="10" t="n">
        <f aca="false">-Helpers!H5*Assumptions!$B$20</f>
        <v>-1604.16666666667</v>
      </c>
      <c r="I67" s="10" t="n">
        <f aca="false">-Helpers!I5*Assumptions!$B$20</f>
        <v>-1604.16666666667</v>
      </c>
      <c r="J67" s="10" t="n">
        <f aca="false">-Helpers!J5*Assumptions!$B$20</f>
        <v>-1604.16666666667</v>
      </c>
      <c r="K67" s="10" t="n">
        <f aca="false">-Helpers!K5*Assumptions!$B$20</f>
        <v>-1604.16666666667</v>
      </c>
      <c r="L67" s="10" t="n">
        <f aca="false">-Helpers!L5*Assumptions!$B$20</f>
        <v>-1604.16666666667</v>
      </c>
      <c r="M67" s="10" t="n">
        <f aca="false">-Helpers!M5*Assumptions!$B$20</f>
        <v>-1604.16666666667</v>
      </c>
      <c r="N67" s="10" t="n">
        <f aca="false">-Helpers!N5*Assumptions!$B$20</f>
        <v>-1604.16666666667</v>
      </c>
      <c r="O67" s="10" t="n">
        <f aca="false">-Helpers!O5*Assumptions!$B$20</f>
        <v>-1636.25</v>
      </c>
      <c r="P67" s="10" t="n">
        <f aca="false">-Helpers!P5*Assumptions!$B$20</f>
        <v>-1636.25</v>
      </c>
      <c r="Q67" s="10" t="n">
        <f aca="false">-Helpers!Q5*Assumptions!$B$20</f>
        <v>-1636.25</v>
      </c>
      <c r="R67" s="10" t="n">
        <f aca="false">-Helpers!R5*Assumptions!$B$20</f>
        <v>-1636.25</v>
      </c>
      <c r="S67" s="10" t="n">
        <f aca="false">-Helpers!S5*Assumptions!$B$20</f>
        <v>-1636.25</v>
      </c>
      <c r="T67" s="10" t="n">
        <f aca="false">-Helpers!T5*Assumptions!$B$20</f>
        <v>-1636.25</v>
      </c>
      <c r="U67" s="10" t="n">
        <f aca="false">-Helpers!U5*Assumptions!$B$20</f>
        <v>-1636.25</v>
      </c>
      <c r="V67" s="10" t="n">
        <f aca="false">-Helpers!V5*Assumptions!$B$20</f>
        <v>-1636.25</v>
      </c>
      <c r="W67" s="10" t="n">
        <f aca="false">-Helpers!W5*Assumptions!$B$20</f>
        <v>-1636.25</v>
      </c>
      <c r="X67" s="10" t="n">
        <f aca="false">-Helpers!X5*Assumptions!$B$20</f>
        <v>-1636.25</v>
      </c>
      <c r="Y67" s="10" t="n">
        <f aca="false">-Helpers!Y5*Assumptions!$B$20</f>
        <v>-1636.25</v>
      </c>
      <c r="Z67" s="10" t="n">
        <f aca="false">-Helpers!Z5*Assumptions!$B$20</f>
        <v>-1636.25</v>
      </c>
      <c r="AA67" s="10" t="n">
        <f aca="false">-Helpers!AA5*Assumptions!$B$20</f>
        <v>-1668.975</v>
      </c>
      <c r="AB67" s="10" t="n">
        <f aca="false">-Helpers!AB5*Assumptions!$B$20</f>
        <v>-1668.975</v>
      </c>
      <c r="AC67" s="10" t="n">
        <f aca="false">-Helpers!AC5*Assumptions!$B$20</f>
        <v>-1668.975</v>
      </c>
      <c r="AD67" s="10" t="n">
        <f aca="false">-Helpers!AD5*Assumptions!$B$20</f>
        <v>-1668.975</v>
      </c>
      <c r="AE67" s="10" t="n">
        <f aca="false">-Helpers!AE5*Assumptions!$B$20</f>
        <v>-1668.975</v>
      </c>
      <c r="AF67" s="10" t="n">
        <f aca="false">-Helpers!AF5*Assumptions!$B$20</f>
        <v>-1668.975</v>
      </c>
      <c r="AG67" s="10" t="n">
        <f aca="false">-Helpers!AG5*Assumptions!$B$20</f>
        <v>-1668.975</v>
      </c>
      <c r="AH67" s="10" t="n">
        <f aca="false">-Helpers!AH5*Assumptions!$B$20</f>
        <v>-1668.975</v>
      </c>
      <c r="AI67" s="10" t="n">
        <f aca="false">-Helpers!AI5*Assumptions!$B$20</f>
        <v>-1668.975</v>
      </c>
      <c r="AJ67" s="10" t="n">
        <f aca="false">-Helpers!AJ5*Assumptions!$B$20</f>
        <v>-1668.975</v>
      </c>
      <c r="AK67" s="10" t="n">
        <f aca="false">-Helpers!AK5*Assumptions!$B$20</f>
        <v>-1668.975</v>
      </c>
      <c r="AL67" s="10" t="n">
        <f aca="false">-Helpers!AL5*Assumptions!$B$20</f>
        <v>-1668.975</v>
      </c>
      <c r="AM67" s="10" t="n">
        <f aca="false">-Helpers!AM5*Assumptions!$B$20</f>
        <v>-1702.3545</v>
      </c>
      <c r="AN67" s="10" t="n">
        <f aca="false">-Helpers!AN5*Assumptions!$B$20</f>
        <v>-1702.3545</v>
      </c>
      <c r="AO67" s="10" t="n">
        <f aca="false">-Helpers!AO5*Assumptions!$B$20</f>
        <v>-1702.3545</v>
      </c>
      <c r="AP67" s="10" t="n">
        <f aca="false">-Helpers!AP5*Assumptions!$B$20</f>
        <v>-1702.3545</v>
      </c>
      <c r="AQ67" s="10" t="n">
        <f aca="false">-Helpers!AQ5*Assumptions!$B$20</f>
        <v>-1702.3545</v>
      </c>
      <c r="AR67" s="10" t="n">
        <f aca="false">-Helpers!AR5*Assumptions!$B$20</f>
        <v>-1702.3545</v>
      </c>
      <c r="AS67" s="10" t="n">
        <f aca="false">-Helpers!AS5*Assumptions!$B$20</f>
        <v>-1702.3545</v>
      </c>
      <c r="AT67" s="10" t="n">
        <f aca="false">-Helpers!AT5*Assumptions!$B$20</f>
        <v>-1702.3545</v>
      </c>
      <c r="AU67" s="10" t="n">
        <f aca="false">-Helpers!AU5*Assumptions!$B$20</f>
        <v>-1702.3545</v>
      </c>
      <c r="AV67" s="10" t="n">
        <f aca="false">-Helpers!AV5*Assumptions!$B$20</f>
        <v>-1702.3545</v>
      </c>
      <c r="AW67" s="10" t="n">
        <f aca="false">-Helpers!AW5*Assumptions!$B$20</f>
        <v>-1702.3545</v>
      </c>
      <c r="AX67" s="10" t="n">
        <f aca="false">-Helpers!AX5*Assumptions!$B$20</f>
        <v>-1702.3545</v>
      </c>
      <c r="AY67" s="10" t="n">
        <f aca="false">-Helpers!AY5*Assumptions!$B$20</f>
        <v>-1736.40159</v>
      </c>
      <c r="AZ67" s="10" t="n">
        <f aca="false">-Helpers!AZ5*Assumptions!$B$20</f>
        <v>-1736.40159</v>
      </c>
      <c r="BA67" s="10" t="n">
        <f aca="false">-Helpers!BA5*Assumptions!$B$20</f>
        <v>-1736.40159</v>
      </c>
      <c r="BB67" s="10" t="n">
        <f aca="false">-Helpers!BB5*Assumptions!$B$20</f>
        <v>-1736.40159</v>
      </c>
      <c r="BC67" s="10" t="n">
        <f aca="false">-Helpers!BC5*Assumptions!$B$20</f>
        <v>-1736.40159</v>
      </c>
      <c r="BD67" s="10" t="n">
        <f aca="false">-Helpers!BD5*Assumptions!$B$20</f>
        <v>-1736.40159</v>
      </c>
      <c r="BE67" s="10" t="n">
        <f aca="false">-Helpers!BE5*Assumptions!$B$20</f>
        <v>-1736.40159</v>
      </c>
      <c r="BF67" s="10" t="n">
        <f aca="false">-Helpers!BF5*Assumptions!$B$20</f>
        <v>-1736.40159</v>
      </c>
      <c r="BG67" s="10" t="n">
        <f aca="false">-Helpers!BG5*Assumptions!$B$20</f>
        <v>-1736.40159</v>
      </c>
      <c r="BH67" s="10" t="n">
        <f aca="false">-Helpers!BH5*Assumptions!$B$20</f>
        <v>-1736.40159</v>
      </c>
      <c r="BI67" s="10" t="n">
        <f aca="false">-Helpers!BI5*Assumptions!$B$20</f>
        <v>-1736.40159</v>
      </c>
      <c r="BJ67" s="10" t="n">
        <f aca="false">-Helpers!BJ5*Assumptions!$B$20</f>
        <v>-1736.40159</v>
      </c>
      <c r="BK67" s="10" t="n">
        <f aca="false">-Helpers!BK5*Assumptions!$B$20</f>
        <v>-1771.1296218</v>
      </c>
      <c r="BL67" s="10" t="n">
        <f aca="false">-Helpers!BL5*Assumptions!$B$20</f>
        <v>-1771.1296218</v>
      </c>
      <c r="BM67" s="10" t="n">
        <f aca="false">-Helpers!BM5*Assumptions!$B$20</f>
        <v>-1771.1296218</v>
      </c>
      <c r="BN67" s="10" t="n">
        <f aca="false">-Helpers!BN5*Assumptions!$B$20</f>
        <v>-1771.1296218</v>
      </c>
      <c r="BO67" s="10" t="n">
        <f aca="false">-Helpers!BO5*Assumptions!$B$20</f>
        <v>-1771.1296218</v>
      </c>
      <c r="BP67" s="10" t="n">
        <f aca="false">-Helpers!BP5*Assumptions!$B$20</f>
        <v>-1771.1296218</v>
      </c>
      <c r="BQ67" s="10" t="n">
        <f aca="false">-Helpers!BQ5*Assumptions!$B$20</f>
        <v>-1771.1296218</v>
      </c>
      <c r="BR67" s="10" t="n">
        <f aca="false">-Helpers!BR5*Assumptions!$B$20</f>
        <v>-1771.1296218</v>
      </c>
      <c r="BS67" s="10" t="n">
        <f aca="false">-Helpers!BS5*Assumptions!$B$20</f>
        <v>-1771.1296218</v>
      </c>
      <c r="BT67" s="10" t="n">
        <f aca="false">-Helpers!BT5*Assumptions!$B$20</f>
        <v>-1771.1296218</v>
      </c>
      <c r="BU67" s="10" t="n">
        <f aca="false">-Helpers!BU5*Assumptions!$B$20</f>
        <v>-1771.1296218</v>
      </c>
      <c r="BV67" s="10" t="n">
        <f aca="false">-Helpers!BV5*Assumptions!$B$20</f>
        <v>-1771.1296218</v>
      </c>
      <c r="BW67" s="10" t="n">
        <f aca="false">-Helpers!BW5*Assumptions!$B$20</f>
        <v>-1806.552214236</v>
      </c>
      <c r="BX67" s="10" t="n">
        <f aca="false">-Helpers!BX5*Assumptions!$B$20</f>
        <v>-1806.552214236</v>
      </c>
      <c r="BY67" s="10" t="n">
        <f aca="false">-Helpers!BY5*Assumptions!$B$20</f>
        <v>-1806.552214236</v>
      </c>
      <c r="BZ67" s="10" t="n">
        <f aca="false">-Helpers!BZ5*Assumptions!$B$20</f>
        <v>-1806.552214236</v>
      </c>
      <c r="CA67" s="10" t="n">
        <f aca="false">-Helpers!CA5*Assumptions!$B$20</f>
        <v>-1806.552214236</v>
      </c>
      <c r="CB67" s="10" t="n">
        <f aca="false">-Helpers!CB5*Assumptions!$B$20</f>
        <v>-1806.552214236</v>
      </c>
      <c r="CC67" s="10" t="n">
        <f aca="false">-Helpers!CC5*Assumptions!$B$20</f>
        <v>-1806.552214236</v>
      </c>
      <c r="CD67" s="10" t="n">
        <f aca="false">-Helpers!CD5*Assumptions!$B$20</f>
        <v>-1806.552214236</v>
      </c>
      <c r="CE67" s="10" t="n">
        <f aca="false">-Helpers!CE5*Assumptions!$B$20</f>
        <v>-1806.552214236</v>
      </c>
      <c r="CF67" s="10" t="n">
        <f aca="false">-Helpers!CF5*Assumptions!$B$20</f>
        <v>-1806.552214236</v>
      </c>
      <c r="CG67" s="10" t="n">
        <f aca="false">-Helpers!CG5*Assumptions!$B$20</f>
        <v>-1806.552214236</v>
      </c>
      <c r="CH67" s="10" t="n">
        <f aca="false">-Helpers!CH5*Assumptions!$B$20</f>
        <v>-1806.552214236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-Helpers!C5*Assumptions!$B$21</f>
        <v>-114.583333333333</v>
      </c>
      <c r="D68" s="10" t="n">
        <f aca="false">-Helpers!D5*Assumptions!$B$21</f>
        <v>-114.583333333333</v>
      </c>
      <c r="E68" s="10" t="n">
        <f aca="false">-Helpers!E5*Assumptions!$B$21</f>
        <v>-114.583333333333</v>
      </c>
      <c r="F68" s="10" t="n">
        <f aca="false">-Helpers!F5*Assumptions!$B$21</f>
        <v>-114.583333333333</v>
      </c>
      <c r="G68" s="10" t="n">
        <f aca="false">-Helpers!G5*Assumptions!$B$21</f>
        <v>-114.583333333333</v>
      </c>
      <c r="H68" s="10" t="n">
        <f aca="false">-Helpers!H5*Assumptions!$B$21</f>
        <v>-114.583333333333</v>
      </c>
      <c r="I68" s="10" t="n">
        <f aca="false">-Helpers!I5*Assumptions!$B$21</f>
        <v>-114.583333333333</v>
      </c>
      <c r="J68" s="10" t="n">
        <f aca="false">-Helpers!J5*Assumptions!$B$21</f>
        <v>-114.583333333333</v>
      </c>
      <c r="K68" s="10" t="n">
        <f aca="false">-Helpers!K5*Assumptions!$B$21</f>
        <v>-114.583333333333</v>
      </c>
      <c r="L68" s="10" t="n">
        <f aca="false">-Helpers!L5*Assumptions!$B$21</f>
        <v>-114.583333333333</v>
      </c>
      <c r="M68" s="10" t="n">
        <f aca="false">-Helpers!M5*Assumptions!$B$21</f>
        <v>-114.583333333333</v>
      </c>
      <c r="N68" s="10" t="n">
        <f aca="false">-Helpers!N5*Assumptions!$B$21</f>
        <v>-114.583333333333</v>
      </c>
      <c r="O68" s="10" t="n">
        <f aca="false">-Helpers!O5*Assumptions!$B$21</f>
        <v>-116.875</v>
      </c>
      <c r="P68" s="10" t="n">
        <f aca="false">-Helpers!P5*Assumptions!$B$21</f>
        <v>-116.875</v>
      </c>
      <c r="Q68" s="10" t="n">
        <f aca="false">-Helpers!Q5*Assumptions!$B$21</f>
        <v>-116.875</v>
      </c>
      <c r="R68" s="10" t="n">
        <f aca="false">-Helpers!R5*Assumptions!$B$21</f>
        <v>-116.875</v>
      </c>
      <c r="S68" s="10" t="n">
        <f aca="false">-Helpers!S5*Assumptions!$B$21</f>
        <v>-116.875</v>
      </c>
      <c r="T68" s="10" t="n">
        <f aca="false">-Helpers!T5*Assumptions!$B$21</f>
        <v>-116.875</v>
      </c>
      <c r="U68" s="10" t="n">
        <f aca="false">-Helpers!U5*Assumptions!$B$21</f>
        <v>-116.875</v>
      </c>
      <c r="V68" s="10" t="n">
        <f aca="false">-Helpers!V5*Assumptions!$B$21</f>
        <v>-116.875</v>
      </c>
      <c r="W68" s="10" t="n">
        <f aca="false">-Helpers!W5*Assumptions!$B$21</f>
        <v>-116.875</v>
      </c>
      <c r="X68" s="10" t="n">
        <f aca="false">-Helpers!X5*Assumptions!$B$21</f>
        <v>-116.875</v>
      </c>
      <c r="Y68" s="10" t="n">
        <f aca="false">-Helpers!Y5*Assumptions!$B$21</f>
        <v>-116.875</v>
      </c>
      <c r="Z68" s="10" t="n">
        <f aca="false">-Helpers!Z5*Assumptions!$B$21</f>
        <v>-116.875</v>
      </c>
      <c r="AA68" s="10" t="n">
        <f aca="false">-Helpers!AA5*Assumptions!$B$21</f>
        <v>-119.2125</v>
      </c>
      <c r="AB68" s="10" t="n">
        <f aca="false">-Helpers!AB5*Assumptions!$B$21</f>
        <v>-119.2125</v>
      </c>
      <c r="AC68" s="10" t="n">
        <f aca="false">-Helpers!AC5*Assumptions!$B$21</f>
        <v>-119.2125</v>
      </c>
      <c r="AD68" s="10" t="n">
        <f aca="false">-Helpers!AD5*Assumptions!$B$21</f>
        <v>-119.2125</v>
      </c>
      <c r="AE68" s="10" t="n">
        <f aca="false">-Helpers!AE5*Assumptions!$B$21</f>
        <v>-119.2125</v>
      </c>
      <c r="AF68" s="10" t="n">
        <f aca="false">-Helpers!AF5*Assumptions!$B$21</f>
        <v>-119.2125</v>
      </c>
      <c r="AG68" s="10" t="n">
        <f aca="false">-Helpers!AG5*Assumptions!$B$21</f>
        <v>-119.2125</v>
      </c>
      <c r="AH68" s="10" t="n">
        <f aca="false">-Helpers!AH5*Assumptions!$B$21</f>
        <v>-119.2125</v>
      </c>
      <c r="AI68" s="10" t="n">
        <f aca="false">-Helpers!AI5*Assumptions!$B$21</f>
        <v>-119.2125</v>
      </c>
      <c r="AJ68" s="10" t="n">
        <f aca="false">-Helpers!AJ5*Assumptions!$B$21</f>
        <v>-119.2125</v>
      </c>
      <c r="AK68" s="10" t="n">
        <f aca="false">-Helpers!AK5*Assumptions!$B$21</f>
        <v>-119.2125</v>
      </c>
      <c r="AL68" s="10" t="n">
        <f aca="false">-Helpers!AL5*Assumptions!$B$21</f>
        <v>-119.2125</v>
      </c>
      <c r="AM68" s="10" t="n">
        <f aca="false">-Helpers!AM5*Assumptions!$B$21</f>
        <v>-121.59675</v>
      </c>
      <c r="AN68" s="10" t="n">
        <f aca="false">-Helpers!AN5*Assumptions!$B$21</f>
        <v>-121.59675</v>
      </c>
      <c r="AO68" s="10" t="n">
        <f aca="false">-Helpers!AO5*Assumptions!$B$21</f>
        <v>-121.59675</v>
      </c>
      <c r="AP68" s="10" t="n">
        <f aca="false">-Helpers!AP5*Assumptions!$B$21</f>
        <v>-121.59675</v>
      </c>
      <c r="AQ68" s="10" t="n">
        <f aca="false">-Helpers!AQ5*Assumptions!$B$21</f>
        <v>-121.59675</v>
      </c>
      <c r="AR68" s="10" t="n">
        <f aca="false">-Helpers!AR5*Assumptions!$B$21</f>
        <v>-121.59675</v>
      </c>
      <c r="AS68" s="10" t="n">
        <f aca="false">-Helpers!AS5*Assumptions!$B$21</f>
        <v>-121.59675</v>
      </c>
      <c r="AT68" s="10" t="n">
        <f aca="false">-Helpers!AT5*Assumptions!$B$21</f>
        <v>-121.59675</v>
      </c>
      <c r="AU68" s="10" t="n">
        <f aca="false">-Helpers!AU5*Assumptions!$B$21</f>
        <v>-121.59675</v>
      </c>
      <c r="AV68" s="10" t="n">
        <f aca="false">-Helpers!AV5*Assumptions!$B$21</f>
        <v>-121.59675</v>
      </c>
      <c r="AW68" s="10" t="n">
        <f aca="false">-Helpers!AW5*Assumptions!$B$21</f>
        <v>-121.59675</v>
      </c>
      <c r="AX68" s="10" t="n">
        <f aca="false">-Helpers!AX5*Assumptions!$B$21</f>
        <v>-121.59675</v>
      </c>
      <c r="AY68" s="10" t="n">
        <f aca="false">-Helpers!AY5*Assumptions!$B$21</f>
        <v>-124.028685</v>
      </c>
      <c r="AZ68" s="10" t="n">
        <f aca="false">-Helpers!AZ5*Assumptions!$B$21</f>
        <v>-124.028685</v>
      </c>
      <c r="BA68" s="10" t="n">
        <f aca="false">-Helpers!BA5*Assumptions!$B$21</f>
        <v>-124.028685</v>
      </c>
      <c r="BB68" s="10" t="n">
        <f aca="false">-Helpers!BB5*Assumptions!$B$21</f>
        <v>-124.028685</v>
      </c>
      <c r="BC68" s="10" t="n">
        <f aca="false">-Helpers!BC5*Assumptions!$B$21</f>
        <v>-124.028685</v>
      </c>
      <c r="BD68" s="10" t="n">
        <f aca="false">-Helpers!BD5*Assumptions!$B$21</f>
        <v>-124.028685</v>
      </c>
      <c r="BE68" s="10" t="n">
        <f aca="false">-Helpers!BE5*Assumptions!$B$21</f>
        <v>-124.028685</v>
      </c>
      <c r="BF68" s="10" t="n">
        <f aca="false">-Helpers!BF5*Assumptions!$B$21</f>
        <v>-124.028685</v>
      </c>
      <c r="BG68" s="10" t="n">
        <f aca="false">-Helpers!BG5*Assumptions!$B$21</f>
        <v>-124.028685</v>
      </c>
      <c r="BH68" s="10" t="n">
        <f aca="false">-Helpers!BH5*Assumptions!$B$21</f>
        <v>-124.028685</v>
      </c>
      <c r="BI68" s="10" t="n">
        <f aca="false">-Helpers!BI5*Assumptions!$B$21</f>
        <v>-124.028685</v>
      </c>
      <c r="BJ68" s="10" t="n">
        <f aca="false">-Helpers!BJ5*Assumptions!$B$21</f>
        <v>-124.028685</v>
      </c>
      <c r="BK68" s="10" t="n">
        <f aca="false">-Helpers!BK5*Assumptions!$B$21</f>
        <v>-126.5092587</v>
      </c>
      <c r="BL68" s="10" t="n">
        <f aca="false">-Helpers!BL5*Assumptions!$B$21</f>
        <v>-126.5092587</v>
      </c>
      <c r="BM68" s="10" t="n">
        <f aca="false">-Helpers!BM5*Assumptions!$B$21</f>
        <v>-126.5092587</v>
      </c>
      <c r="BN68" s="10" t="n">
        <f aca="false">-Helpers!BN5*Assumptions!$B$21</f>
        <v>-126.5092587</v>
      </c>
      <c r="BO68" s="10" t="n">
        <f aca="false">-Helpers!BO5*Assumptions!$B$21</f>
        <v>-126.5092587</v>
      </c>
      <c r="BP68" s="10" t="n">
        <f aca="false">-Helpers!BP5*Assumptions!$B$21</f>
        <v>-126.5092587</v>
      </c>
      <c r="BQ68" s="10" t="n">
        <f aca="false">-Helpers!BQ5*Assumptions!$B$21</f>
        <v>-126.5092587</v>
      </c>
      <c r="BR68" s="10" t="n">
        <f aca="false">-Helpers!BR5*Assumptions!$B$21</f>
        <v>-126.5092587</v>
      </c>
      <c r="BS68" s="10" t="n">
        <f aca="false">-Helpers!BS5*Assumptions!$B$21</f>
        <v>-126.5092587</v>
      </c>
      <c r="BT68" s="10" t="n">
        <f aca="false">-Helpers!BT5*Assumptions!$B$21</f>
        <v>-126.5092587</v>
      </c>
      <c r="BU68" s="10" t="n">
        <f aca="false">-Helpers!BU5*Assumptions!$B$21</f>
        <v>-126.5092587</v>
      </c>
      <c r="BV68" s="10" t="n">
        <f aca="false">-Helpers!BV5*Assumptions!$B$21</f>
        <v>-126.5092587</v>
      </c>
      <c r="BW68" s="10" t="n">
        <f aca="false">-Helpers!BW5*Assumptions!$B$21</f>
        <v>-129.039443874</v>
      </c>
      <c r="BX68" s="10" t="n">
        <f aca="false">-Helpers!BX5*Assumptions!$B$21</f>
        <v>-129.039443874</v>
      </c>
      <c r="BY68" s="10" t="n">
        <f aca="false">-Helpers!BY5*Assumptions!$B$21</f>
        <v>-129.039443874</v>
      </c>
      <c r="BZ68" s="10" t="n">
        <f aca="false">-Helpers!BZ5*Assumptions!$B$21</f>
        <v>-129.039443874</v>
      </c>
      <c r="CA68" s="10" t="n">
        <f aca="false">-Helpers!CA5*Assumptions!$B$21</f>
        <v>-129.039443874</v>
      </c>
      <c r="CB68" s="10" t="n">
        <f aca="false">-Helpers!CB5*Assumptions!$B$21</f>
        <v>-129.039443874</v>
      </c>
      <c r="CC68" s="10" t="n">
        <f aca="false">-Helpers!CC5*Assumptions!$B$21</f>
        <v>-129.039443874</v>
      </c>
      <c r="CD68" s="10" t="n">
        <f aca="false">-Helpers!CD5*Assumptions!$B$21</f>
        <v>-129.039443874</v>
      </c>
      <c r="CE68" s="10" t="n">
        <f aca="false">-Helpers!CE5*Assumptions!$B$21</f>
        <v>-129.039443874</v>
      </c>
      <c r="CF68" s="10" t="n">
        <f aca="false">-Helpers!CF5*Assumptions!$B$21</f>
        <v>-129.039443874</v>
      </c>
      <c r="CG68" s="10" t="n">
        <f aca="false">-Helpers!CG5*Assumptions!$B$21</f>
        <v>-129.039443874</v>
      </c>
      <c r="CH68" s="10" t="n">
        <f aca="false">-Helpers!CH5*Assumptions!$B$21</f>
        <v>-129.039443874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-Helpers!C5*Assumptions!$B$22</f>
        <v>-1604.16666666667</v>
      </c>
      <c r="D69" s="10" t="n">
        <f aca="false">-Helpers!D5*Assumptions!$B$22</f>
        <v>-1604.16666666667</v>
      </c>
      <c r="E69" s="10" t="n">
        <f aca="false">-Helpers!E5*Assumptions!$B$22</f>
        <v>-1604.16666666667</v>
      </c>
      <c r="F69" s="10" t="n">
        <f aca="false">-Helpers!F5*Assumptions!$B$22</f>
        <v>-1604.16666666667</v>
      </c>
      <c r="G69" s="10" t="n">
        <f aca="false">-Helpers!G5*Assumptions!$B$22</f>
        <v>-1604.16666666667</v>
      </c>
      <c r="H69" s="10" t="n">
        <f aca="false">-Helpers!H5*Assumptions!$B$22</f>
        <v>-1604.16666666667</v>
      </c>
      <c r="I69" s="10" t="n">
        <f aca="false">-Helpers!I5*Assumptions!$B$22</f>
        <v>-1604.16666666667</v>
      </c>
      <c r="J69" s="10" t="n">
        <f aca="false">-Helpers!J5*Assumptions!$B$22</f>
        <v>-1604.16666666667</v>
      </c>
      <c r="K69" s="10" t="n">
        <f aca="false">-Helpers!K5*Assumptions!$B$22</f>
        <v>-1604.16666666667</v>
      </c>
      <c r="L69" s="10" t="n">
        <f aca="false">-Helpers!L5*Assumptions!$B$22</f>
        <v>-1604.16666666667</v>
      </c>
      <c r="M69" s="10" t="n">
        <f aca="false">-Helpers!M5*Assumptions!$B$22</f>
        <v>-1604.16666666667</v>
      </c>
      <c r="N69" s="10" t="n">
        <f aca="false">-Helpers!N5*Assumptions!$B$22</f>
        <v>-1604.16666666667</v>
      </c>
      <c r="O69" s="10" t="n">
        <f aca="false">-Helpers!O5*Assumptions!$B$22</f>
        <v>-1636.25</v>
      </c>
      <c r="P69" s="10" t="n">
        <f aca="false">-Helpers!P5*Assumptions!$B$22</f>
        <v>-1636.25</v>
      </c>
      <c r="Q69" s="10" t="n">
        <f aca="false">-Helpers!Q5*Assumptions!$B$22</f>
        <v>-1636.25</v>
      </c>
      <c r="R69" s="10" t="n">
        <f aca="false">-Helpers!R5*Assumptions!$B$22</f>
        <v>-1636.25</v>
      </c>
      <c r="S69" s="10" t="n">
        <f aca="false">-Helpers!S5*Assumptions!$B$22</f>
        <v>-1636.25</v>
      </c>
      <c r="T69" s="10" t="n">
        <f aca="false">-Helpers!T5*Assumptions!$B$22</f>
        <v>-1636.25</v>
      </c>
      <c r="U69" s="10" t="n">
        <f aca="false">-Helpers!U5*Assumptions!$B$22</f>
        <v>-1636.25</v>
      </c>
      <c r="V69" s="10" t="n">
        <f aca="false">-Helpers!V5*Assumptions!$B$22</f>
        <v>-1636.25</v>
      </c>
      <c r="W69" s="10" t="n">
        <f aca="false">-Helpers!W5*Assumptions!$B$22</f>
        <v>-1636.25</v>
      </c>
      <c r="X69" s="10" t="n">
        <f aca="false">-Helpers!X5*Assumptions!$B$22</f>
        <v>-1636.25</v>
      </c>
      <c r="Y69" s="10" t="n">
        <f aca="false">-Helpers!Y5*Assumptions!$B$22</f>
        <v>-1636.25</v>
      </c>
      <c r="Z69" s="10" t="n">
        <f aca="false">-Helpers!Z5*Assumptions!$B$22</f>
        <v>-1636.25</v>
      </c>
      <c r="AA69" s="10" t="n">
        <f aca="false">-Helpers!AA5*Assumptions!$B$22</f>
        <v>-1668.975</v>
      </c>
      <c r="AB69" s="10" t="n">
        <f aca="false">-Helpers!AB5*Assumptions!$B$22</f>
        <v>-1668.975</v>
      </c>
      <c r="AC69" s="10" t="n">
        <f aca="false">-Helpers!AC5*Assumptions!$B$22</f>
        <v>-1668.975</v>
      </c>
      <c r="AD69" s="10" t="n">
        <f aca="false">-Helpers!AD5*Assumptions!$B$22</f>
        <v>-1668.975</v>
      </c>
      <c r="AE69" s="10" t="n">
        <f aca="false">-Helpers!AE5*Assumptions!$B$22</f>
        <v>-1668.975</v>
      </c>
      <c r="AF69" s="10" t="n">
        <f aca="false">-Helpers!AF5*Assumptions!$B$22</f>
        <v>-1668.975</v>
      </c>
      <c r="AG69" s="10" t="n">
        <f aca="false">-Helpers!AG5*Assumptions!$B$22</f>
        <v>-1668.975</v>
      </c>
      <c r="AH69" s="10" t="n">
        <f aca="false">-Helpers!AH5*Assumptions!$B$22</f>
        <v>-1668.975</v>
      </c>
      <c r="AI69" s="10" t="n">
        <f aca="false">-Helpers!AI5*Assumptions!$B$22</f>
        <v>-1668.975</v>
      </c>
      <c r="AJ69" s="10" t="n">
        <f aca="false">-Helpers!AJ5*Assumptions!$B$22</f>
        <v>-1668.975</v>
      </c>
      <c r="AK69" s="10" t="n">
        <f aca="false">-Helpers!AK5*Assumptions!$B$22</f>
        <v>-1668.975</v>
      </c>
      <c r="AL69" s="10" t="n">
        <f aca="false">-Helpers!AL5*Assumptions!$B$22</f>
        <v>-1668.975</v>
      </c>
      <c r="AM69" s="10" t="n">
        <f aca="false">-Helpers!AM5*Assumptions!$B$22</f>
        <v>-1702.3545</v>
      </c>
      <c r="AN69" s="10" t="n">
        <f aca="false">-Helpers!AN5*Assumptions!$B$22</f>
        <v>-1702.3545</v>
      </c>
      <c r="AO69" s="10" t="n">
        <f aca="false">-Helpers!AO5*Assumptions!$B$22</f>
        <v>-1702.3545</v>
      </c>
      <c r="AP69" s="10" t="n">
        <f aca="false">-Helpers!AP5*Assumptions!$B$22</f>
        <v>-1702.3545</v>
      </c>
      <c r="AQ69" s="10" t="n">
        <f aca="false">-Helpers!AQ5*Assumptions!$B$22</f>
        <v>-1702.3545</v>
      </c>
      <c r="AR69" s="10" t="n">
        <f aca="false">-Helpers!AR5*Assumptions!$B$22</f>
        <v>-1702.3545</v>
      </c>
      <c r="AS69" s="10" t="n">
        <f aca="false">-Helpers!AS5*Assumptions!$B$22</f>
        <v>-1702.3545</v>
      </c>
      <c r="AT69" s="10" t="n">
        <f aca="false">-Helpers!AT5*Assumptions!$B$22</f>
        <v>-1702.3545</v>
      </c>
      <c r="AU69" s="10" t="n">
        <f aca="false">-Helpers!AU5*Assumptions!$B$22</f>
        <v>-1702.3545</v>
      </c>
      <c r="AV69" s="10" t="n">
        <f aca="false">-Helpers!AV5*Assumptions!$B$22</f>
        <v>-1702.3545</v>
      </c>
      <c r="AW69" s="10" t="n">
        <f aca="false">-Helpers!AW5*Assumptions!$B$22</f>
        <v>-1702.3545</v>
      </c>
      <c r="AX69" s="10" t="n">
        <f aca="false">-Helpers!AX5*Assumptions!$B$22</f>
        <v>-1702.3545</v>
      </c>
      <c r="AY69" s="10" t="n">
        <f aca="false">-Helpers!AY5*Assumptions!$B$22</f>
        <v>-1736.40159</v>
      </c>
      <c r="AZ69" s="10" t="n">
        <f aca="false">-Helpers!AZ5*Assumptions!$B$22</f>
        <v>-1736.40159</v>
      </c>
      <c r="BA69" s="10" t="n">
        <f aca="false">-Helpers!BA5*Assumptions!$B$22</f>
        <v>-1736.40159</v>
      </c>
      <c r="BB69" s="10" t="n">
        <f aca="false">-Helpers!BB5*Assumptions!$B$22</f>
        <v>-1736.40159</v>
      </c>
      <c r="BC69" s="10" t="n">
        <f aca="false">-Helpers!BC5*Assumptions!$B$22</f>
        <v>-1736.40159</v>
      </c>
      <c r="BD69" s="10" t="n">
        <f aca="false">-Helpers!BD5*Assumptions!$B$22</f>
        <v>-1736.40159</v>
      </c>
      <c r="BE69" s="10" t="n">
        <f aca="false">-Helpers!BE5*Assumptions!$B$22</f>
        <v>-1736.40159</v>
      </c>
      <c r="BF69" s="10" t="n">
        <f aca="false">-Helpers!BF5*Assumptions!$B$22</f>
        <v>-1736.40159</v>
      </c>
      <c r="BG69" s="10" t="n">
        <f aca="false">-Helpers!BG5*Assumptions!$B$22</f>
        <v>-1736.40159</v>
      </c>
      <c r="BH69" s="10" t="n">
        <f aca="false">-Helpers!BH5*Assumptions!$B$22</f>
        <v>-1736.40159</v>
      </c>
      <c r="BI69" s="10" t="n">
        <f aca="false">-Helpers!BI5*Assumptions!$B$22</f>
        <v>-1736.40159</v>
      </c>
      <c r="BJ69" s="10" t="n">
        <f aca="false">-Helpers!BJ5*Assumptions!$B$22</f>
        <v>-1736.40159</v>
      </c>
      <c r="BK69" s="10" t="n">
        <f aca="false">-Helpers!BK5*Assumptions!$B$22</f>
        <v>-1771.1296218</v>
      </c>
      <c r="BL69" s="10" t="n">
        <f aca="false">-Helpers!BL5*Assumptions!$B$22</f>
        <v>-1771.1296218</v>
      </c>
      <c r="BM69" s="10" t="n">
        <f aca="false">-Helpers!BM5*Assumptions!$B$22</f>
        <v>-1771.1296218</v>
      </c>
      <c r="BN69" s="10" t="n">
        <f aca="false">-Helpers!BN5*Assumptions!$B$22</f>
        <v>-1771.1296218</v>
      </c>
      <c r="BO69" s="10" t="n">
        <f aca="false">-Helpers!BO5*Assumptions!$B$22</f>
        <v>-1771.1296218</v>
      </c>
      <c r="BP69" s="10" t="n">
        <f aca="false">-Helpers!BP5*Assumptions!$B$22</f>
        <v>-1771.1296218</v>
      </c>
      <c r="BQ69" s="10" t="n">
        <f aca="false">-Helpers!BQ5*Assumptions!$B$22</f>
        <v>-1771.1296218</v>
      </c>
      <c r="BR69" s="10" t="n">
        <f aca="false">-Helpers!BR5*Assumptions!$B$22</f>
        <v>-1771.1296218</v>
      </c>
      <c r="BS69" s="10" t="n">
        <f aca="false">-Helpers!BS5*Assumptions!$B$22</f>
        <v>-1771.1296218</v>
      </c>
      <c r="BT69" s="10" t="n">
        <f aca="false">-Helpers!BT5*Assumptions!$B$22</f>
        <v>-1771.1296218</v>
      </c>
      <c r="BU69" s="10" t="n">
        <f aca="false">-Helpers!BU5*Assumptions!$B$22</f>
        <v>-1771.1296218</v>
      </c>
      <c r="BV69" s="10" t="n">
        <f aca="false">-Helpers!BV5*Assumptions!$B$22</f>
        <v>-1771.1296218</v>
      </c>
      <c r="BW69" s="10" t="n">
        <f aca="false">-Helpers!BW5*Assumptions!$B$22</f>
        <v>-1806.552214236</v>
      </c>
      <c r="BX69" s="10" t="n">
        <f aca="false">-Helpers!BX5*Assumptions!$B$22</f>
        <v>-1806.552214236</v>
      </c>
      <c r="BY69" s="10" t="n">
        <f aca="false">-Helpers!BY5*Assumptions!$B$22</f>
        <v>-1806.552214236</v>
      </c>
      <c r="BZ69" s="10" t="n">
        <f aca="false">-Helpers!BZ5*Assumptions!$B$22</f>
        <v>-1806.552214236</v>
      </c>
      <c r="CA69" s="10" t="n">
        <f aca="false">-Helpers!CA5*Assumptions!$B$22</f>
        <v>-1806.552214236</v>
      </c>
      <c r="CB69" s="10" t="n">
        <f aca="false">-Helpers!CB5*Assumptions!$B$22</f>
        <v>-1806.552214236</v>
      </c>
      <c r="CC69" s="10" t="n">
        <f aca="false">-Helpers!CC5*Assumptions!$B$22</f>
        <v>-1806.552214236</v>
      </c>
      <c r="CD69" s="10" t="n">
        <f aca="false">-Helpers!CD5*Assumptions!$B$22</f>
        <v>-1806.552214236</v>
      </c>
      <c r="CE69" s="10" t="n">
        <f aca="false">-Helpers!CE5*Assumptions!$B$22</f>
        <v>-1806.552214236</v>
      </c>
      <c r="CF69" s="10" t="n">
        <f aca="false">-Helpers!CF5*Assumptions!$B$22</f>
        <v>-1806.552214236</v>
      </c>
      <c r="CG69" s="10" t="n">
        <f aca="false">-Helpers!CG5*Assumptions!$B$22</f>
        <v>-1806.552214236</v>
      </c>
      <c r="CH69" s="10" t="n">
        <f aca="false">-Helpers!CH5*Assumptions!$B$22</f>
        <v>-1806.552214236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-Helpers!C5*Assumptions!$B$23</f>
        <v>-458.333333333333</v>
      </c>
      <c r="D70" s="10" t="n">
        <f aca="false">-Helpers!D5*Assumptions!$B$23</f>
        <v>-458.333333333333</v>
      </c>
      <c r="E70" s="10" t="n">
        <f aca="false">-Helpers!E5*Assumptions!$B$23</f>
        <v>-458.333333333333</v>
      </c>
      <c r="F70" s="10" t="n">
        <f aca="false">-Helpers!F5*Assumptions!$B$23</f>
        <v>-458.333333333333</v>
      </c>
      <c r="G70" s="10" t="n">
        <f aca="false">-Helpers!G5*Assumptions!$B$23</f>
        <v>-458.333333333333</v>
      </c>
      <c r="H70" s="10" t="n">
        <f aca="false">-Helpers!H5*Assumptions!$B$23</f>
        <v>-458.333333333333</v>
      </c>
      <c r="I70" s="10" t="n">
        <f aca="false">-Helpers!I5*Assumptions!$B$23</f>
        <v>-458.333333333333</v>
      </c>
      <c r="J70" s="10" t="n">
        <f aca="false">-Helpers!J5*Assumptions!$B$23</f>
        <v>-458.333333333333</v>
      </c>
      <c r="K70" s="10" t="n">
        <f aca="false">-Helpers!K5*Assumptions!$B$23</f>
        <v>-458.333333333333</v>
      </c>
      <c r="L70" s="10" t="n">
        <f aca="false">-Helpers!L5*Assumptions!$B$23</f>
        <v>-458.333333333333</v>
      </c>
      <c r="M70" s="10" t="n">
        <f aca="false">-Helpers!M5*Assumptions!$B$23</f>
        <v>-458.333333333333</v>
      </c>
      <c r="N70" s="10" t="n">
        <f aca="false">-Helpers!N5*Assumptions!$B$23</f>
        <v>-458.333333333333</v>
      </c>
      <c r="O70" s="10" t="n">
        <f aca="false">-Helpers!O5*Assumptions!$B$23</f>
        <v>-467.5</v>
      </c>
      <c r="P70" s="10" t="n">
        <f aca="false">-Helpers!P5*Assumptions!$B$23</f>
        <v>-467.5</v>
      </c>
      <c r="Q70" s="10" t="n">
        <f aca="false">-Helpers!Q5*Assumptions!$B$23</f>
        <v>-467.5</v>
      </c>
      <c r="R70" s="10" t="n">
        <f aca="false">-Helpers!R5*Assumptions!$B$23</f>
        <v>-467.5</v>
      </c>
      <c r="S70" s="10" t="n">
        <f aca="false">-Helpers!S5*Assumptions!$B$23</f>
        <v>-467.5</v>
      </c>
      <c r="T70" s="10" t="n">
        <f aca="false">-Helpers!T5*Assumptions!$B$23</f>
        <v>-467.5</v>
      </c>
      <c r="U70" s="10" t="n">
        <f aca="false">-Helpers!U5*Assumptions!$B$23</f>
        <v>-467.5</v>
      </c>
      <c r="V70" s="10" t="n">
        <f aca="false">-Helpers!V5*Assumptions!$B$23</f>
        <v>-467.5</v>
      </c>
      <c r="W70" s="10" t="n">
        <f aca="false">-Helpers!W5*Assumptions!$B$23</f>
        <v>-467.5</v>
      </c>
      <c r="X70" s="10" t="n">
        <f aca="false">-Helpers!X5*Assumptions!$B$23</f>
        <v>-467.5</v>
      </c>
      <c r="Y70" s="10" t="n">
        <f aca="false">-Helpers!Y5*Assumptions!$B$23</f>
        <v>-467.5</v>
      </c>
      <c r="Z70" s="10" t="n">
        <f aca="false">-Helpers!Z5*Assumptions!$B$23</f>
        <v>-467.5</v>
      </c>
      <c r="AA70" s="10" t="n">
        <f aca="false">-Helpers!AA5*Assumptions!$B$23</f>
        <v>-476.85</v>
      </c>
      <c r="AB70" s="10" t="n">
        <f aca="false">-Helpers!AB5*Assumptions!$B$23</f>
        <v>-476.85</v>
      </c>
      <c r="AC70" s="10" t="n">
        <f aca="false">-Helpers!AC5*Assumptions!$B$23</f>
        <v>-476.85</v>
      </c>
      <c r="AD70" s="10" t="n">
        <f aca="false">-Helpers!AD5*Assumptions!$B$23</f>
        <v>-476.85</v>
      </c>
      <c r="AE70" s="10" t="n">
        <f aca="false">-Helpers!AE5*Assumptions!$B$23</f>
        <v>-476.85</v>
      </c>
      <c r="AF70" s="10" t="n">
        <f aca="false">-Helpers!AF5*Assumptions!$B$23</f>
        <v>-476.85</v>
      </c>
      <c r="AG70" s="10" t="n">
        <f aca="false">-Helpers!AG5*Assumptions!$B$23</f>
        <v>-476.85</v>
      </c>
      <c r="AH70" s="10" t="n">
        <f aca="false">-Helpers!AH5*Assumptions!$B$23</f>
        <v>-476.85</v>
      </c>
      <c r="AI70" s="10" t="n">
        <f aca="false">-Helpers!AI5*Assumptions!$B$23</f>
        <v>-476.85</v>
      </c>
      <c r="AJ70" s="10" t="n">
        <f aca="false">-Helpers!AJ5*Assumptions!$B$23</f>
        <v>-476.85</v>
      </c>
      <c r="AK70" s="10" t="n">
        <f aca="false">-Helpers!AK5*Assumptions!$B$23</f>
        <v>-476.85</v>
      </c>
      <c r="AL70" s="10" t="n">
        <f aca="false">-Helpers!AL5*Assumptions!$B$23</f>
        <v>-476.85</v>
      </c>
      <c r="AM70" s="10" t="n">
        <f aca="false">-Helpers!AM5*Assumptions!$B$23</f>
        <v>-486.387</v>
      </c>
      <c r="AN70" s="10" t="n">
        <f aca="false">-Helpers!AN5*Assumptions!$B$23</f>
        <v>-486.387</v>
      </c>
      <c r="AO70" s="10" t="n">
        <f aca="false">-Helpers!AO5*Assumptions!$B$23</f>
        <v>-486.387</v>
      </c>
      <c r="AP70" s="10" t="n">
        <f aca="false">-Helpers!AP5*Assumptions!$B$23</f>
        <v>-486.387</v>
      </c>
      <c r="AQ70" s="10" t="n">
        <f aca="false">-Helpers!AQ5*Assumptions!$B$23</f>
        <v>-486.387</v>
      </c>
      <c r="AR70" s="10" t="n">
        <f aca="false">-Helpers!AR5*Assumptions!$B$23</f>
        <v>-486.387</v>
      </c>
      <c r="AS70" s="10" t="n">
        <f aca="false">-Helpers!AS5*Assumptions!$B$23</f>
        <v>-486.387</v>
      </c>
      <c r="AT70" s="10" t="n">
        <f aca="false">-Helpers!AT5*Assumptions!$B$23</f>
        <v>-486.387</v>
      </c>
      <c r="AU70" s="10" t="n">
        <f aca="false">-Helpers!AU5*Assumptions!$B$23</f>
        <v>-486.387</v>
      </c>
      <c r="AV70" s="10" t="n">
        <f aca="false">-Helpers!AV5*Assumptions!$B$23</f>
        <v>-486.387</v>
      </c>
      <c r="AW70" s="10" t="n">
        <f aca="false">-Helpers!AW5*Assumptions!$B$23</f>
        <v>-486.387</v>
      </c>
      <c r="AX70" s="10" t="n">
        <f aca="false">-Helpers!AX5*Assumptions!$B$23</f>
        <v>-486.387</v>
      </c>
      <c r="AY70" s="10" t="n">
        <f aca="false">-Helpers!AY5*Assumptions!$B$23</f>
        <v>-496.11474</v>
      </c>
      <c r="AZ70" s="10" t="n">
        <f aca="false">-Helpers!AZ5*Assumptions!$B$23</f>
        <v>-496.11474</v>
      </c>
      <c r="BA70" s="10" t="n">
        <f aca="false">-Helpers!BA5*Assumptions!$B$23</f>
        <v>-496.11474</v>
      </c>
      <c r="BB70" s="10" t="n">
        <f aca="false">-Helpers!BB5*Assumptions!$B$23</f>
        <v>-496.11474</v>
      </c>
      <c r="BC70" s="10" t="n">
        <f aca="false">-Helpers!BC5*Assumptions!$B$23</f>
        <v>-496.11474</v>
      </c>
      <c r="BD70" s="10" t="n">
        <f aca="false">-Helpers!BD5*Assumptions!$B$23</f>
        <v>-496.11474</v>
      </c>
      <c r="BE70" s="10" t="n">
        <f aca="false">-Helpers!BE5*Assumptions!$B$23</f>
        <v>-496.11474</v>
      </c>
      <c r="BF70" s="10" t="n">
        <f aca="false">-Helpers!BF5*Assumptions!$B$23</f>
        <v>-496.11474</v>
      </c>
      <c r="BG70" s="10" t="n">
        <f aca="false">-Helpers!BG5*Assumptions!$B$23</f>
        <v>-496.11474</v>
      </c>
      <c r="BH70" s="10" t="n">
        <f aca="false">-Helpers!BH5*Assumptions!$B$23</f>
        <v>-496.11474</v>
      </c>
      <c r="BI70" s="10" t="n">
        <f aca="false">-Helpers!BI5*Assumptions!$B$23</f>
        <v>-496.11474</v>
      </c>
      <c r="BJ70" s="10" t="n">
        <f aca="false">-Helpers!BJ5*Assumptions!$B$23</f>
        <v>-496.11474</v>
      </c>
      <c r="BK70" s="10" t="n">
        <f aca="false">-Helpers!BK5*Assumptions!$B$23</f>
        <v>-506.0370348</v>
      </c>
      <c r="BL70" s="10" t="n">
        <f aca="false">-Helpers!BL5*Assumptions!$B$23</f>
        <v>-506.0370348</v>
      </c>
      <c r="BM70" s="10" t="n">
        <f aca="false">-Helpers!BM5*Assumptions!$B$23</f>
        <v>-506.0370348</v>
      </c>
      <c r="BN70" s="10" t="n">
        <f aca="false">-Helpers!BN5*Assumptions!$B$23</f>
        <v>-506.0370348</v>
      </c>
      <c r="BO70" s="10" t="n">
        <f aca="false">-Helpers!BO5*Assumptions!$B$23</f>
        <v>-506.0370348</v>
      </c>
      <c r="BP70" s="10" t="n">
        <f aca="false">-Helpers!BP5*Assumptions!$B$23</f>
        <v>-506.0370348</v>
      </c>
      <c r="BQ70" s="10" t="n">
        <f aca="false">-Helpers!BQ5*Assumptions!$B$23</f>
        <v>-506.0370348</v>
      </c>
      <c r="BR70" s="10" t="n">
        <f aca="false">-Helpers!BR5*Assumptions!$B$23</f>
        <v>-506.0370348</v>
      </c>
      <c r="BS70" s="10" t="n">
        <f aca="false">-Helpers!BS5*Assumptions!$B$23</f>
        <v>-506.0370348</v>
      </c>
      <c r="BT70" s="10" t="n">
        <f aca="false">-Helpers!BT5*Assumptions!$B$23</f>
        <v>-506.0370348</v>
      </c>
      <c r="BU70" s="10" t="n">
        <f aca="false">-Helpers!BU5*Assumptions!$B$23</f>
        <v>-506.0370348</v>
      </c>
      <c r="BV70" s="10" t="n">
        <f aca="false">-Helpers!BV5*Assumptions!$B$23</f>
        <v>-506.0370348</v>
      </c>
      <c r="BW70" s="10" t="n">
        <f aca="false">-Helpers!BW5*Assumptions!$B$23</f>
        <v>-516.157775496</v>
      </c>
      <c r="BX70" s="10" t="n">
        <f aca="false">-Helpers!BX5*Assumptions!$B$23</f>
        <v>-516.157775496</v>
      </c>
      <c r="BY70" s="10" t="n">
        <f aca="false">-Helpers!BY5*Assumptions!$B$23</f>
        <v>-516.157775496</v>
      </c>
      <c r="BZ70" s="10" t="n">
        <f aca="false">-Helpers!BZ5*Assumptions!$B$23</f>
        <v>-516.157775496</v>
      </c>
      <c r="CA70" s="10" t="n">
        <f aca="false">-Helpers!CA5*Assumptions!$B$23</f>
        <v>-516.157775496</v>
      </c>
      <c r="CB70" s="10" t="n">
        <f aca="false">-Helpers!CB5*Assumptions!$B$23</f>
        <v>-516.157775496</v>
      </c>
      <c r="CC70" s="10" t="n">
        <f aca="false">-Helpers!CC5*Assumptions!$B$23</f>
        <v>-516.157775496</v>
      </c>
      <c r="CD70" s="10" t="n">
        <f aca="false">-Helpers!CD5*Assumptions!$B$23</f>
        <v>-516.157775496</v>
      </c>
      <c r="CE70" s="10" t="n">
        <f aca="false">-Helpers!CE5*Assumptions!$B$23</f>
        <v>-516.157775496</v>
      </c>
      <c r="CF70" s="10" t="n">
        <f aca="false">-Helpers!CF5*Assumptions!$B$23</f>
        <v>-516.157775496</v>
      </c>
      <c r="CG70" s="10" t="n">
        <f aca="false">-Helpers!CG5*Assumptions!$B$23</f>
        <v>-516.157775496</v>
      </c>
      <c r="CH70" s="10" t="n">
        <f aca="false">-Helpers!CH5*Assumptions!$B$23</f>
        <v>-516.157775496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-3500*Escalation!$B$2</f>
        <v>-3500</v>
      </c>
      <c r="D71" s="10" t="n">
        <f aca="false">-3500*Escalation!$B$3</f>
        <v>-3500</v>
      </c>
      <c r="E71" s="10" t="n">
        <f aca="false">-3500*Escalation!$B$4</f>
        <v>-3500</v>
      </c>
      <c r="F71" s="10" t="n">
        <f aca="false">-3500*Escalation!$B$5</f>
        <v>-3500</v>
      </c>
      <c r="G71" s="10" t="n">
        <f aca="false">-3500*Escalation!$B$6</f>
        <v>-3500</v>
      </c>
      <c r="H71" s="10" t="n">
        <f aca="false">-3500*Escalation!$B$7</f>
        <v>-3500</v>
      </c>
      <c r="I71" s="10" t="n">
        <f aca="false">-3500*Escalation!$B$8</f>
        <v>-3500</v>
      </c>
      <c r="J71" s="10" t="n">
        <f aca="false">-3500*Escalation!$B$9</f>
        <v>-3500</v>
      </c>
      <c r="K71" s="10" t="n">
        <f aca="false">-3500*Escalation!$B$10</f>
        <v>-3500</v>
      </c>
      <c r="L71" s="10" t="n">
        <f aca="false">-3500*Escalation!$B$11</f>
        <v>-3500</v>
      </c>
      <c r="M71" s="10" t="n">
        <f aca="false">-3500*Escalation!$B$12</f>
        <v>-3500</v>
      </c>
      <c r="N71" s="10" t="n">
        <f aca="false">-3500*Escalation!$B$13</f>
        <v>-3500</v>
      </c>
      <c r="O71" s="10" t="n">
        <f aca="false">-3500*Escalation!$B$14</f>
        <v>-3570</v>
      </c>
      <c r="P71" s="10" t="n">
        <f aca="false">-3500*Escalation!$B$15</f>
        <v>-3570</v>
      </c>
      <c r="Q71" s="10" t="n">
        <f aca="false">-3500*Escalation!$B$16</f>
        <v>-3570</v>
      </c>
      <c r="R71" s="10" t="n">
        <f aca="false">-3500*Escalation!$B$17</f>
        <v>-3570</v>
      </c>
      <c r="S71" s="10" t="n">
        <f aca="false">-3500*Escalation!$B$18</f>
        <v>-3570</v>
      </c>
      <c r="T71" s="10" t="n">
        <f aca="false">-3500*Escalation!$B$19</f>
        <v>-3570</v>
      </c>
      <c r="U71" s="10" t="n">
        <f aca="false">-3500*Escalation!$B$20</f>
        <v>-3570</v>
      </c>
      <c r="V71" s="10" t="n">
        <f aca="false">-3500*Escalation!$B$21</f>
        <v>-3570</v>
      </c>
      <c r="W71" s="10" t="n">
        <f aca="false">-3500*Escalation!$B$22</f>
        <v>-3570</v>
      </c>
      <c r="X71" s="10" t="n">
        <f aca="false">-3500*Escalation!$B$23</f>
        <v>-3570</v>
      </c>
      <c r="Y71" s="10" t="n">
        <f aca="false">-3500*Escalation!$B$24</f>
        <v>-3570</v>
      </c>
      <c r="Z71" s="10" t="n">
        <f aca="false">-3500*Escalation!$B$25</f>
        <v>-3570</v>
      </c>
      <c r="AA71" s="10" t="n">
        <f aca="false">-3500*Escalation!$B$26</f>
        <v>-3641.4</v>
      </c>
      <c r="AB71" s="10" t="n">
        <f aca="false">-3500*Escalation!$B$27</f>
        <v>-3641.4</v>
      </c>
      <c r="AC71" s="10" t="n">
        <f aca="false">-3500*Escalation!$B$28</f>
        <v>-3641.4</v>
      </c>
      <c r="AD71" s="10" t="n">
        <f aca="false">-3500*Escalation!$B$29</f>
        <v>-3641.4</v>
      </c>
      <c r="AE71" s="10" t="n">
        <f aca="false">-3500*Escalation!$B$30</f>
        <v>-3641.4</v>
      </c>
      <c r="AF71" s="10" t="n">
        <f aca="false">-3500*Escalation!$B$31</f>
        <v>-3641.4</v>
      </c>
      <c r="AG71" s="10" t="n">
        <f aca="false">-3500*Escalation!$B$32</f>
        <v>-3641.4</v>
      </c>
      <c r="AH71" s="10" t="n">
        <f aca="false">-3500*Escalation!$B$33</f>
        <v>-3641.4</v>
      </c>
      <c r="AI71" s="10" t="n">
        <f aca="false">-3500*Escalation!$B$34</f>
        <v>-3641.4</v>
      </c>
      <c r="AJ71" s="10" t="n">
        <f aca="false">-3500*Escalation!$B$35</f>
        <v>-3641.4</v>
      </c>
      <c r="AK71" s="10" t="n">
        <f aca="false">-3500*Escalation!$B$36</f>
        <v>-3641.4</v>
      </c>
      <c r="AL71" s="10" t="n">
        <f aca="false">-3500*Escalation!$B$37</f>
        <v>-3641.4</v>
      </c>
      <c r="AM71" s="10" t="n">
        <f aca="false">-3500*Escalation!$B$38</f>
        <v>-3714.228</v>
      </c>
      <c r="AN71" s="10" t="n">
        <f aca="false">-3500*Escalation!$B$39</f>
        <v>-3714.228</v>
      </c>
      <c r="AO71" s="10" t="n">
        <f aca="false">-3500*Escalation!$B$40</f>
        <v>-3714.228</v>
      </c>
      <c r="AP71" s="10" t="n">
        <f aca="false">-3500*Escalation!$B$41</f>
        <v>-3714.228</v>
      </c>
      <c r="AQ71" s="10" t="n">
        <f aca="false">-3500*Escalation!$B$42</f>
        <v>-3714.228</v>
      </c>
      <c r="AR71" s="10" t="n">
        <f aca="false">-3500*Escalation!$B$43</f>
        <v>-3714.228</v>
      </c>
      <c r="AS71" s="10" t="n">
        <f aca="false">-3500*Escalation!$B$44</f>
        <v>-3714.228</v>
      </c>
      <c r="AT71" s="10" t="n">
        <f aca="false">-3500*Escalation!$B$45</f>
        <v>-3714.228</v>
      </c>
      <c r="AU71" s="10" t="n">
        <f aca="false">-3500*Escalation!$B$46</f>
        <v>-3714.228</v>
      </c>
      <c r="AV71" s="10" t="n">
        <f aca="false">-3500*Escalation!$B$47</f>
        <v>-3714.228</v>
      </c>
      <c r="AW71" s="10" t="n">
        <f aca="false">-3500*Escalation!$B$48</f>
        <v>-3714.228</v>
      </c>
      <c r="AX71" s="10" t="n">
        <f aca="false">-3500*Escalation!$B$49</f>
        <v>-3714.228</v>
      </c>
      <c r="AY71" s="10" t="n">
        <f aca="false">-3500*Escalation!$B$50</f>
        <v>-3788.51256</v>
      </c>
      <c r="AZ71" s="10" t="n">
        <f aca="false">-3500*Escalation!$B$51</f>
        <v>-3788.51256</v>
      </c>
      <c r="BA71" s="10" t="n">
        <f aca="false">-3500*Escalation!$B$52</f>
        <v>-3788.51256</v>
      </c>
      <c r="BB71" s="10" t="n">
        <f aca="false">-3500*Escalation!$B$53</f>
        <v>-3788.51256</v>
      </c>
      <c r="BC71" s="10" t="n">
        <f aca="false">-3500*Escalation!$B$54</f>
        <v>-3788.51256</v>
      </c>
      <c r="BD71" s="10" t="n">
        <f aca="false">-3500*Escalation!$B$55</f>
        <v>-3788.51256</v>
      </c>
      <c r="BE71" s="10" t="n">
        <f aca="false">-3500*Escalation!$B$56</f>
        <v>-3788.51256</v>
      </c>
      <c r="BF71" s="10" t="n">
        <f aca="false">-3500*Escalation!$B$57</f>
        <v>-3788.51256</v>
      </c>
      <c r="BG71" s="10" t="n">
        <f aca="false">-3500*Escalation!$B$58</f>
        <v>-3788.51256</v>
      </c>
      <c r="BH71" s="10" t="n">
        <f aca="false">-3500*Escalation!$B$59</f>
        <v>-3788.51256</v>
      </c>
      <c r="BI71" s="10" t="n">
        <f aca="false">-3500*Escalation!$B$60</f>
        <v>-3788.51256</v>
      </c>
      <c r="BJ71" s="10" t="n">
        <f aca="false">-3500*Escalation!$B$61</f>
        <v>-3788.51256</v>
      </c>
      <c r="BK71" s="10" t="n">
        <f aca="false">-3500*Escalation!$B$62</f>
        <v>-3864.2828112</v>
      </c>
      <c r="BL71" s="10" t="n">
        <f aca="false">-3500*Escalation!$B$63</f>
        <v>-3864.2828112</v>
      </c>
      <c r="BM71" s="10" t="n">
        <f aca="false">-3500*Escalation!$B$64</f>
        <v>-3864.2828112</v>
      </c>
      <c r="BN71" s="10" t="n">
        <f aca="false">-3500*Escalation!$B$65</f>
        <v>-3864.2828112</v>
      </c>
      <c r="BO71" s="10" t="n">
        <f aca="false">-3500*Escalation!$B$66</f>
        <v>-3864.2828112</v>
      </c>
      <c r="BP71" s="10" t="n">
        <f aca="false">-3500*Escalation!$B$67</f>
        <v>-3864.2828112</v>
      </c>
      <c r="BQ71" s="10" t="n">
        <f aca="false">-3500*Escalation!$B$68</f>
        <v>-3864.2828112</v>
      </c>
      <c r="BR71" s="10" t="n">
        <f aca="false">-3500*Escalation!$B$69</f>
        <v>-3864.2828112</v>
      </c>
      <c r="BS71" s="10" t="n">
        <f aca="false">-3500*Escalation!$B$70</f>
        <v>-3864.2828112</v>
      </c>
      <c r="BT71" s="10" t="n">
        <f aca="false">-3500*Escalation!$B$71</f>
        <v>-3864.2828112</v>
      </c>
      <c r="BU71" s="10" t="n">
        <f aca="false">-3500*Escalation!$B$72</f>
        <v>-3864.2828112</v>
      </c>
      <c r="BV71" s="10" t="n">
        <f aca="false">-3500*Escalation!$B$73</f>
        <v>-3864.2828112</v>
      </c>
      <c r="BW71" s="10" t="n">
        <f aca="false">-3500*Escalation!$B$74</f>
        <v>-3941.568467424</v>
      </c>
      <c r="BX71" s="10" t="n">
        <f aca="false">-3500*Escalation!$B$75</f>
        <v>-3941.568467424</v>
      </c>
      <c r="BY71" s="10" t="n">
        <f aca="false">-3500*Escalation!$B$76</f>
        <v>-3941.568467424</v>
      </c>
      <c r="BZ71" s="10" t="n">
        <f aca="false">-3500*Escalation!$B$77</f>
        <v>-3941.568467424</v>
      </c>
      <c r="CA71" s="10" t="n">
        <f aca="false">-3500*Escalation!$B$78</f>
        <v>-3941.568467424</v>
      </c>
      <c r="CB71" s="10" t="n">
        <f aca="false">-3500*Escalation!$B$79</f>
        <v>-3941.568467424</v>
      </c>
      <c r="CC71" s="10" t="n">
        <f aca="false">-3500*Escalation!$B$80</f>
        <v>-3941.568467424</v>
      </c>
      <c r="CD71" s="10" t="n">
        <f aca="false">-3500*Escalation!$B$81</f>
        <v>-3941.568467424</v>
      </c>
      <c r="CE71" s="10" t="n">
        <f aca="false">-3500*Escalation!$B$82</f>
        <v>-3941.568467424</v>
      </c>
      <c r="CF71" s="10" t="n">
        <f aca="false">-3500*Escalation!$B$83</f>
        <v>-3941.568467424</v>
      </c>
      <c r="CG71" s="10" t="n">
        <f aca="false">-3500*Escalation!$B$84</f>
        <v>-3941.568467424</v>
      </c>
      <c r="CH71" s="10" t="n">
        <f aca="false">-3500*Escalation!$B$85</f>
        <v>-3941.568467424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-5000*Escalation!$B$2</f>
        <v>-5000</v>
      </c>
      <c r="D72" s="10" t="n">
        <f aca="false">-5000*Escalation!$B$3</f>
        <v>-5000</v>
      </c>
      <c r="E72" s="10" t="n">
        <f aca="false">-5000*Escalation!$B$4</f>
        <v>-5000</v>
      </c>
      <c r="F72" s="10" t="n">
        <f aca="false">-5000*Escalation!$B$5</f>
        <v>-5000</v>
      </c>
      <c r="G72" s="10" t="n">
        <f aca="false">-5000*Escalation!$B$6</f>
        <v>-5000</v>
      </c>
      <c r="H72" s="10" t="n">
        <f aca="false">-5000*Escalation!$B$7</f>
        <v>-5000</v>
      </c>
      <c r="I72" s="10" t="n">
        <f aca="false">-5000*Escalation!$B$8</f>
        <v>-5000</v>
      </c>
      <c r="J72" s="10" t="n">
        <f aca="false">-5000*Escalation!$B$9</f>
        <v>-5000</v>
      </c>
      <c r="K72" s="10" t="n">
        <f aca="false">-5000*Escalation!$B$10</f>
        <v>-5000</v>
      </c>
      <c r="L72" s="10" t="n">
        <f aca="false">-5000*Escalation!$B$11</f>
        <v>-5000</v>
      </c>
      <c r="M72" s="10" t="n">
        <f aca="false">-5000*Escalation!$B$12</f>
        <v>-5000</v>
      </c>
      <c r="N72" s="10" t="n">
        <f aca="false">-5000*Escalation!$B$13</f>
        <v>-5000</v>
      </c>
      <c r="O72" s="10" t="n">
        <f aca="false">-5000*Escalation!$B$14</f>
        <v>-5100</v>
      </c>
      <c r="P72" s="10" t="n">
        <f aca="false">-5000*Escalation!$B$15</f>
        <v>-5100</v>
      </c>
      <c r="Q72" s="10" t="n">
        <f aca="false">-5000*Escalation!$B$16</f>
        <v>-5100</v>
      </c>
      <c r="R72" s="10" t="n">
        <f aca="false">-5000*Escalation!$B$17</f>
        <v>-5100</v>
      </c>
      <c r="S72" s="10" t="n">
        <f aca="false">-5000*Escalation!$B$18</f>
        <v>-5100</v>
      </c>
      <c r="T72" s="10" t="n">
        <f aca="false">-5000*Escalation!$B$19</f>
        <v>-5100</v>
      </c>
      <c r="U72" s="10" t="n">
        <f aca="false">-5000*Escalation!$B$20</f>
        <v>-5100</v>
      </c>
      <c r="V72" s="10" t="n">
        <f aca="false">-5000*Escalation!$B$21</f>
        <v>-5100</v>
      </c>
      <c r="W72" s="10" t="n">
        <f aca="false">-5000*Escalation!$B$22</f>
        <v>-5100</v>
      </c>
      <c r="X72" s="10" t="n">
        <f aca="false">-5000*Escalation!$B$23</f>
        <v>-5100</v>
      </c>
      <c r="Y72" s="10" t="n">
        <f aca="false">-5000*Escalation!$B$24</f>
        <v>-5100</v>
      </c>
      <c r="Z72" s="10" t="n">
        <f aca="false">-5000*Escalation!$B$25</f>
        <v>-5100</v>
      </c>
      <c r="AA72" s="10" t="n">
        <f aca="false">-5000*Escalation!$B$26</f>
        <v>-5202</v>
      </c>
      <c r="AB72" s="10" t="n">
        <f aca="false">-5000*Escalation!$B$27</f>
        <v>-5202</v>
      </c>
      <c r="AC72" s="10" t="n">
        <f aca="false">-5000*Escalation!$B$28</f>
        <v>-5202</v>
      </c>
      <c r="AD72" s="10" t="n">
        <f aca="false">-5000*Escalation!$B$29</f>
        <v>-5202</v>
      </c>
      <c r="AE72" s="10" t="n">
        <f aca="false">-5000*Escalation!$B$30</f>
        <v>-5202</v>
      </c>
      <c r="AF72" s="10" t="n">
        <f aca="false">-5000*Escalation!$B$31</f>
        <v>-5202</v>
      </c>
      <c r="AG72" s="10" t="n">
        <f aca="false">-5000*Escalation!$B$32</f>
        <v>-5202</v>
      </c>
      <c r="AH72" s="10" t="n">
        <f aca="false">-5000*Escalation!$B$33</f>
        <v>-5202</v>
      </c>
      <c r="AI72" s="10" t="n">
        <f aca="false">-5000*Escalation!$B$34</f>
        <v>-5202</v>
      </c>
      <c r="AJ72" s="10" t="n">
        <f aca="false">-5000*Escalation!$B$35</f>
        <v>-5202</v>
      </c>
      <c r="AK72" s="10" t="n">
        <f aca="false">-5000*Escalation!$B$36</f>
        <v>-5202</v>
      </c>
      <c r="AL72" s="10" t="n">
        <f aca="false">-5000*Escalation!$B$37</f>
        <v>-5202</v>
      </c>
      <c r="AM72" s="10" t="n">
        <f aca="false">-5000*Escalation!$B$38</f>
        <v>-5306.04</v>
      </c>
      <c r="AN72" s="10" t="n">
        <f aca="false">-5000*Escalation!$B$39</f>
        <v>-5306.04</v>
      </c>
      <c r="AO72" s="10" t="n">
        <f aca="false">-5000*Escalation!$B$40</f>
        <v>-5306.04</v>
      </c>
      <c r="AP72" s="10" t="n">
        <f aca="false">-5000*Escalation!$B$41</f>
        <v>-5306.04</v>
      </c>
      <c r="AQ72" s="10" t="n">
        <f aca="false">-5000*Escalation!$B$42</f>
        <v>-5306.04</v>
      </c>
      <c r="AR72" s="10" t="n">
        <f aca="false">-5000*Escalation!$B$43</f>
        <v>-5306.04</v>
      </c>
      <c r="AS72" s="10" t="n">
        <f aca="false">-5000*Escalation!$B$44</f>
        <v>-5306.04</v>
      </c>
      <c r="AT72" s="10" t="n">
        <f aca="false">-5000*Escalation!$B$45</f>
        <v>-5306.04</v>
      </c>
      <c r="AU72" s="10" t="n">
        <f aca="false">-5000*Escalation!$B$46</f>
        <v>-5306.04</v>
      </c>
      <c r="AV72" s="10" t="n">
        <f aca="false">-5000*Escalation!$B$47</f>
        <v>-5306.04</v>
      </c>
      <c r="AW72" s="10" t="n">
        <f aca="false">-5000*Escalation!$B$48</f>
        <v>-5306.04</v>
      </c>
      <c r="AX72" s="10" t="n">
        <f aca="false">-5000*Escalation!$B$49</f>
        <v>-5306.04</v>
      </c>
      <c r="AY72" s="10" t="n">
        <f aca="false">-5000*Escalation!$B$50</f>
        <v>-5412.1608</v>
      </c>
      <c r="AZ72" s="10" t="n">
        <f aca="false">-5000*Escalation!$B$51</f>
        <v>-5412.1608</v>
      </c>
      <c r="BA72" s="10" t="n">
        <f aca="false">-5000*Escalation!$B$52</f>
        <v>-5412.1608</v>
      </c>
      <c r="BB72" s="10" t="n">
        <f aca="false">-5000*Escalation!$B$53</f>
        <v>-5412.1608</v>
      </c>
      <c r="BC72" s="10" t="n">
        <f aca="false">-5000*Escalation!$B$54</f>
        <v>-5412.1608</v>
      </c>
      <c r="BD72" s="10" t="n">
        <f aca="false">-5000*Escalation!$B$55</f>
        <v>-5412.1608</v>
      </c>
      <c r="BE72" s="10" t="n">
        <f aca="false">-5000*Escalation!$B$56</f>
        <v>-5412.1608</v>
      </c>
      <c r="BF72" s="10" t="n">
        <f aca="false">-5000*Escalation!$B$57</f>
        <v>-5412.1608</v>
      </c>
      <c r="BG72" s="10" t="n">
        <f aca="false">-5000*Escalation!$B$58</f>
        <v>-5412.1608</v>
      </c>
      <c r="BH72" s="10" t="n">
        <f aca="false">-5000*Escalation!$B$59</f>
        <v>-5412.1608</v>
      </c>
      <c r="BI72" s="10" t="n">
        <f aca="false">-5000*Escalation!$B$60</f>
        <v>-5412.1608</v>
      </c>
      <c r="BJ72" s="10" t="n">
        <f aca="false">-5000*Escalation!$B$61</f>
        <v>-5412.1608</v>
      </c>
      <c r="BK72" s="10" t="n">
        <f aca="false">-5000*Escalation!$B$62</f>
        <v>-5520.404016</v>
      </c>
      <c r="BL72" s="10" t="n">
        <f aca="false">-5000*Escalation!$B$63</f>
        <v>-5520.404016</v>
      </c>
      <c r="BM72" s="10" t="n">
        <f aca="false">-5000*Escalation!$B$64</f>
        <v>-5520.404016</v>
      </c>
      <c r="BN72" s="10" t="n">
        <f aca="false">-5000*Escalation!$B$65</f>
        <v>-5520.404016</v>
      </c>
      <c r="BO72" s="10" t="n">
        <f aca="false">-5000*Escalation!$B$66</f>
        <v>-5520.404016</v>
      </c>
      <c r="BP72" s="10" t="n">
        <f aca="false">-5000*Escalation!$B$67</f>
        <v>-5520.404016</v>
      </c>
      <c r="BQ72" s="10" t="n">
        <f aca="false">-5000*Escalation!$B$68</f>
        <v>-5520.404016</v>
      </c>
      <c r="BR72" s="10" t="n">
        <f aca="false">-5000*Escalation!$B$69</f>
        <v>-5520.404016</v>
      </c>
      <c r="BS72" s="10" t="n">
        <f aca="false">-5000*Escalation!$B$70</f>
        <v>-5520.404016</v>
      </c>
      <c r="BT72" s="10" t="n">
        <f aca="false">-5000*Escalation!$B$71</f>
        <v>-5520.404016</v>
      </c>
      <c r="BU72" s="10" t="n">
        <f aca="false">-5000*Escalation!$B$72</f>
        <v>-5520.404016</v>
      </c>
      <c r="BV72" s="10" t="n">
        <f aca="false">-5000*Escalation!$B$73</f>
        <v>-5520.404016</v>
      </c>
      <c r="BW72" s="10" t="n">
        <f aca="false">-5000*Escalation!$B$74</f>
        <v>-5630.81209632</v>
      </c>
      <c r="BX72" s="10" t="n">
        <f aca="false">-5000*Escalation!$B$75</f>
        <v>-5630.81209632</v>
      </c>
      <c r="BY72" s="10" t="n">
        <f aca="false">-5000*Escalation!$B$76</f>
        <v>-5630.81209632</v>
      </c>
      <c r="BZ72" s="10" t="n">
        <f aca="false">-5000*Escalation!$B$77</f>
        <v>-5630.81209632</v>
      </c>
      <c r="CA72" s="10" t="n">
        <f aca="false">-5000*Escalation!$B$78</f>
        <v>-5630.81209632</v>
      </c>
      <c r="CB72" s="10" t="n">
        <f aca="false">-5000*Escalation!$B$79</f>
        <v>-5630.81209632</v>
      </c>
      <c r="CC72" s="10" t="n">
        <f aca="false">-5000*Escalation!$B$80</f>
        <v>-5630.81209632</v>
      </c>
      <c r="CD72" s="10" t="n">
        <f aca="false">-5000*Escalation!$B$81</f>
        <v>-5630.81209632</v>
      </c>
      <c r="CE72" s="10" t="n">
        <f aca="false">-5000*Escalation!$B$82</f>
        <v>-5630.81209632</v>
      </c>
      <c r="CF72" s="10" t="n">
        <f aca="false">-5000*Escalation!$B$83</f>
        <v>-5630.81209632</v>
      </c>
      <c r="CG72" s="10" t="n">
        <f aca="false">-5000*Escalation!$B$84</f>
        <v>-5630.81209632</v>
      </c>
      <c r="CH72" s="10" t="n">
        <f aca="false">-5000*Escalation!$B$85</f>
        <v>-5630.81209632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-100*Escalation!$B$2</f>
        <v>-100</v>
      </c>
      <c r="D73" s="10" t="n">
        <f aca="false">-100*Escalation!$B$3</f>
        <v>-100</v>
      </c>
      <c r="E73" s="10" t="n">
        <f aca="false">-100*Escalation!$B$4</f>
        <v>-100</v>
      </c>
      <c r="F73" s="10" t="n">
        <f aca="false">-100*Escalation!$B$5</f>
        <v>-100</v>
      </c>
      <c r="G73" s="10" t="n">
        <f aca="false">-100*Escalation!$B$6</f>
        <v>-100</v>
      </c>
      <c r="H73" s="10" t="n">
        <f aca="false">-100*Escalation!$B$7</f>
        <v>-100</v>
      </c>
      <c r="I73" s="10" t="n">
        <f aca="false">-100*Escalation!$B$8</f>
        <v>-100</v>
      </c>
      <c r="J73" s="10" t="n">
        <f aca="false">-100*Escalation!$B$9</f>
        <v>-100</v>
      </c>
      <c r="K73" s="10" t="n">
        <f aca="false">-100*Escalation!$B$10</f>
        <v>-100</v>
      </c>
      <c r="L73" s="10" t="n">
        <f aca="false">-100*Escalation!$B$11</f>
        <v>-100</v>
      </c>
      <c r="M73" s="10" t="n">
        <f aca="false">-100*Escalation!$B$12</f>
        <v>-100</v>
      </c>
      <c r="N73" s="10" t="n">
        <f aca="false">-100*Escalation!$B$13</f>
        <v>-100</v>
      </c>
      <c r="O73" s="10" t="n">
        <f aca="false">-100*Escalation!$B$14</f>
        <v>-102</v>
      </c>
      <c r="P73" s="10" t="n">
        <f aca="false">-100*Escalation!$B$15</f>
        <v>-102</v>
      </c>
      <c r="Q73" s="10" t="n">
        <f aca="false">-100*Escalation!$B$16</f>
        <v>-102</v>
      </c>
      <c r="R73" s="10" t="n">
        <f aca="false">-100*Escalation!$B$17</f>
        <v>-102</v>
      </c>
      <c r="S73" s="10" t="n">
        <f aca="false">-100*Escalation!$B$18</f>
        <v>-102</v>
      </c>
      <c r="T73" s="10" t="n">
        <f aca="false">-100*Escalation!$B$19</f>
        <v>-102</v>
      </c>
      <c r="U73" s="10" t="n">
        <f aca="false">-100*Escalation!$B$20</f>
        <v>-102</v>
      </c>
      <c r="V73" s="10" t="n">
        <f aca="false">-100*Escalation!$B$21</f>
        <v>-102</v>
      </c>
      <c r="W73" s="10" t="n">
        <f aca="false">-100*Escalation!$B$22</f>
        <v>-102</v>
      </c>
      <c r="X73" s="10" t="n">
        <f aca="false">-100*Escalation!$B$23</f>
        <v>-102</v>
      </c>
      <c r="Y73" s="10" t="n">
        <f aca="false">-100*Escalation!$B$24</f>
        <v>-102</v>
      </c>
      <c r="Z73" s="10" t="n">
        <f aca="false">-100*Escalation!$B$25</f>
        <v>-102</v>
      </c>
      <c r="AA73" s="10" t="n">
        <f aca="false">-100*Escalation!$B$26</f>
        <v>-104.04</v>
      </c>
      <c r="AB73" s="10" t="n">
        <f aca="false">-100*Escalation!$B$27</f>
        <v>-104.04</v>
      </c>
      <c r="AC73" s="10" t="n">
        <f aca="false">-100*Escalation!$B$28</f>
        <v>-104.04</v>
      </c>
      <c r="AD73" s="10" t="n">
        <f aca="false">-100*Escalation!$B$29</f>
        <v>-104.04</v>
      </c>
      <c r="AE73" s="10" t="n">
        <f aca="false">-100*Escalation!$B$30</f>
        <v>-104.04</v>
      </c>
      <c r="AF73" s="10" t="n">
        <f aca="false">-100*Escalation!$B$31</f>
        <v>-104.04</v>
      </c>
      <c r="AG73" s="10" t="n">
        <f aca="false">-100*Escalation!$B$32</f>
        <v>-104.04</v>
      </c>
      <c r="AH73" s="10" t="n">
        <f aca="false">-100*Escalation!$B$33</f>
        <v>-104.04</v>
      </c>
      <c r="AI73" s="10" t="n">
        <f aca="false">-100*Escalation!$B$34</f>
        <v>-104.04</v>
      </c>
      <c r="AJ73" s="10" t="n">
        <f aca="false">-100*Escalation!$B$35</f>
        <v>-104.04</v>
      </c>
      <c r="AK73" s="10" t="n">
        <f aca="false">-100*Escalation!$B$36</f>
        <v>-104.04</v>
      </c>
      <c r="AL73" s="10" t="n">
        <f aca="false">-100*Escalation!$B$37</f>
        <v>-104.04</v>
      </c>
      <c r="AM73" s="10" t="n">
        <f aca="false">-100*Escalation!$B$38</f>
        <v>-106.1208</v>
      </c>
      <c r="AN73" s="10" t="n">
        <f aca="false">-100*Escalation!$B$39</f>
        <v>-106.1208</v>
      </c>
      <c r="AO73" s="10" t="n">
        <f aca="false">-100*Escalation!$B$40</f>
        <v>-106.1208</v>
      </c>
      <c r="AP73" s="10" t="n">
        <f aca="false">-100*Escalation!$B$41</f>
        <v>-106.1208</v>
      </c>
      <c r="AQ73" s="10" t="n">
        <f aca="false">-100*Escalation!$B$42</f>
        <v>-106.1208</v>
      </c>
      <c r="AR73" s="10" t="n">
        <f aca="false">-100*Escalation!$B$43</f>
        <v>-106.1208</v>
      </c>
      <c r="AS73" s="10" t="n">
        <f aca="false">-100*Escalation!$B$44</f>
        <v>-106.1208</v>
      </c>
      <c r="AT73" s="10" t="n">
        <f aca="false">-100*Escalation!$B$45</f>
        <v>-106.1208</v>
      </c>
      <c r="AU73" s="10" t="n">
        <f aca="false">-100*Escalation!$B$46</f>
        <v>-106.1208</v>
      </c>
      <c r="AV73" s="10" t="n">
        <f aca="false">-100*Escalation!$B$47</f>
        <v>-106.1208</v>
      </c>
      <c r="AW73" s="10" t="n">
        <f aca="false">-100*Escalation!$B$48</f>
        <v>-106.1208</v>
      </c>
      <c r="AX73" s="10" t="n">
        <f aca="false">-100*Escalation!$B$49</f>
        <v>-106.1208</v>
      </c>
      <c r="AY73" s="10" t="n">
        <f aca="false">-100*Escalation!$B$50</f>
        <v>-108.243216</v>
      </c>
      <c r="AZ73" s="10" t="n">
        <f aca="false">-100*Escalation!$B$51</f>
        <v>-108.243216</v>
      </c>
      <c r="BA73" s="10" t="n">
        <f aca="false">-100*Escalation!$B$52</f>
        <v>-108.243216</v>
      </c>
      <c r="BB73" s="10" t="n">
        <f aca="false">-100*Escalation!$B$53</f>
        <v>-108.243216</v>
      </c>
      <c r="BC73" s="10" t="n">
        <f aca="false">-100*Escalation!$B$54</f>
        <v>-108.243216</v>
      </c>
      <c r="BD73" s="10" t="n">
        <f aca="false">-100*Escalation!$B$55</f>
        <v>-108.243216</v>
      </c>
      <c r="BE73" s="10" t="n">
        <f aca="false">-100*Escalation!$B$56</f>
        <v>-108.243216</v>
      </c>
      <c r="BF73" s="10" t="n">
        <f aca="false">-100*Escalation!$B$57</f>
        <v>-108.243216</v>
      </c>
      <c r="BG73" s="10" t="n">
        <f aca="false">-100*Escalation!$B$58</f>
        <v>-108.243216</v>
      </c>
      <c r="BH73" s="10" t="n">
        <f aca="false">-100*Escalation!$B$59</f>
        <v>-108.243216</v>
      </c>
      <c r="BI73" s="10" t="n">
        <f aca="false">-100*Escalation!$B$60</f>
        <v>-108.243216</v>
      </c>
      <c r="BJ73" s="10" t="n">
        <f aca="false">-100*Escalation!$B$61</f>
        <v>-108.243216</v>
      </c>
      <c r="BK73" s="10" t="n">
        <f aca="false">-100*Escalation!$B$62</f>
        <v>-110.40808032</v>
      </c>
      <c r="BL73" s="10" t="n">
        <f aca="false">-100*Escalation!$B$63</f>
        <v>-110.40808032</v>
      </c>
      <c r="BM73" s="10" t="n">
        <f aca="false">-100*Escalation!$B$64</f>
        <v>-110.40808032</v>
      </c>
      <c r="BN73" s="10" t="n">
        <f aca="false">-100*Escalation!$B$65</f>
        <v>-110.40808032</v>
      </c>
      <c r="BO73" s="10" t="n">
        <f aca="false">-100*Escalation!$B$66</f>
        <v>-110.40808032</v>
      </c>
      <c r="BP73" s="10" t="n">
        <f aca="false">-100*Escalation!$B$67</f>
        <v>-110.40808032</v>
      </c>
      <c r="BQ73" s="10" t="n">
        <f aca="false">-100*Escalation!$B$68</f>
        <v>-110.40808032</v>
      </c>
      <c r="BR73" s="10" t="n">
        <f aca="false">-100*Escalation!$B$69</f>
        <v>-110.40808032</v>
      </c>
      <c r="BS73" s="10" t="n">
        <f aca="false">-100*Escalation!$B$70</f>
        <v>-110.40808032</v>
      </c>
      <c r="BT73" s="10" t="n">
        <f aca="false">-100*Escalation!$B$71</f>
        <v>-110.40808032</v>
      </c>
      <c r="BU73" s="10" t="n">
        <f aca="false">-100*Escalation!$B$72</f>
        <v>-110.40808032</v>
      </c>
      <c r="BV73" s="10" t="n">
        <f aca="false">-100*Escalation!$B$73</f>
        <v>-110.40808032</v>
      </c>
      <c r="BW73" s="10" t="n">
        <f aca="false">-100*Escalation!$B$74</f>
        <v>-112.6162419264</v>
      </c>
      <c r="BX73" s="10" t="n">
        <f aca="false">-100*Escalation!$B$75</f>
        <v>-112.6162419264</v>
      </c>
      <c r="BY73" s="10" t="n">
        <f aca="false">-100*Escalation!$B$76</f>
        <v>-112.6162419264</v>
      </c>
      <c r="BZ73" s="10" t="n">
        <f aca="false">-100*Escalation!$B$77</f>
        <v>-112.6162419264</v>
      </c>
      <c r="CA73" s="10" t="n">
        <f aca="false">-100*Escalation!$B$78</f>
        <v>-112.6162419264</v>
      </c>
      <c r="CB73" s="10" t="n">
        <f aca="false">-100*Escalation!$B$79</f>
        <v>-112.6162419264</v>
      </c>
      <c r="CC73" s="10" t="n">
        <f aca="false">-100*Escalation!$B$80</f>
        <v>-112.6162419264</v>
      </c>
      <c r="CD73" s="10" t="n">
        <f aca="false">-100*Escalation!$B$81</f>
        <v>-112.6162419264</v>
      </c>
      <c r="CE73" s="10" t="n">
        <f aca="false">-100*Escalation!$B$82</f>
        <v>-112.6162419264</v>
      </c>
      <c r="CF73" s="10" t="n">
        <f aca="false">-100*Escalation!$B$83</f>
        <v>-112.6162419264</v>
      </c>
      <c r="CG73" s="10" t="n">
        <f aca="false">-100*Escalation!$B$84</f>
        <v>-112.6162419264</v>
      </c>
      <c r="CH73" s="10" t="n">
        <f aca="false">-100*Escalation!$B$85</f>
        <v>-112.6162419264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-3000*Escalation!$B$2</f>
        <v>-3000</v>
      </c>
      <c r="D74" s="10" t="n">
        <f aca="false">-3000*Escalation!$B$3</f>
        <v>-3000</v>
      </c>
      <c r="E74" s="10" t="n">
        <f aca="false">-3000*Escalation!$B$4</f>
        <v>-3000</v>
      </c>
      <c r="F74" s="10" t="n">
        <f aca="false">-3000*Escalation!$B$5</f>
        <v>-3000</v>
      </c>
      <c r="G74" s="10" t="n">
        <f aca="false">-3000*Escalation!$B$6</f>
        <v>-3000</v>
      </c>
      <c r="H74" s="10" t="n">
        <f aca="false">-3000*Escalation!$B$7</f>
        <v>-3000</v>
      </c>
      <c r="I74" s="10" t="n">
        <f aca="false">-3000*Escalation!$B$8</f>
        <v>-3000</v>
      </c>
      <c r="J74" s="10" t="n">
        <f aca="false">-3000*Escalation!$B$9</f>
        <v>-3000</v>
      </c>
      <c r="K74" s="10" t="n">
        <f aca="false">-3000*Escalation!$B$10</f>
        <v>-3000</v>
      </c>
      <c r="L74" s="10" t="n">
        <f aca="false">-3000*Escalation!$B$11</f>
        <v>-3000</v>
      </c>
      <c r="M74" s="10" t="n">
        <f aca="false">-3000*Escalation!$B$12</f>
        <v>-3000</v>
      </c>
      <c r="N74" s="10" t="n">
        <f aca="false">-3000*Escalation!$B$13</f>
        <v>-3000</v>
      </c>
      <c r="O74" s="10" t="n">
        <f aca="false">-3000*Escalation!$B$14</f>
        <v>-3060</v>
      </c>
      <c r="P74" s="10" t="n">
        <f aca="false">-3000*Escalation!$B$15</f>
        <v>-3060</v>
      </c>
      <c r="Q74" s="10" t="n">
        <f aca="false">-3000*Escalation!$B$16</f>
        <v>-3060</v>
      </c>
      <c r="R74" s="10" t="n">
        <f aca="false">-3000*Escalation!$B$17</f>
        <v>-3060</v>
      </c>
      <c r="S74" s="10" t="n">
        <f aca="false">-3000*Escalation!$B$18</f>
        <v>-3060</v>
      </c>
      <c r="T74" s="10" t="n">
        <f aca="false">-3000*Escalation!$B$19</f>
        <v>-3060</v>
      </c>
      <c r="U74" s="10" t="n">
        <f aca="false">-3000*Escalation!$B$20</f>
        <v>-3060</v>
      </c>
      <c r="V74" s="10" t="n">
        <f aca="false">-3000*Escalation!$B$21</f>
        <v>-3060</v>
      </c>
      <c r="W74" s="10" t="n">
        <f aca="false">-3000*Escalation!$B$22</f>
        <v>-3060</v>
      </c>
      <c r="X74" s="10" t="n">
        <f aca="false">-3000*Escalation!$B$23</f>
        <v>-3060</v>
      </c>
      <c r="Y74" s="10" t="n">
        <f aca="false">-3000*Escalation!$B$24</f>
        <v>-3060</v>
      </c>
      <c r="Z74" s="10" t="n">
        <f aca="false">-3000*Escalation!$B$25</f>
        <v>-3060</v>
      </c>
      <c r="AA74" s="10" t="n">
        <f aca="false">-3000*Escalation!$B$26</f>
        <v>-3121.2</v>
      </c>
      <c r="AB74" s="10" t="n">
        <f aca="false">-3000*Escalation!$B$27</f>
        <v>-3121.2</v>
      </c>
      <c r="AC74" s="10" t="n">
        <f aca="false">-3000*Escalation!$B$28</f>
        <v>-3121.2</v>
      </c>
      <c r="AD74" s="10" t="n">
        <f aca="false">-3000*Escalation!$B$29</f>
        <v>-3121.2</v>
      </c>
      <c r="AE74" s="10" t="n">
        <f aca="false">-3000*Escalation!$B$30</f>
        <v>-3121.2</v>
      </c>
      <c r="AF74" s="10" t="n">
        <f aca="false">-3000*Escalation!$B$31</f>
        <v>-3121.2</v>
      </c>
      <c r="AG74" s="10" t="n">
        <f aca="false">-3000*Escalation!$B$32</f>
        <v>-3121.2</v>
      </c>
      <c r="AH74" s="10" t="n">
        <f aca="false">-3000*Escalation!$B$33</f>
        <v>-3121.2</v>
      </c>
      <c r="AI74" s="10" t="n">
        <f aca="false">-3000*Escalation!$B$34</f>
        <v>-3121.2</v>
      </c>
      <c r="AJ74" s="10" t="n">
        <f aca="false">-3000*Escalation!$B$35</f>
        <v>-3121.2</v>
      </c>
      <c r="AK74" s="10" t="n">
        <f aca="false">-3000*Escalation!$B$36</f>
        <v>-3121.2</v>
      </c>
      <c r="AL74" s="10" t="n">
        <f aca="false">-3000*Escalation!$B$37</f>
        <v>-3121.2</v>
      </c>
      <c r="AM74" s="10" t="n">
        <f aca="false">-3000*Escalation!$B$38</f>
        <v>-3183.624</v>
      </c>
      <c r="AN74" s="10" t="n">
        <f aca="false">-3000*Escalation!$B$39</f>
        <v>-3183.624</v>
      </c>
      <c r="AO74" s="10" t="n">
        <f aca="false">-3000*Escalation!$B$40</f>
        <v>-3183.624</v>
      </c>
      <c r="AP74" s="10" t="n">
        <f aca="false">-3000*Escalation!$B$41</f>
        <v>-3183.624</v>
      </c>
      <c r="AQ74" s="10" t="n">
        <f aca="false">-3000*Escalation!$B$42</f>
        <v>-3183.624</v>
      </c>
      <c r="AR74" s="10" t="n">
        <f aca="false">-3000*Escalation!$B$43</f>
        <v>-3183.624</v>
      </c>
      <c r="AS74" s="10" t="n">
        <f aca="false">-3000*Escalation!$B$44</f>
        <v>-3183.624</v>
      </c>
      <c r="AT74" s="10" t="n">
        <f aca="false">-3000*Escalation!$B$45</f>
        <v>-3183.624</v>
      </c>
      <c r="AU74" s="10" t="n">
        <f aca="false">-3000*Escalation!$B$46</f>
        <v>-3183.624</v>
      </c>
      <c r="AV74" s="10" t="n">
        <f aca="false">-3000*Escalation!$B$47</f>
        <v>-3183.624</v>
      </c>
      <c r="AW74" s="10" t="n">
        <f aca="false">-3000*Escalation!$B$48</f>
        <v>-3183.624</v>
      </c>
      <c r="AX74" s="10" t="n">
        <f aca="false">-3000*Escalation!$B$49</f>
        <v>-3183.624</v>
      </c>
      <c r="AY74" s="10" t="n">
        <f aca="false">-3000*Escalation!$B$50</f>
        <v>-3247.29648</v>
      </c>
      <c r="AZ74" s="10" t="n">
        <f aca="false">-3000*Escalation!$B$51</f>
        <v>-3247.29648</v>
      </c>
      <c r="BA74" s="10" t="n">
        <f aca="false">-3000*Escalation!$B$52</f>
        <v>-3247.29648</v>
      </c>
      <c r="BB74" s="10" t="n">
        <f aca="false">-3000*Escalation!$B$53</f>
        <v>-3247.29648</v>
      </c>
      <c r="BC74" s="10" t="n">
        <f aca="false">-3000*Escalation!$B$54</f>
        <v>-3247.29648</v>
      </c>
      <c r="BD74" s="10" t="n">
        <f aca="false">-3000*Escalation!$B$55</f>
        <v>-3247.29648</v>
      </c>
      <c r="BE74" s="10" t="n">
        <f aca="false">-3000*Escalation!$B$56</f>
        <v>-3247.29648</v>
      </c>
      <c r="BF74" s="10" t="n">
        <f aca="false">-3000*Escalation!$B$57</f>
        <v>-3247.29648</v>
      </c>
      <c r="BG74" s="10" t="n">
        <f aca="false">-3000*Escalation!$B$58</f>
        <v>-3247.29648</v>
      </c>
      <c r="BH74" s="10" t="n">
        <f aca="false">-3000*Escalation!$B$59</f>
        <v>-3247.29648</v>
      </c>
      <c r="BI74" s="10" t="n">
        <f aca="false">-3000*Escalation!$B$60</f>
        <v>-3247.29648</v>
      </c>
      <c r="BJ74" s="10" t="n">
        <f aca="false">-3000*Escalation!$B$61</f>
        <v>-3247.29648</v>
      </c>
      <c r="BK74" s="10" t="n">
        <f aca="false">-3000*Escalation!$B$62</f>
        <v>-3312.2424096</v>
      </c>
      <c r="BL74" s="10" t="n">
        <f aca="false">-3000*Escalation!$B$63</f>
        <v>-3312.2424096</v>
      </c>
      <c r="BM74" s="10" t="n">
        <f aca="false">-3000*Escalation!$B$64</f>
        <v>-3312.2424096</v>
      </c>
      <c r="BN74" s="10" t="n">
        <f aca="false">-3000*Escalation!$B$65</f>
        <v>-3312.2424096</v>
      </c>
      <c r="BO74" s="10" t="n">
        <f aca="false">-3000*Escalation!$B$66</f>
        <v>-3312.2424096</v>
      </c>
      <c r="BP74" s="10" t="n">
        <f aca="false">-3000*Escalation!$B$67</f>
        <v>-3312.2424096</v>
      </c>
      <c r="BQ74" s="10" t="n">
        <f aca="false">-3000*Escalation!$B$68</f>
        <v>-3312.2424096</v>
      </c>
      <c r="BR74" s="10" t="n">
        <f aca="false">-3000*Escalation!$B$69</f>
        <v>-3312.2424096</v>
      </c>
      <c r="BS74" s="10" t="n">
        <f aca="false">-3000*Escalation!$B$70</f>
        <v>-3312.2424096</v>
      </c>
      <c r="BT74" s="10" t="n">
        <f aca="false">-3000*Escalation!$B$71</f>
        <v>-3312.2424096</v>
      </c>
      <c r="BU74" s="10" t="n">
        <f aca="false">-3000*Escalation!$B$72</f>
        <v>-3312.2424096</v>
      </c>
      <c r="BV74" s="10" t="n">
        <f aca="false">-3000*Escalation!$B$73</f>
        <v>-3312.2424096</v>
      </c>
      <c r="BW74" s="10" t="n">
        <f aca="false">-3000*Escalation!$B$74</f>
        <v>-3378.487257792</v>
      </c>
      <c r="BX74" s="10" t="n">
        <f aca="false">-3000*Escalation!$B$75</f>
        <v>-3378.487257792</v>
      </c>
      <c r="BY74" s="10" t="n">
        <f aca="false">-3000*Escalation!$B$76</f>
        <v>-3378.487257792</v>
      </c>
      <c r="BZ74" s="10" t="n">
        <f aca="false">-3000*Escalation!$B$77</f>
        <v>-3378.487257792</v>
      </c>
      <c r="CA74" s="10" t="n">
        <f aca="false">-3000*Escalation!$B$78</f>
        <v>-3378.487257792</v>
      </c>
      <c r="CB74" s="10" t="n">
        <f aca="false">-3000*Escalation!$B$79</f>
        <v>-3378.487257792</v>
      </c>
      <c r="CC74" s="10" t="n">
        <f aca="false">-3000*Escalation!$B$80</f>
        <v>-3378.487257792</v>
      </c>
      <c r="CD74" s="10" t="n">
        <f aca="false">-3000*Escalation!$B$81</f>
        <v>-3378.487257792</v>
      </c>
      <c r="CE74" s="10" t="n">
        <f aca="false">-3000*Escalation!$B$82</f>
        <v>-3378.487257792</v>
      </c>
      <c r="CF74" s="10" t="n">
        <f aca="false">-3000*Escalation!$B$83</f>
        <v>-3378.487257792</v>
      </c>
      <c r="CG74" s="10" t="n">
        <f aca="false">-3000*Escalation!$B$84</f>
        <v>-3378.487257792</v>
      </c>
      <c r="CH74" s="10" t="n">
        <f aca="false">-3000*Escalation!$B$85</f>
        <v>-3378.487257792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-2500*Escalation!$B$2</f>
        <v>-2500</v>
      </c>
      <c r="D75" s="10" t="n">
        <f aca="false">-2500*Escalation!$B$3</f>
        <v>-2500</v>
      </c>
      <c r="E75" s="10" t="n">
        <f aca="false">-2500*Escalation!$B$4</f>
        <v>-2500</v>
      </c>
      <c r="F75" s="10" t="n">
        <f aca="false">-2500*Escalation!$B$5</f>
        <v>-2500</v>
      </c>
      <c r="G75" s="10" t="n">
        <f aca="false">-2500*Escalation!$B$6</f>
        <v>-2500</v>
      </c>
      <c r="H75" s="10" t="n">
        <f aca="false">-2500*Escalation!$B$7</f>
        <v>-2500</v>
      </c>
      <c r="I75" s="10" t="n">
        <f aca="false">-2500*Escalation!$B$8</f>
        <v>-2500</v>
      </c>
      <c r="J75" s="10" t="n">
        <f aca="false">-2500*Escalation!$B$9</f>
        <v>-2500</v>
      </c>
      <c r="K75" s="10" t="n">
        <f aca="false">-2500*Escalation!$B$10</f>
        <v>-2500</v>
      </c>
      <c r="L75" s="10" t="n">
        <f aca="false">-2500*Escalation!$B$11</f>
        <v>-2500</v>
      </c>
      <c r="M75" s="10" t="n">
        <f aca="false">-2500*Escalation!$B$12</f>
        <v>-2500</v>
      </c>
      <c r="N75" s="10" t="n">
        <f aca="false">-2500*Escalation!$B$13</f>
        <v>-2500</v>
      </c>
      <c r="O75" s="10" t="n">
        <f aca="false">-2500*Escalation!$B$14</f>
        <v>-2550</v>
      </c>
      <c r="P75" s="10" t="n">
        <f aca="false">-2500*Escalation!$B$15</f>
        <v>-2550</v>
      </c>
      <c r="Q75" s="10" t="n">
        <f aca="false">-2500*Escalation!$B$16</f>
        <v>-2550</v>
      </c>
      <c r="R75" s="10" t="n">
        <f aca="false">-2500*Escalation!$B$17</f>
        <v>-2550</v>
      </c>
      <c r="S75" s="10" t="n">
        <f aca="false">-2500*Escalation!$B$18</f>
        <v>-2550</v>
      </c>
      <c r="T75" s="10" t="n">
        <f aca="false">-2500*Escalation!$B$19</f>
        <v>-2550</v>
      </c>
      <c r="U75" s="10" t="n">
        <f aca="false">-2500*Escalation!$B$20</f>
        <v>-2550</v>
      </c>
      <c r="V75" s="10" t="n">
        <f aca="false">-2500*Escalation!$B$21</f>
        <v>-2550</v>
      </c>
      <c r="W75" s="10" t="n">
        <f aca="false">-2500*Escalation!$B$22</f>
        <v>-2550</v>
      </c>
      <c r="X75" s="10" t="n">
        <f aca="false">-2500*Escalation!$B$23</f>
        <v>-2550</v>
      </c>
      <c r="Y75" s="10" t="n">
        <f aca="false">-2500*Escalation!$B$24</f>
        <v>-2550</v>
      </c>
      <c r="Z75" s="10" t="n">
        <f aca="false">-2500*Escalation!$B$25</f>
        <v>-2550</v>
      </c>
      <c r="AA75" s="10" t="n">
        <f aca="false">-2500*Escalation!$B$26</f>
        <v>-2601</v>
      </c>
      <c r="AB75" s="10" t="n">
        <f aca="false">-2500*Escalation!$B$27</f>
        <v>-2601</v>
      </c>
      <c r="AC75" s="10" t="n">
        <f aca="false">-2500*Escalation!$B$28</f>
        <v>-2601</v>
      </c>
      <c r="AD75" s="10" t="n">
        <f aca="false">-2500*Escalation!$B$29</f>
        <v>-2601</v>
      </c>
      <c r="AE75" s="10" t="n">
        <f aca="false">-2500*Escalation!$B$30</f>
        <v>-2601</v>
      </c>
      <c r="AF75" s="10" t="n">
        <f aca="false">-2500*Escalation!$B$31</f>
        <v>-2601</v>
      </c>
      <c r="AG75" s="10" t="n">
        <f aca="false">-2500*Escalation!$B$32</f>
        <v>-2601</v>
      </c>
      <c r="AH75" s="10" t="n">
        <f aca="false">-2500*Escalation!$B$33</f>
        <v>-2601</v>
      </c>
      <c r="AI75" s="10" t="n">
        <f aca="false">-2500*Escalation!$B$34</f>
        <v>-2601</v>
      </c>
      <c r="AJ75" s="10" t="n">
        <f aca="false">-2500*Escalation!$B$35</f>
        <v>-2601</v>
      </c>
      <c r="AK75" s="10" t="n">
        <f aca="false">-2500*Escalation!$B$36</f>
        <v>-2601</v>
      </c>
      <c r="AL75" s="10" t="n">
        <f aca="false">-2500*Escalation!$B$37</f>
        <v>-2601</v>
      </c>
      <c r="AM75" s="10" t="n">
        <f aca="false">-2500*Escalation!$B$38</f>
        <v>-2653.02</v>
      </c>
      <c r="AN75" s="10" t="n">
        <f aca="false">-2500*Escalation!$B$39</f>
        <v>-2653.02</v>
      </c>
      <c r="AO75" s="10" t="n">
        <f aca="false">-2500*Escalation!$B$40</f>
        <v>-2653.02</v>
      </c>
      <c r="AP75" s="10" t="n">
        <f aca="false">-2500*Escalation!$B$41</f>
        <v>-2653.02</v>
      </c>
      <c r="AQ75" s="10" t="n">
        <f aca="false">-2500*Escalation!$B$42</f>
        <v>-2653.02</v>
      </c>
      <c r="AR75" s="10" t="n">
        <f aca="false">-2500*Escalation!$B$43</f>
        <v>-2653.02</v>
      </c>
      <c r="AS75" s="10" t="n">
        <f aca="false">-2500*Escalation!$B$44</f>
        <v>-2653.02</v>
      </c>
      <c r="AT75" s="10" t="n">
        <f aca="false">-2500*Escalation!$B$45</f>
        <v>-2653.02</v>
      </c>
      <c r="AU75" s="10" t="n">
        <f aca="false">-2500*Escalation!$B$46</f>
        <v>-2653.02</v>
      </c>
      <c r="AV75" s="10" t="n">
        <f aca="false">-2500*Escalation!$B$47</f>
        <v>-2653.02</v>
      </c>
      <c r="AW75" s="10" t="n">
        <f aca="false">-2500*Escalation!$B$48</f>
        <v>-2653.02</v>
      </c>
      <c r="AX75" s="10" t="n">
        <f aca="false">-2500*Escalation!$B$49</f>
        <v>-2653.02</v>
      </c>
      <c r="AY75" s="10" t="n">
        <f aca="false">-2500*Escalation!$B$50</f>
        <v>-2706.0804</v>
      </c>
      <c r="AZ75" s="10" t="n">
        <f aca="false">-2500*Escalation!$B$51</f>
        <v>-2706.0804</v>
      </c>
      <c r="BA75" s="10" t="n">
        <f aca="false">-2500*Escalation!$B$52</f>
        <v>-2706.0804</v>
      </c>
      <c r="BB75" s="10" t="n">
        <f aca="false">-2500*Escalation!$B$53</f>
        <v>-2706.0804</v>
      </c>
      <c r="BC75" s="10" t="n">
        <f aca="false">-2500*Escalation!$B$54</f>
        <v>-2706.0804</v>
      </c>
      <c r="BD75" s="10" t="n">
        <f aca="false">-2500*Escalation!$B$55</f>
        <v>-2706.0804</v>
      </c>
      <c r="BE75" s="10" t="n">
        <f aca="false">-2500*Escalation!$B$56</f>
        <v>-2706.0804</v>
      </c>
      <c r="BF75" s="10" t="n">
        <f aca="false">-2500*Escalation!$B$57</f>
        <v>-2706.0804</v>
      </c>
      <c r="BG75" s="10" t="n">
        <f aca="false">-2500*Escalation!$B$58</f>
        <v>-2706.0804</v>
      </c>
      <c r="BH75" s="10" t="n">
        <f aca="false">-2500*Escalation!$B$59</f>
        <v>-2706.0804</v>
      </c>
      <c r="BI75" s="10" t="n">
        <f aca="false">-2500*Escalation!$B$60</f>
        <v>-2706.0804</v>
      </c>
      <c r="BJ75" s="10" t="n">
        <f aca="false">-2500*Escalation!$B$61</f>
        <v>-2706.0804</v>
      </c>
      <c r="BK75" s="10" t="n">
        <f aca="false">-2500*Escalation!$B$62</f>
        <v>-2760.202008</v>
      </c>
      <c r="BL75" s="10" t="n">
        <f aca="false">-2500*Escalation!$B$63</f>
        <v>-2760.202008</v>
      </c>
      <c r="BM75" s="10" t="n">
        <f aca="false">-2500*Escalation!$B$64</f>
        <v>-2760.202008</v>
      </c>
      <c r="BN75" s="10" t="n">
        <f aca="false">-2500*Escalation!$B$65</f>
        <v>-2760.202008</v>
      </c>
      <c r="BO75" s="10" t="n">
        <f aca="false">-2500*Escalation!$B$66</f>
        <v>-2760.202008</v>
      </c>
      <c r="BP75" s="10" t="n">
        <f aca="false">-2500*Escalation!$B$67</f>
        <v>-2760.202008</v>
      </c>
      <c r="BQ75" s="10" t="n">
        <f aca="false">-2500*Escalation!$B$68</f>
        <v>-2760.202008</v>
      </c>
      <c r="BR75" s="10" t="n">
        <f aca="false">-2500*Escalation!$B$69</f>
        <v>-2760.202008</v>
      </c>
      <c r="BS75" s="10" t="n">
        <f aca="false">-2500*Escalation!$B$70</f>
        <v>-2760.202008</v>
      </c>
      <c r="BT75" s="10" t="n">
        <f aca="false">-2500*Escalation!$B$71</f>
        <v>-2760.202008</v>
      </c>
      <c r="BU75" s="10" t="n">
        <f aca="false">-2500*Escalation!$B$72</f>
        <v>-2760.202008</v>
      </c>
      <c r="BV75" s="10" t="n">
        <f aca="false">-2500*Escalation!$B$73</f>
        <v>-2760.202008</v>
      </c>
      <c r="BW75" s="10" t="n">
        <f aca="false">-2500*Escalation!$B$74</f>
        <v>-2815.40604816</v>
      </c>
      <c r="BX75" s="10" t="n">
        <f aca="false">-2500*Escalation!$B$75</f>
        <v>-2815.40604816</v>
      </c>
      <c r="BY75" s="10" t="n">
        <f aca="false">-2500*Escalation!$B$76</f>
        <v>-2815.40604816</v>
      </c>
      <c r="BZ75" s="10" t="n">
        <f aca="false">-2500*Escalation!$B$77</f>
        <v>-2815.40604816</v>
      </c>
      <c r="CA75" s="10" t="n">
        <f aca="false">-2500*Escalation!$B$78</f>
        <v>-2815.40604816</v>
      </c>
      <c r="CB75" s="10" t="n">
        <f aca="false">-2500*Escalation!$B$79</f>
        <v>-2815.40604816</v>
      </c>
      <c r="CC75" s="10" t="n">
        <f aca="false">-2500*Escalation!$B$80</f>
        <v>-2815.40604816</v>
      </c>
      <c r="CD75" s="10" t="n">
        <f aca="false">-2500*Escalation!$B$81</f>
        <v>-2815.40604816</v>
      </c>
      <c r="CE75" s="10" t="n">
        <f aca="false">-2500*Escalation!$B$82</f>
        <v>-2815.40604816</v>
      </c>
      <c r="CF75" s="10" t="n">
        <f aca="false">-2500*Escalation!$B$83</f>
        <v>-2815.40604816</v>
      </c>
      <c r="CG75" s="10" t="n">
        <f aca="false">-2500*Escalation!$B$84</f>
        <v>-2815.40604816</v>
      </c>
      <c r="CH75" s="10" t="n">
        <f aca="false">-2500*Escalation!$B$85</f>
        <v>-2815.40604816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-2100*Escalation!$B$2</f>
        <v>-2100</v>
      </c>
      <c r="D76" s="10" t="n">
        <f aca="false">-2100*Escalation!$B$3</f>
        <v>-2100</v>
      </c>
      <c r="E76" s="10" t="n">
        <f aca="false">-2100*Escalation!$B$4</f>
        <v>-2100</v>
      </c>
      <c r="F76" s="10" t="n">
        <f aca="false">-2100*Escalation!$B$5</f>
        <v>-2100</v>
      </c>
      <c r="G76" s="10" t="n">
        <f aca="false">-2100*Escalation!$B$6</f>
        <v>-2100</v>
      </c>
      <c r="H76" s="10" t="n">
        <f aca="false">-2100*Escalation!$B$7</f>
        <v>-2100</v>
      </c>
      <c r="I76" s="10" t="n">
        <f aca="false">-2100*Escalation!$B$8</f>
        <v>-2100</v>
      </c>
      <c r="J76" s="10" t="n">
        <f aca="false">-2100*Escalation!$B$9</f>
        <v>-2100</v>
      </c>
      <c r="K76" s="10" t="n">
        <f aca="false">-2100*Escalation!$B$10</f>
        <v>-2100</v>
      </c>
      <c r="L76" s="10" t="n">
        <f aca="false">-2100*Escalation!$B$11</f>
        <v>-2100</v>
      </c>
      <c r="M76" s="10" t="n">
        <f aca="false">-2100*Escalation!$B$12</f>
        <v>-2100</v>
      </c>
      <c r="N76" s="10" t="n">
        <f aca="false">-2100*Escalation!$B$13</f>
        <v>-2100</v>
      </c>
      <c r="O76" s="10" t="n">
        <f aca="false">-2100*Escalation!$B$14</f>
        <v>-2142</v>
      </c>
      <c r="P76" s="10" t="n">
        <f aca="false">-2100*Escalation!$B$15</f>
        <v>-2142</v>
      </c>
      <c r="Q76" s="10" t="n">
        <f aca="false">-2100*Escalation!$B$16</f>
        <v>-2142</v>
      </c>
      <c r="R76" s="10" t="n">
        <f aca="false">-2100*Escalation!$B$17</f>
        <v>-2142</v>
      </c>
      <c r="S76" s="10" t="n">
        <f aca="false">-2100*Escalation!$B$18</f>
        <v>-2142</v>
      </c>
      <c r="T76" s="10" t="n">
        <f aca="false">-2100*Escalation!$B$19</f>
        <v>-2142</v>
      </c>
      <c r="U76" s="10" t="n">
        <f aca="false">-2100*Escalation!$B$20</f>
        <v>-2142</v>
      </c>
      <c r="V76" s="10" t="n">
        <f aca="false">-2100*Escalation!$B$21</f>
        <v>-2142</v>
      </c>
      <c r="W76" s="10" t="n">
        <f aca="false">-2100*Escalation!$B$22</f>
        <v>-2142</v>
      </c>
      <c r="X76" s="10" t="n">
        <f aca="false">-2100*Escalation!$B$23</f>
        <v>-2142</v>
      </c>
      <c r="Y76" s="10" t="n">
        <f aca="false">-2100*Escalation!$B$24</f>
        <v>-2142</v>
      </c>
      <c r="Z76" s="10" t="n">
        <f aca="false">-2100*Escalation!$B$25</f>
        <v>-2142</v>
      </c>
      <c r="AA76" s="10" t="n">
        <f aca="false">-2100*Escalation!$B$26</f>
        <v>-2184.84</v>
      </c>
      <c r="AB76" s="10" t="n">
        <f aca="false">-2100*Escalation!$B$27</f>
        <v>-2184.84</v>
      </c>
      <c r="AC76" s="10" t="n">
        <f aca="false">-2100*Escalation!$B$28</f>
        <v>-2184.84</v>
      </c>
      <c r="AD76" s="10" t="n">
        <f aca="false">-2100*Escalation!$B$29</f>
        <v>-2184.84</v>
      </c>
      <c r="AE76" s="10" t="n">
        <f aca="false">-2100*Escalation!$B$30</f>
        <v>-2184.84</v>
      </c>
      <c r="AF76" s="10" t="n">
        <f aca="false">-2100*Escalation!$B$31</f>
        <v>-2184.84</v>
      </c>
      <c r="AG76" s="10" t="n">
        <f aca="false">-2100*Escalation!$B$32</f>
        <v>-2184.84</v>
      </c>
      <c r="AH76" s="10" t="n">
        <f aca="false">-2100*Escalation!$B$33</f>
        <v>-2184.84</v>
      </c>
      <c r="AI76" s="10" t="n">
        <f aca="false">-2100*Escalation!$B$34</f>
        <v>-2184.84</v>
      </c>
      <c r="AJ76" s="10" t="n">
        <f aca="false">-2100*Escalation!$B$35</f>
        <v>-2184.84</v>
      </c>
      <c r="AK76" s="10" t="n">
        <f aca="false">-2100*Escalation!$B$36</f>
        <v>-2184.84</v>
      </c>
      <c r="AL76" s="10" t="n">
        <f aca="false">-2100*Escalation!$B$37</f>
        <v>-2184.84</v>
      </c>
      <c r="AM76" s="10" t="n">
        <f aca="false">-2100*Escalation!$B$38</f>
        <v>-2228.5368</v>
      </c>
      <c r="AN76" s="10" t="n">
        <f aca="false">-2100*Escalation!$B$39</f>
        <v>-2228.5368</v>
      </c>
      <c r="AO76" s="10" t="n">
        <f aca="false">-2100*Escalation!$B$40</f>
        <v>-2228.5368</v>
      </c>
      <c r="AP76" s="10" t="n">
        <f aca="false">-2100*Escalation!$B$41</f>
        <v>-2228.5368</v>
      </c>
      <c r="AQ76" s="10" t="n">
        <f aca="false">-2100*Escalation!$B$42</f>
        <v>-2228.5368</v>
      </c>
      <c r="AR76" s="10" t="n">
        <f aca="false">-2100*Escalation!$B$43</f>
        <v>-2228.5368</v>
      </c>
      <c r="AS76" s="10" t="n">
        <f aca="false">-2100*Escalation!$B$44</f>
        <v>-2228.5368</v>
      </c>
      <c r="AT76" s="10" t="n">
        <f aca="false">-2100*Escalation!$B$45</f>
        <v>-2228.5368</v>
      </c>
      <c r="AU76" s="10" t="n">
        <f aca="false">-2100*Escalation!$B$46</f>
        <v>-2228.5368</v>
      </c>
      <c r="AV76" s="10" t="n">
        <f aca="false">-2100*Escalation!$B$47</f>
        <v>-2228.5368</v>
      </c>
      <c r="AW76" s="10" t="n">
        <f aca="false">-2100*Escalation!$B$48</f>
        <v>-2228.5368</v>
      </c>
      <c r="AX76" s="10" t="n">
        <f aca="false">-2100*Escalation!$B$49</f>
        <v>-2228.5368</v>
      </c>
      <c r="AY76" s="10" t="n">
        <f aca="false">-2100*Escalation!$B$50</f>
        <v>-2273.107536</v>
      </c>
      <c r="AZ76" s="10" t="n">
        <f aca="false">-2100*Escalation!$B$51</f>
        <v>-2273.107536</v>
      </c>
      <c r="BA76" s="10" t="n">
        <f aca="false">-2100*Escalation!$B$52</f>
        <v>-2273.107536</v>
      </c>
      <c r="BB76" s="10" t="n">
        <f aca="false">-2100*Escalation!$B$53</f>
        <v>-2273.107536</v>
      </c>
      <c r="BC76" s="10" t="n">
        <f aca="false">-2100*Escalation!$B$54</f>
        <v>-2273.107536</v>
      </c>
      <c r="BD76" s="10" t="n">
        <f aca="false">-2100*Escalation!$B$55</f>
        <v>-2273.107536</v>
      </c>
      <c r="BE76" s="10" t="n">
        <f aca="false">-2100*Escalation!$B$56</f>
        <v>-2273.107536</v>
      </c>
      <c r="BF76" s="10" t="n">
        <f aca="false">-2100*Escalation!$B$57</f>
        <v>-2273.107536</v>
      </c>
      <c r="BG76" s="10" t="n">
        <f aca="false">-2100*Escalation!$B$58</f>
        <v>-2273.107536</v>
      </c>
      <c r="BH76" s="10" t="n">
        <f aca="false">-2100*Escalation!$B$59</f>
        <v>-2273.107536</v>
      </c>
      <c r="BI76" s="10" t="n">
        <f aca="false">-2100*Escalation!$B$60</f>
        <v>-2273.107536</v>
      </c>
      <c r="BJ76" s="10" t="n">
        <f aca="false">-2100*Escalation!$B$61</f>
        <v>-2273.107536</v>
      </c>
      <c r="BK76" s="10" t="n">
        <f aca="false">-2100*Escalation!$B$62</f>
        <v>-2318.56968672</v>
      </c>
      <c r="BL76" s="10" t="n">
        <f aca="false">-2100*Escalation!$B$63</f>
        <v>-2318.56968672</v>
      </c>
      <c r="BM76" s="10" t="n">
        <f aca="false">-2100*Escalation!$B$64</f>
        <v>-2318.56968672</v>
      </c>
      <c r="BN76" s="10" t="n">
        <f aca="false">-2100*Escalation!$B$65</f>
        <v>-2318.56968672</v>
      </c>
      <c r="BO76" s="10" t="n">
        <f aca="false">-2100*Escalation!$B$66</f>
        <v>-2318.56968672</v>
      </c>
      <c r="BP76" s="10" t="n">
        <f aca="false">-2100*Escalation!$B$67</f>
        <v>-2318.56968672</v>
      </c>
      <c r="BQ76" s="10" t="n">
        <f aca="false">-2100*Escalation!$B$68</f>
        <v>-2318.56968672</v>
      </c>
      <c r="BR76" s="10" t="n">
        <f aca="false">-2100*Escalation!$B$69</f>
        <v>-2318.56968672</v>
      </c>
      <c r="BS76" s="10" t="n">
        <f aca="false">-2100*Escalation!$B$70</f>
        <v>-2318.56968672</v>
      </c>
      <c r="BT76" s="10" t="n">
        <f aca="false">-2100*Escalation!$B$71</f>
        <v>-2318.56968672</v>
      </c>
      <c r="BU76" s="10" t="n">
        <f aca="false">-2100*Escalation!$B$72</f>
        <v>-2318.56968672</v>
      </c>
      <c r="BV76" s="10" t="n">
        <f aca="false">-2100*Escalation!$B$73</f>
        <v>-2318.56968672</v>
      </c>
      <c r="BW76" s="10" t="n">
        <f aca="false">-2100*Escalation!$B$74</f>
        <v>-2364.9410804544</v>
      </c>
      <c r="BX76" s="10" t="n">
        <f aca="false">-2100*Escalation!$B$75</f>
        <v>-2364.9410804544</v>
      </c>
      <c r="BY76" s="10" t="n">
        <f aca="false">-2100*Escalation!$B$76</f>
        <v>-2364.9410804544</v>
      </c>
      <c r="BZ76" s="10" t="n">
        <f aca="false">-2100*Escalation!$B$77</f>
        <v>-2364.9410804544</v>
      </c>
      <c r="CA76" s="10" t="n">
        <f aca="false">-2100*Escalation!$B$78</f>
        <v>-2364.9410804544</v>
      </c>
      <c r="CB76" s="10" t="n">
        <f aca="false">-2100*Escalation!$B$79</f>
        <v>-2364.9410804544</v>
      </c>
      <c r="CC76" s="10" t="n">
        <f aca="false">-2100*Escalation!$B$80</f>
        <v>-2364.9410804544</v>
      </c>
      <c r="CD76" s="10" t="n">
        <f aca="false">-2100*Escalation!$B$81</f>
        <v>-2364.9410804544</v>
      </c>
      <c r="CE76" s="10" t="n">
        <f aca="false">-2100*Escalation!$B$82</f>
        <v>-2364.9410804544</v>
      </c>
      <c r="CF76" s="10" t="n">
        <f aca="false">-2100*Escalation!$B$83</f>
        <v>-2364.9410804544</v>
      </c>
      <c r="CG76" s="10" t="n">
        <f aca="false">-2100*Escalation!$B$84</f>
        <v>-2364.9410804544</v>
      </c>
      <c r="CH76" s="10" t="n">
        <f aca="false">-2100*Escalation!$B$85</f>
        <v>-2364.9410804544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f aca="false">-2500*Escalation!$B$2</f>
        <v>-2500</v>
      </c>
      <c r="D77" s="10" t="n">
        <f aca="false">-2500*Escalation!$B$3</f>
        <v>-2500</v>
      </c>
      <c r="E77" s="10" t="n">
        <f aca="false">-2500*Escalation!$B$4</f>
        <v>-2500</v>
      </c>
      <c r="F77" s="10" t="n">
        <f aca="false">-2500*Escalation!$B$5</f>
        <v>-2500</v>
      </c>
      <c r="G77" s="10" t="n">
        <f aca="false">-2500*Escalation!$B$6</f>
        <v>-2500</v>
      </c>
      <c r="H77" s="10" t="n">
        <f aca="false">-2500*Escalation!$B$7</f>
        <v>-2500</v>
      </c>
      <c r="I77" s="10" t="n">
        <f aca="false">-2500*Escalation!$B$8</f>
        <v>-2500</v>
      </c>
      <c r="J77" s="10" t="n">
        <f aca="false">-2500*Escalation!$B$9</f>
        <v>-2500</v>
      </c>
      <c r="K77" s="10" t="n">
        <f aca="false">-2500*Escalation!$B$10</f>
        <v>-2500</v>
      </c>
      <c r="L77" s="10" t="n">
        <f aca="false">-2500*Escalation!$B$11</f>
        <v>-2500</v>
      </c>
      <c r="M77" s="10" t="n">
        <f aca="false">-2500*Escalation!$B$12</f>
        <v>-2500</v>
      </c>
      <c r="N77" s="10" t="n">
        <f aca="false">-2500*Escalation!$B$13</f>
        <v>-2500</v>
      </c>
      <c r="O77" s="10" t="n">
        <f aca="false">-2500*Escalation!$B$14</f>
        <v>-2550</v>
      </c>
      <c r="P77" s="10" t="n">
        <f aca="false">-2500*Escalation!$B$15</f>
        <v>-2550</v>
      </c>
      <c r="Q77" s="10" t="n">
        <f aca="false">-2500*Escalation!$B$16</f>
        <v>-2550</v>
      </c>
      <c r="R77" s="10" t="n">
        <f aca="false">-2500*Escalation!$B$17</f>
        <v>-2550</v>
      </c>
      <c r="S77" s="10" t="n">
        <f aca="false">-2500*Escalation!$B$18</f>
        <v>-2550</v>
      </c>
      <c r="T77" s="10" t="n">
        <f aca="false">-2500*Escalation!$B$19</f>
        <v>-2550</v>
      </c>
      <c r="U77" s="10" t="n">
        <f aca="false">-2500*Escalation!$B$20</f>
        <v>-2550</v>
      </c>
      <c r="V77" s="10" t="n">
        <f aca="false">-2500*Escalation!$B$21</f>
        <v>-2550</v>
      </c>
      <c r="W77" s="10" t="n">
        <f aca="false">-2500*Escalation!$B$22</f>
        <v>-2550</v>
      </c>
      <c r="X77" s="10" t="n">
        <f aca="false">-2500*Escalation!$B$23</f>
        <v>-2550</v>
      </c>
      <c r="Y77" s="10" t="n">
        <f aca="false">-2500*Escalation!$B$24</f>
        <v>-2550</v>
      </c>
      <c r="Z77" s="10" t="n">
        <f aca="false">-2500*Escalation!$B$25</f>
        <v>-2550</v>
      </c>
      <c r="AA77" s="10" t="n">
        <f aca="false">-2500*Escalation!$B$26</f>
        <v>-2601</v>
      </c>
      <c r="AB77" s="10" t="n">
        <f aca="false">-2500*Escalation!$B$27</f>
        <v>-2601</v>
      </c>
      <c r="AC77" s="10" t="n">
        <f aca="false">-2500*Escalation!$B$28</f>
        <v>-2601</v>
      </c>
      <c r="AD77" s="10" t="n">
        <f aca="false">-2500*Escalation!$B$29</f>
        <v>-2601</v>
      </c>
      <c r="AE77" s="10" t="n">
        <f aca="false">-2500*Escalation!$B$30</f>
        <v>-2601</v>
      </c>
      <c r="AF77" s="10" t="n">
        <f aca="false">-2500*Escalation!$B$31</f>
        <v>-2601</v>
      </c>
      <c r="AG77" s="10" t="n">
        <f aca="false">-2500*Escalation!$B$32</f>
        <v>-2601</v>
      </c>
      <c r="AH77" s="10" t="n">
        <f aca="false">-2500*Escalation!$B$33</f>
        <v>-2601</v>
      </c>
      <c r="AI77" s="10" t="n">
        <f aca="false">-2500*Escalation!$B$34</f>
        <v>-2601</v>
      </c>
      <c r="AJ77" s="10" t="n">
        <f aca="false">-2500*Escalation!$B$35</f>
        <v>-2601</v>
      </c>
      <c r="AK77" s="10" t="n">
        <f aca="false">-2500*Escalation!$B$36</f>
        <v>-2601</v>
      </c>
      <c r="AL77" s="10" t="n">
        <f aca="false">-2500*Escalation!$B$37</f>
        <v>-2601</v>
      </c>
      <c r="AM77" s="10" t="n">
        <f aca="false">-2500*Escalation!$B$38</f>
        <v>-2653.02</v>
      </c>
      <c r="AN77" s="10" t="n">
        <f aca="false">-2500*Escalation!$B$39</f>
        <v>-2653.02</v>
      </c>
      <c r="AO77" s="10" t="n">
        <f aca="false">-2500*Escalation!$B$40</f>
        <v>-2653.02</v>
      </c>
      <c r="AP77" s="10" t="n">
        <f aca="false">-2500*Escalation!$B$41</f>
        <v>-2653.02</v>
      </c>
      <c r="AQ77" s="10" t="n">
        <f aca="false">-2500*Escalation!$B$42</f>
        <v>-2653.02</v>
      </c>
      <c r="AR77" s="10" t="n">
        <f aca="false">-2500*Escalation!$B$43</f>
        <v>-2653.02</v>
      </c>
      <c r="AS77" s="10" t="n">
        <f aca="false">-2500*Escalation!$B$44</f>
        <v>-2653.02</v>
      </c>
      <c r="AT77" s="10" t="n">
        <f aca="false">-2500*Escalation!$B$45</f>
        <v>-2653.02</v>
      </c>
      <c r="AU77" s="10" t="n">
        <f aca="false">-2500*Escalation!$B$46</f>
        <v>-2653.02</v>
      </c>
      <c r="AV77" s="10" t="n">
        <f aca="false">-2500*Escalation!$B$47</f>
        <v>-2653.02</v>
      </c>
      <c r="AW77" s="10" t="n">
        <f aca="false">-2500*Escalation!$B$48</f>
        <v>-2653.02</v>
      </c>
      <c r="AX77" s="10" t="n">
        <f aca="false">-2500*Escalation!$B$49</f>
        <v>-2653.02</v>
      </c>
      <c r="AY77" s="10" t="n">
        <f aca="false">-2500*Escalation!$B$50</f>
        <v>-2706.0804</v>
      </c>
      <c r="AZ77" s="10" t="n">
        <f aca="false">-2500*Escalation!$B$51</f>
        <v>-2706.0804</v>
      </c>
      <c r="BA77" s="10" t="n">
        <f aca="false">-2500*Escalation!$B$52</f>
        <v>-2706.0804</v>
      </c>
      <c r="BB77" s="10" t="n">
        <f aca="false">-2500*Escalation!$B$53</f>
        <v>-2706.0804</v>
      </c>
      <c r="BC77" s="10" t="n">
        <f aca="false">-2500*Escalation!$B$54</f>
        <v>-2706.0804</v>
      </c>
      <c r="BD77" s="10" t="n">
        <f aca="false">-2500*Escalation!$B$55</f>
        <v>-2706.0804</v>
      </c>
      <c r="BE77" s="10" t="n">
        <f aca="false">-2500*Escalation!$B$56</f>
        <v>-2706.0804</v>
      </c>
      <c r="BF77" s="10" t="n">
        <f aca="false">-2500*Escalation!$B$57</f>
        <v>-2706.0804</v>
      </c>
      <c r="BG77" s="10" t="n">
        <f aca="false">-2500*Escalation!$B$58</f>
        <v>-2706.0804</v>
      </c>
      <c r="BH77" s="10" t="n">
        <f aca="false">-2500*Escalation!$B$59</f>
        <v>-2706.0804</v>
      </c>
      <c r="BI77" s="10" t="n">
        <f aca="false">-2500*Escalation!$B$60</f>
        <v>-2706.0804</v>
      </c>
      <c r="BJ77" s="10" t="n">
        <f aca="false">-2500*Escalation!$B$61</f>
        <v>-2706.0804</v>
      </c>
      <c r="BK77" s="10" t="n">
        <f aca="false">-2500*Escalation!$B$62</f>
        <v>-2760.202008</v>
      </c>
      <c r="BL77" s="10" t="n">
        <f aca="false">-2500*Escalation!$B$63</f>
        <v>-2760.202008</v>
      </c>
      <c r="BM77" s="10" t="n">
        <f aca="false">-2500*Escalation!$B$64</f>
        <v>-2760.202008</v>
      </c>
      <c r="BN77" s="10" t="n">
        <f aca="false">-2500*Escalation!$B$65</f>
        <v>-2760.202008</v>
      </c>
      <c r="BO77" s="10" t="n">
        <f aca="false">-2500*Escalation!$B$66</f>
        <v>-2760.202008</v>
      </c>
      <c r="BP77" s="10" t="n">
        <f aca="false">-2500*Escalation!$B$67</f>
        <v>-2760.202008</v>
      </c>
      <c r="BQ77" s="10" t="n">
        <f aca="false">-2500*Escalation!$B$68</f>
        <v>-2760.202008</v>
      </c>
      <c r="BR77" s="10" t="n">
        <f aca="false">-2500*Escalation!$B$69</f>
        <v>-2760.202008</v>
      </c>
      <c r="BS77" s="10" t="n">
        <f aca="false">-2500*Escalation!$B$70</f>
        <v>-2760.202008</v>
      </c>
      <c r="BT77" s="10" t="n">
        <f aca="false">-2500*Escalation!$B$71</f>
        <v>-2760.202008</v>
      </c>
      <c r="BU77" s="10" t="n">
        <f aca="false">-2500*Escalation!$B$72</f>
        <v>-2760.202008</v>
      </c>
      <c r="BV77" s="10" t="n">
        <f aca="false">-2500*Escalation!$B$73</f>
        <v>-2760.202008</v>
      </c>
      <c r="BW77" s="10" t="n">
        <f aca="false">-2500*Escalation!$B$74</f>
        <v>-2815.40604816</v>
      </c>
      <c r="BX77" s="10" t="n">
        <f aca="false">-2500*Escalation!$B$75</f>
        <v>-2815.40604816</v>
      </c>
      <c r="BY77" s="10" t="n">
        <f aca="false">-2500*Escalation!$B$76</f>
        <v>-2815.40604816</v>
      </c>
      <c r="BZ77" s="10" t="n">
        <f aca="false">-2500*Escalation!$B$77</f>
        <v>-2815.40604816</v>
      </c>
      <c r="CA77" s="10" t="n">
        <f aca="false">-2500*Escalation!$B$78</f>
        <v>-2815.40604816</v>
      </c>
      <c r="CB77" s="10" t="n">
        <f aca="false">-2500*Escalation!$B$79</f>
        <v>-2815.40604816</v>
      </c>
      <c r="CC77" s="10" t="n">
        <f aca="false">-2500*Escalation!$B$80</f>
        <v>-2815.40604816</v>
      </c>
      <c r="CD77" s="10" t="n">
        <f aca="false">-2500*Escalation!$B$81</f>
        <v>-2815.40604816</v>
      </c>
      <c r="CE77" s="10" t="n">
        <f aca="false">-2500*Escalation!$B$82</f>
        <v>-2815.40604816</v>
      </c>
      <c r="CF77" s="10" t="n">
        <f aca="false">-2500*Escalation!$B$83</f>
        <v>-2815.40604816</v>
      </c>
      <c r="CG77" s="10" t="n">
        <f aca="false">-2500*Escalation!$B$84</f>
        <v>-2815.40604816</v>
      </c>
      <c r="CH77" s="10" t="n">
        <f aca="false">-2500*Escalation!$B$85</f>
        <v>-2815.40604816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f aca="false">-21000*Escalation!$B$10</f>
        <v>-21000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f aca="false">-21000*Escalation!$B$22</f>
        <v>-21420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f aca="false">-21000*Escalation!$B$34</f>
        <v>-21848.4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f aca="false">-21000*Escalation!$B$46</f>
        <v>-22285.368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f aca="false">-21000*Escalation!$B$58</f>
        <v>-22731.07536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f aca="false">-21000*Escalation!$B$70</f>
        <v>-23185.6968672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f aca="false">-21000*Escalation!$B$82</f>
        <v>-23649.410804544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v>0</v>
      </c>
      <c r="D79" s="10" t="n">
        <v>0</v>
      </c>
      <c r="E79" s="10" t="n">
        <v>0</v>
      </c>
      <c r="F79" s="10" t="n">
        <f aca="false">-23000*Escalation!$B$5</f>
        <v>-23000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f aca="false">-23000*Escalation!$B$17</f>
        <v>-23460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f aca="false">-23000*Escalation!$B$29</f>
        <v>-23929.2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f aca="false">-23000*Escalation!$B$41</f>
        <v>-24407.784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f aca="false">-23000*Escalation!$B$53</f>
        <v>-24895.93968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f aca="false">-23000*Escalation!$B$65</f>
        <v>-25393.8584736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f aca="false">-23000*Escalation!$B$77</f>
        <v>-25901.735643072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80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80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80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80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-0</v>
      </c>
      <c r="H80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-0</v>
      </c>
      <c r="I80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80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80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80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80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80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80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80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80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80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80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80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80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80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80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80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80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80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80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80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80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80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80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80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80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80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80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80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80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80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80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80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80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80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80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80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80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80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80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80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80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80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80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80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80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80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80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80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80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80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80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80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80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80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80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80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80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80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80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80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80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80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80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80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80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80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80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80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80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80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80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80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80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80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80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80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80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80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1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1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1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1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-0</v>
      </c>
      <c r="H81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-0</v>
      </c>
      <c r="I81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1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1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1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1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1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1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1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1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1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1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1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1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1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1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1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1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1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1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1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1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1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1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1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1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1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1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1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1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1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1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1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1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1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1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1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1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1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1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1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1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1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1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1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1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1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1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1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1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1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1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1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1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1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1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1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1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1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1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1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1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1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1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1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1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1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1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1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1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1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1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1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1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1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1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1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1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1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-Helpers!C20</f>
        <v>-0</v>
      </c>
      <c r="D82" s="10" t="n">
        <f aca="false">-Helpers!D20</f>
        <v>-0</v>
      </c>
      <c r="E82" s="10" t="n">
        <f aca="false">-Helpers!E20</f>
        <v>-0</v>
      </c>
      <c r="F82" s="10" t="n">
        <f aca="false">-Helpers!F20</f>
        <v>-0</v>
      </c>
      <c r="G82" s="10" t="n">
        <f aca="false">-Helpers!G20</f>
        <v>-0</v>
      </c>
      <c r="H82" s="10" t="n">
        <f aca="false">-Helpers!H20</f>
        <v>-0</v>
      </c>
      <c r="I82" s="10" t="n">
        <f aca="false">-Helpers!I20</f>
        <v>-0</v>
      </c>
      <c r="J82" s="10" t="n">
        <f aca="false">-Helpers!J20</f>
        <v>-0</v>
      </c>
      <c r="K82" s="10" t="n">
        <f aca="false">-Helpers!K20</f>
        <v>-0</v>
      </c>
      <c r="L82" s="10" t="n">
        <f aca="false">-Helpers!L20</f>
        <v>-0</v>
      </c>
      <c r="M82" s="10" t="n">
        <f aca="false">-Helpers!M20</f>
        <v>-0</v>
      </c>
      <c r="N82" s="10" t="n">
        <f aca="false">-Helpers!N20</f>
        <v>-0</v>
      </c>
      <c r="O82" s="10" t="n">
        <f aca="false">-Helpers!O20</f>
        <v>-0</v>
      </c>
      <c r="P82" s="10" t="n">
        <f aca="false">-Helpers!P20</f>
        <v>-0</v>
      </c>
      <c r="Q82" s="10" t="n">
        <f aca="false">-Helpers!Q20</f>
        <v>-0</v>
      </c>
      <c r="R82" s="10" t="n">
        <f aca="false">-Helpers!R20</f>
        <v>-0</v>
      </c>
      <c r="S82" s="10" t="n">
        <f aca="false">-Helpers!S20</f>
        <v>-0</v>
      </c>
      <c r="T82" s="10" t="n">
        <f aca="false">-Helpers!T20</f>
        <v>-0</v>
      </c>
      <c r="U82" s="10" t="n">
        <f aca="false">-Helpers!U20</f>
        <v>-0</v>
      </c>
      <c r="V82" s="10" t="n">
        <f aca="false">-Helpers!V20</f>
        <v>-0</v>
      </c>
      <c r="W82" s="10" t="n">
        <f aca="false">-Helpers!W20</f>
        <v>-0</v>
      </c>
      <c r="X82" s="10" t="n">
        <f aca="false">-Helpers!X20</f>
        <v>-0</v>
      </c>
      <c r="Y82" s="10" t="n">
        <f aca="false">-Helpers!Y20</f>
        <v>-0</v>
      </c>
      <c r="Z82" s="10" t="n">
        <f aca="false">-Helpers!Z20</f>
        <v>-0</v>
      </c>
      <c r="AA82" s="10" t="n">
        <f aca="false">-Helpers!AA20</f>
        <v>-0</v>
      </c>
      <c r="AB82" s="10" t="n">
        <f aca="false">-Helpers!AB20</f>
        <v>-0</v>
      </c>
      <c r="AC82" s="10" t="n">
        <f aca="false">-Helpers!AC20</f>
        <v>-0</v>
      </c>
      <c r="AD82" s="10" t="n">
        <f aca="false">-Helpers!AD20</f>
        <v>-0</v>
      </c>
      <c r="AE82" s="10" t="n">
        <f aca="false">-Helpers!AE20</f>
        <v>-0</v>
      </c>
      <c r="AF82" s="10" t="n">
        <f aca="false">-Helpers!AF20</f>
        <v>-0</v>
      </c>
      <c r="AG82" s="10" t="n">
        <f aca="false">-Helpers!AG20</f>
        <v>-0</v>
      </c>
      <c r="AH82" s="10" t="n">
        <f aca="false">-Helpers!AH20</f>
        <v>-0</v>
      </c>
      <c r="AI82" s="10" t="n">
        <f aca="false">-Helpers!AI20</f>
        <v>-0</v>
      </c>
      <c r="AJ82" s="10" t="n">
        <f aca="false">-Helpers!AJ20</f>
        <v>-0</v>
      </c>
      <c r="AK82" s="10" t="n">
        <f aca="false">-Helpers!AK20</f>
        <v>-0</v>
      </c>
      <c r="AL82" s="10" t="n">
        <f aca="false">-Helpers!AL20</f>
        <v>-0</v>
      </c>
      <c r="AM82" s="10" t="n">
        <f aca="false">-Helpers!AM20</f>
        <v>-0</v>
      </c>
      <c r="AN82" s="10" t="n">
        <f aca="false">-Helpers!AN20</f>
        <v>-0</v>
      </c>
      <c r="AO82" s="10" t="n">
        <f aca="false">-Helpers!AO20</f>
        <v>-0</v>
      </c>
      <c r="AP82" s="10" t="n">
        <f aca="false">-Helpers!AP20</f>
        <v>-0</v>
      </c>
      <c r="AQ82" s="10" t="n">
        <f aca="false">-Helpers!AQ20</f>
        <v>-0</v>
      </c>
      <c r="AR82" s="10" t="n">
        <f aca="false">-Helpers!AR20</f>
        <v>-81683</v>
      </c>
      <c r="AS82" s="10" t="n">
        <f aca="false">-Helpers!AS20</f>
        <v>-0</v>
      </c>
      <c r="AT82" s="10" t="n">
        <f aca="false">-Helpers!AT20</f>
        <v>-0</v>
      </c>
      <c r="AU82" s="10" t="n">
        <f aca="false">-Helpers!AU20</f>
        <v>-81682</v>
      </c>
      <c r="AV82" s="10" t="n">
        <f aca="false">-Helpers!AV20</f>
        <v>-0</v>
      </c>
      <c r="AW82" s="10" t="n">
        <f aca="false">-Helpers!AW20</f>
        <v>-0</v>
      </c>
      <c r="AX82" s="10" t="n">
        <f aca="false">-Helpers!AX20</f>
        <v>-81682</v>
      </c>
      <c r="AY82" s="10" t="n">
        <f aca="false">-Helpers!AY20</f>
        <v>-0</v>
      </c>
      <c r="AZ82" s="10" t="n">
        <f aca="false">-Helpers!AZ20</f>
        <v>-0</v>
      </c>
      <c r="BA82" s="10" t="n">
        <f aca="false">-Helpers!BA20</f>
        <v>-81682</v>
      </c>
      <c r="BB82" s="10" t="n">
        <f aca="false">-Helpers!BB20</f>
        <v>-0</v>
      </c>
      <c r="BC82" s="10" t="n">
        <f aca="false">-Helpers!BC20</f>
        <v>-0</v>
      </c>
      <c r="BD82" s="10" t="n">
        <f aca="false">-Helpers!BD20</f>
        <v>-59178</v>
      </c>
      <c r="BE82" s="10" t="n">
        <f aca="false">-Helpers!BE20</f>
        <v>-0</v>
      </c>
      <c r="BF82" s="10" t="n">
        <f aca="false">-Helpers!BF20</f>
        <v>-0</v>
      </c>
      <c r="BG82" s="10" t="n">
        <f aca="false">-Helpers!BG20</f>
        <v>-59176</v>
      </c>
      <c r="BH82" s="10" t="n">
        <f aca="false">-Helpers!BH20</f>
        <v>-0</v>
      </c>
      <c r="BI82" s="10" t="n">
        <f aca="false">-Helpers!BI20</f>
        <v>-0</v>
      </c>
      <c r="BJ82" s="10" t="n">
        <f aca="false">-Helpers!BJ20</f>
        <v>-59176</v>
      </c>
      <c r="BK82" s="10" t="n">
        <f aca="false">-Helpers!BK20</f>
        <v>-0</v>
      </c>
      <c r="BL82" s="10" t="n">
        <f aca="false">-Helpers!BL20</f>
        <v>-0</v>
      </c>
      <c r="BM82" s="10" t="n">
        <f aca="false">-Helpers!BM20</f>
        <v>-59176</v>
      </c>
      <c r="BN82" s="10" t="n">
        <f aca="false">-Helpers!BN20</f>
        <v>-0</v>
      </c>
      <c r="BO82" s="10" t="n">
        <f aca="false">-Helpers!BO20</f>
        <v>-0</v>
      </c>
      <c r="BP82" s="10" t="n">
        <f aca="false">-Helpers!BP20</f>
        <v>-16249.48</v>
      </c>
      <c r="BQ82" s="10" t="n">
        <f aca="false">-Helpers!BQ20</f>
        <v>-0</v>
      </c>
      <c r="BR82" s="10" t="n">
        <f aca="false">-Helpers!BR20</f>
        <v>-0</v>
      </c>
      <c r="BS82" s="10" t="n">
        <f aca="false">-Helpers!BS20</f>
        <v>-0</v>
      </c>
      <c r="BT82" s="10" t="n">
        <f aca="false">-Helpers!BT20</f>
        <v>-0</v>
      </c>
      <c r="BU82" s="10" t="n">
        <f aca="false">-Helpers!BU20</f>
        <v>-0</v>
      </c>
      <c r="BV82" s="10" t="n">
        <f aca="false">-Helpers!BV20</f>
        <v>-0</v>
      </c>
      <c r="BW82" s="10" t="n">
        <f aca="false">-Helpers!BW20</f>
        <v>-0</v>
      </c>
      <c r="BX82" s="10" t="n">
        <f aca="false">-Helpers!BX20</f>
        <v>-0</v>
      </c>
      <c r="BY82" s="10" t="n">
        <f aca="false">-Helpers!BY20</f>
        <v>-0</v>
      </c>
      <c r="BZ82" s="10" t="n">
        <f aca="false">-Helpers!BZ20</f>
        <v>-0</v>
      </c>
      <c r="CA82" s="10" t="n">
        <f aca="false">-Helpers!CA20</f>
        <v>-0</v>
      </c>
      <c r="CB82" s="10" t="n">
        <f aca="false">-Helpers!CB20</f>
        <v>-0</v>
      </c>
      <c r="CC82" s="10" t="n">
        <f aca="false">-Helpers!CC20</f>
        <v>-0</v>
      </c>
      <c r="CD82" s="10" t="n">
        <f aca="false">-Helpers!CD20</f>
        <v>-0</v>
      </c>
      <c r="CE82" s="10" t="n">
        <f aca="false">-Helpers!CE20</f>
        <v>-0</v>
      </c>
      <c r="CF82" s="10" t="n">
        <f aca="false">-Helpers!CF20</f>
        <v>-0</v>
      </c>
      <c r="CG82" s="10" t="n">
        <f aca="false">-Helpers!CG20</f>
        <v>-0</v>
      </c>
      <c r="CH82" s="10" t="n">
        <f aca="false">-Helpers!CH20</f>
        <v>-0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-Helpers!C23+C129</f>
        <v>-0</v>
      </c>
      <c r="D83" s="10" t="n">
        <f aca="false">-Helpers!D23+D129</f>
        <v>-0</v>
      </c>
      <c r="E83" s="10" t="n">
        <f aca="false">-Helpers!E23+E129</f>
        <v>-0</v>
      </c>
      <c r="F83" s="10" t="n">
        <f aca="false">-Helpers!F23+F129</f>
        <v>-0</v>
      </c>
      <c r="G83" s="10" t="n">
        <f aca="false">-Helpers!G23+G129</f>
        <v>-0</v>
      </c>
      <c r="H83" s="10" t="n">
        <f aca="false">-Helpers!H23+H129</f>
        <v>-0</v>
      </c>
      <c r="I83" s="10" t="n">
        <f aca="false">-Helpers!I23+I129</f>
        <v>-0</v>
      </c>
      <c r="J83" s="10" t="n">
        <f aca="false">-Helpers!J23+J129</f>
        <v>-0</v>
      </c>
      <c r="K83" s="10" t="n">
        <f aca="false">-Helpers!K23+K129</f>
        <v>-0</v>
      </c>
      <c r="L83" s="10" t="n">
        <f aca="false">-Helpers!L23+L129</f>
        <v>-0</v>
      </c>
      <c r="M83" s="10" t="n">
        <f aca="false">-Helpers!M23+M129</f>
        <v>-0</v>
      </c>
      <c r="N83" s="10" t="n">
        <f aca="false">-Helpers!N23+N129</f>
        <v>-0</v>
      </c>
      <c r="O83" s="10" t="n">
        <f aca="false">-Helpers!O23+O129</f>
        <v>-0</v>
      </c>
      <c r="P83" s="10" t="n">
        <f aca="false">-Helpers!P23+P129</f>
        <v>-0</v>
      </c>
      <c r="Q83" s="10" t="n">
        <f aca="false">-Helpers!Q23+Q129</f>
        <v>-0</v>
      </c>
      <c r="R83" s="10" t="n">
        <f aca="false">-Helpers!R23+R129</f>
        <v>-0</v>
      </c>
      <c r="S83" s="10" t="n">
        <f aca="false">-Helpers!S23+S129</f>
        <v>-0</v>
      </c>
      <c r="T83" s="10" t="n">
        <f aca="false">-Helpers!T23+T129</f>
        <v>-0</v>
      </c>
      <c r="U83" s="10" t="n">
        <f aca="false">-Helpers!U23+U129</f>
        <v>-0</v>
      </c>
      <c r="V83" s="10" t="n">
        <f aca="false">-Helpers!V23+V129</f>
        <v>-0</v>
      </c>
      <c r="W83" s="10" t="n">
        <f aca="false">-Helpers!W23+W129</f>
        <v>-0</v>
      </c>
      <c r="X83" s="10" t="n">
        <f aca="false">-Helpers!X23+X129</f>
        <v>-0</v>
      </c>
      <c r="Y83" s="10" t="n">
        <f aca="false">-Helpers!Y23+Y129</f>
        <v>-0</v>
      </c>
      <c r="Z83" s="10" t="n">
        <f aca="false">-Helpers!Z23+Z129</f>
        <v>-0</v>
      </c>
      <c r="AA83" s="10" t="n">
        <f aca="false">-Helpers!AA23+AA129</f>
        <v>-0</v>
      </c>
      <c r="AB83" s="10" t="n">
        <f aca="false">-Helpers!AB23+AB129</f>
        <v>-0</v>
      </c>
      <c r="AC83" s="10" t="n">
        <f aca="false">-Helpers!AC23+AC129</f>
        <v>-0</v>
      </c>
      <c r="AD83" s="10" t="n">
        <f aca="false">-Helpers!AD23+AD129</f>
        <v>-0</v>
      </c>
      <c r="AE83" s="10" t="n">
        <f aca="false">-Helpers!AE23+AE129</f>
        <v>-0</v>
      </c>
      <c r="AF83" s="10" t="n">
        <f aca="false">-Helpers!AF23+AF129</f>
        <v>-0</v>
      </c>
      <c r="AG83" s="10" t="n">
        <f aca="false">-Helpers!AG23+AG129</f>
        <v>-0</v>
      </c>
      <c r="AH83" s="10" t="n">
        <f aca="false">-Helpers!AH23+AH129</f>
        <v>-0</v>
      </c>
      <c r="AI83" s="10" t="n">
        <f aca="false">-Helpers!AI23+AI129</f>
        <v>-0</v>
      </c>
      <c r="AJ83" s="10" t="n">
        <f aca="false">-Helpers!AJ23+AJ129</f>
        <v>-0</v>
      </c>
      <c r="AK83" s="10" t="n">
        <f aca="false">-Helpers!AK23+AK129</f>
        <v>-0</v>
      </c>
      <c r="AL83" s="10" t="n">
        <f aca="false">-Helpers!AL23+AL129</f>
        <v>-0</v>
      </c>
      <c r="AM83" s="10" t="n">
        <f aca="false">-Helpers!AM23+AM129</f>
        <v>-0</v>
      </c>
      <c r="AN83" s="10" t="n">
        <f aca="false">-Helpers!AN23+AN129</f>
        <v>-0</v>
      </c>
      <c r="AO83" s="10" t="n">
        <f aca="false">-Helpers!AO23+AO129</f>
        <v>-0</v>
      </c>
      <c r="AP83" s="10" t="n">
        <f aca="false">-Helpers!AP23+AP129</f>
        <v>-0</v>
      </c>
      <c r="AQ83" s="10" t="n">
        <f aca="false">-Helpers!AQ23+AQ129</f>
        <v>-0</v>
      </c>
      <c r="AR83" s="10" t="n">
        <f aca="false">-Helpers!AR23+AR129</f>
        <v>-0</v>
      </c>
      <c r="AS83" s="10" t="n">
        <f aca="false">-Helpers!AS23+AS129</f>
        <v>-0</v>
      </c>
      <c r="AT83" s="10" t="n">
        <f aca="false">-Helpers!AT23+AT129</f>
        <v>-0</v>
      </c>
      <c r="AU83" s="10" t="n">
        <f aca="false">-Helpers!AU23+AU129</f>
        <v>-0</v>
      </c>
      <c r="AV83" s="10" t="n">
        <f aca="false">-Helpers!AV23+AV129</f>
        <v>-0</v>
      </c>
      <c r="AW83" s="10" t="n">
        <f aca="false">-Helpers!AW23+AW129</f>
        <v>-0</v>
      </c>
      <c r="AX83" s="10" t="n">
        <f aca="false">-Helpers!AX23+AX129</f>
        <v>-0</v>
      </c>
      <c r="AY83" s="10" t="n">
        <f aca="false">-Helpers!AY23+AY129</f>
        <v>-0</v>
      </c>
      <c r="AZ83" s="10" t="n">
        <f aca="false">-Helpers!AZ23+AZ129</f>
        <v>-0</v>
      </c>
      <c r="BA83" s="10" t="n">
        <f aca="false">-Helpers!BA23+BA129</f>
        <v>-851839</v>
      </c>
      <c r="BB83" s="10" t="n">
        <f aca="false">-Helpers!BB23+BB129</f>
        <v>-0</v>
      </c>
      <c r="BC83" s="10" t="n">
        <f aca="false">-Helpers!BC23+BC129</f>
        <v>-0</v>
      </c>
      <c r="BD83" s="10" t="n">
        <f aca="false">-Helpers!BD23+BD129</f>
        <v>-71700</v>
      </c>
      <c r="BE83" s="10" t="n">
        <f aca="false">-Helpers!BE23+BE129</f>
        <v>-0</v>
      </c>
      <c r="BF83" s="10" t="n">
        <f aca="false">-Helpers!BF23+BF129</f>
        <v>-0</v>
      </c>
      <c r="BG83" s="10" t="n">
        <f aca="false">-Helpers!BG23+BG129</f>
        <v>-71700</v>
      </c>
      <c r="BH83" s="10" t="n">
        <f aca="false">-Helpers!BH23+BH129</f>
        <v>-0</v>
      </c>
      <c r="BI83" s="10" t="n">
        <f aca="false">-Helpers!BI23+BI129</f>
        <v>-0</v>
      </c>
      <c r="BJ83" s="10" t="n">
        <f aca="false">-Helpers!BJ23+BJ129</f>
        <v>-71700</v>
      </c>
      <c r="BK83" s="10" t="n">
        <f aca="false">-Helpers!BK23+BK129</f>
        <v>-0</v>
      </c>
      <c r="BL83" s="10" t="n">
        <f aca="false">-Helpers!BL23+BL129</f>
        <v>-0</v>
      </c>
      <c r="BM83" s="10" t="n">
        <f aca="false">-Helpers!BM23+BM129</f>
        <v>-71700</v>
      </c>
      <c r="BN83" s="10" t="n">
        <f aca="false">-Helpers!BN23+BN129</f>
        <v>-0</v>
      </c>
      <c r="BO83" s="10" t="n">
        <f aca="false">-Helpers!BO23+BO129</f>
        <v>-0</v>
      </c>
      <c r="BP83" s="10" t="n">
        <f aca="false">-Helpers!BP23+BP129</f>
        <v>-74643</v>
      </c>
      <c r="BQ83" s="10" t="n">
        <f aca="false">-Helpers!BQ23+BQ129</f>
        <v>-0</v>
      </c>
      <c r="BR83" s="10" t="n">
        <f aca="false">-Helpers!BR23+BR129</f>
        <v>-0</v>
      </c>
      <c r="BS83" s="10" t="n">
        <f aca="false">-Helpers!BS23+BS129</f>
        <v>-74640</v>
      </c>
      <c r="BT83" s="10" t="n">
        <f aca="false">-Helpers!BT23+BT129</f>
        <v>-0</v>
      </c>
      <c r="BU83" s="10" t="n">
        <f aca="false">-Helpers!BU23+BU129</f>
        <v>-0</v>
      </c>
      <c r="BV83" s="10" t="n">
        <f aca="false">-Helpers!BV23+BV129</f>
        <v>-74640</v>
      </c>
      <c r="BW83" s="10" t="n">
        <f aca="false">-Helpers!BW23+BW129</f>
        <v>-0</v>
      </c>
      <c r="BX83" s="10" t="n">
        <f aca="false">-Helpers!BX23+BX129</f>
        <v>-0</v>
      </c>
      <c r="BY83" s="10" t="n">
        <f aca="false">-Helpers!BY23+BY129</f>
        <v>-74640</v>
      </c>
      <c r="BZ83" s="10" t="n">
        <f aca="false">-Helpers!BZ23+BZ129</f>
        <v>-0</v>
      </c>
      <c r="CA83" s="10" t="n">
        <f aca="false">-Helpers!CA23+CA129</f>
        <v>-0</v>
      </c>
      <c r="CB83" s="10" t="n">
        <f aca="false">-Helpers!CB23+CB129</f>
        <v>-81363</v>
      </c>
      <c r="CC83" s="10" t="n">
        <f aca="false">-Helpers!CC23+CC129</f>
        <v>-0</v>
      </c>
      <c r="CD83" s="10" t="n">
        <f aca="false">-Helpers!CD23+CD129</f>
        <v>-0</v>
      </c>
      <c r="CE83" s="10" t="n">
        <f aca="false">-Helpers!CE23+CE129</f>
        <v>-81362</v>
      </c>
      <c r="CF83" s="10" t="n">
        <f aca="false">-Helpers!CF23+CF129</f>
        <v>-0</v>
      </c>
      <c r="CG83" s="10" t="n">
        <f aca="false">-Helpers!CG23+CG129</f>
        <v>-0</v>
      </c>
      <c r="CH83" s="10" t="n">
        <f aca="false">-Helpers!CH23+CH129</f>
        <v>-74753.9733935208</v>
      </c>
      <c r="CI83" s="25"/>
    </row>
    <row r="84" customFormat="false" ht="15" hidden="false" customHeight="true" outlineLevel="0" collapsed="false">
      <c r="A84" s="9" t="s">
        <v>123</v>
      </c>
      <c r="B84" s="24"/>
      <c r="C84" s="10" t="n">
        <f aca="false">-Helpers!C26+C124</f>
        <v>-0</v>
      </c>
      <c r="D84" s="10" t="n">
        <f aca="false">-Helpers!D26+D124</f>
        <v>-0</v>
      </c>
      <c r="E84" s="10" t="n">
        <f aca="false">-Helpers!E26+E124</f>
        <v>-0</v>
      </c>
      <c r="F84" s="10" t="n">
        <f aca="false">-Helpers!F26+F124</f>
        <v>-0</v>
      </c>
      <c r="G84" s="10" t="n">
        <f aca="false">-Helpers!G26+G124</f>
        <v>-0</v>
      </c>
      <c r="H84" s="10" t="n">
        <f aca="false">-Helpers!H26+H124</f>
        <v>-0</v>
      </c>
      <c r="I84" s="10" t="n">
        <f aca="false">-Helpers!I26+I124</f>
        <v>-0</v>
      </c>
      <c r="J84" s="10" t="n">
        <f aca="false">-Helpers!J26+J124</f>
        <v>-0</v>
      </c>
      <c r="K84" s="10" t="n">
        <f aca="false">-Helpers!K26+K124</f>
        <v>-0</v>
      </c>
      <c r="L84" s="10" t="n">
        <f aca="false">-Helpers!L26+L124</f>
        <v>-0</v>
      </c>
      <c r="M84" s="10" t="n">
        <f aca="false">-Helpers!M26+M124</f>
        <v>-0</v>
      </c>
      <c r="N84" s="10" t="n">
        <f aca="false">-Helpers!N26+N124</f>
        <v>-0</v>
      </c>
      <c r="O84" s="10" t="n">
        <f aca="false">-Helpers!O26+O124</f>
        <v>-0</v>
      </c>
      <c r="P84" s="10" t="n">
        <f aca="false">-Helpers!P26+P124</f>
        <v>-0</v>
      </c>
      <c r="Q84" s="10" t="n">
        <f aca="false">-Helpers!Q26+Q124</f>
        <v>-0</v>
      </c>
      <c r="R84" s="10" t="n">
        <f aca="false">-Helpers!R26+R124</f>
        <v>-0</v>
      </c>
      <c r="S84" s="10" t="n">
        <f aca="false">-Helpers!S26+S124</f>
        <v>-0</v>
      </c>
      <c r="T84" s="10" t="n">
        <f aca="false">-Helpers!T26+T124</f>
        <v>-0</v>
      </c>
      <c r="U84" s="10" t="n">
        <f aca="false">-Helpers!U26+U124</f>
        <v>-0</v>
      </c>
      <c r="V84" s="10" t="n">
        <f aca="false">-Helpers!V26+V124</f>
        <v>-0</v>
      </c>
      <c r="W84" s="10" t="n">
        <f aca="false">-Helpers!W26+W124</f>
        <v>-0</v>
      </c>
      <c r="X84" s="10" t="n">
        <f aca="false">-Helpers!X26+X124</f>
        <v>-0</v>
      </c>
      <c r="Y84" s="10" t="n">
        <f aca="false">-Helpers!Y26+Y124</f>
        <v>-0</v>
      </c>
      <c r="Z84" s="10" t="n">
        <f aca="false">-Helpers!Z26+Z124</f>
        <v>-0</v>
      </c>
      <c r="AA84" s="10" t="n">
        <f aca="false">-Helpers!AA26+AA124</f>
        <v>-0</v>
      </c>
      <c r="AB84" s="10" t="n">
        <f aca="false">-Helpers!AB26+AB124</f>
        <v>-0</v>
      </c>
      <c r="AC84" s="10" t="n">
        <f aca="false">-Helpers!AC26+AC124</f>
        <v>-0</v>
      </c>
      <c r="AD84" s="10" t="n">
        <f aca="false">-Helpers!AD26+AD124</f>
        <v>-0</v>
      </c>
      <c r="AE84" s="10" t="n">
        <f aca="false">-Helpers!AE26+AE124</f>
        <v>-0</v>
      </c>
      <c r="AF84" s="10" t="n">
        <f aca="false">-Helpers!AF26+AF124</f>
        <v>-0</v>
      </c>
      <c r="AG84" s="10" t="n">
        <f aca="false">-Helpers!AG26+AG124</f>
        <v>-0</v>
      </c>
      <c r="AH84" s="10" t="n">
        <f aca="false">-Helpers!AH26+AH124</f>
        <v>-0</v>
      </c>
      <c r="AI84" s="10" t="n">
        <f aca="false">-Helpers!AI26+AI124</f>
        <v>-0</v>
      </c>
      <c r="AJ84" s="10" t="n">
        <f aca="false">-Helpers!AJ26+AJ124</f>
        <v>-0</v>
      </c>
      <c r="AK84" s="10" t="n">
        <f aca="false">-Helpers!AK26+AK124</f>
        <v>-0</v>
      </c>
      <c r="AL84" s="10" t="n">
        <f aca="false">-Helpers!AL26+AL124</f>
        <v>-0</v>
      </c>
      <c r="AM84" s="10" t="n">
        <f aca="false">-Helpers!AM26+AM124</f>
        <v>-0</v>
      </c>
      <c r="AN84" s="10" t="n">
        <f aca="false">-Helpers!AN26+AN124</f>
        <v>-0</v>
      </c>
      <c r="AO84" s="10" t="n">
        <f aca="false">-Helpers!AO26+AO124</f>
        <v>-0</v>
      </c>
      <c r="AP84" s="10" t="n">
        <f aca="false">-Helpers!AP26+AP124</f>
        <v>-0</v>
      </c>
      <c r="AQ84" s="10" t="n">
        <f aca="false">-Helpers!AQ26+AQ124</f>
        <v>-0</v>
      </c>
      <c r="AR84" s="10" t="n">
        <f aca="false">-Helpers!AR26+AR124</f>
        <v>-0</v>
      </c>
      <c r="AS84" s="10" t="n">
        <f aca="false">-Helpers!AS26+AS124</f>
        <v>-0</v>
      </c>
      <c r="AT84" s="10" t="n">
        <f aca="false">-Helpers!AT26+AT124</f>
        <v>-0</v>
      </c>
      <c r="AU84" s="10" t="n">
        <f aca="false">-Helpers!AU26+AU124</f>
        <v>-0</v>
      </c>
      <c r="AV84" s="10" t="n">
        <f aca="false">-Helpers!AV26+AV124</f>
        <v>-0</v>
      </c>
      <c r="AW84" s="10" t="n">
        <f aca="false">-Helpers!AW26+AW124</f>
        <v>-0</v>
      </c>
      <c r="AX84" s="10" t="n">
        <f aca="false">-Helpers!AX26+AX124</f>
        <v>-0</v>
      </c>
      <c r="AY84" s="10" t="n">
        <f aca="false">-Helpers!AY26+AY124</f>
        <v>-0</v>
      </c>
      <c r="AZ84" s="10" t="n">
        <f aca="false">-Helpers!AZ26+AZ124</f>
        <v>-0</v>
      </c>
      <c r="BA84" s="10" t="n">
        <f aca="false">-Helpers!BA26+BA124</f>
        <v>-0</v>
      </c>
      <c r="BB84" s="10" t="n">
        <f aca="false">-Helpers!BB26+BB124</f>
        <v>-0</v>
      </c>
      <c r="BC84" s="10" t="n">
        <f aca="false">-Helpers!BC26+BC124</f>
        <v>-0</v>
      </c>
      <c r="BD84" s="10" t="n">
        <f aca="false">-Helpers!BD26+BD124</f>
        <v>-0</v>
      </c>
      <c r="BE84" s="10" t="n">
        <f aca="false">-Helpers!BE26+BE124</f>
        <v>-0</v>
      </c>
      <c r="BF84" s="10" t="n">
        <f aca="false">-Helpers!BF26+BF124</f>
        <v>-0</v>
      </c>
      <c r="BG84" s="10" t="n">
        <f aca="false">-Helpers!BG26+BG124</f>
        <v>-0</v>
      </c>
      <c r="BH84" s="10" t="n">
        <f aca="false">-Helpers!BH26+BH124</f>
        <v>-0</v>
      </c>
      <c r="BI84" s="10" t="n">
        <f aca="false">-Helpers!BI26+BI124</f>
        <v>-0</v>
      </c>
      <c r="BJ84" s="10" t="n">
        <f aca="false">-Helpers!BJ26+BJ124</f>
        <v>-0</v>
      </c>
      <c r="BK84" s="10" t="n">
        <f aca="false">-Helpers!BK26+BK124</f>
        <v>-0</v>
      </c>
      <c r="BL84" s="10" t="n">
        <f aca="false">-Helpers!BL26+BL124</f>
        <v>-0</v>
      </c>
      <c r="BM84" s="10" t="n">
        <f aca="false">-Helpers!BM26+BM124</f>
        <v>-0</v>
      </c>
      <c r="BN84" s="10" t="n">
        <f aca="false">-Helpers!BN26+BN124</f>
        <v>-0</v>
      </c>
      <c r="BO84" s="10" t="n">
        <f aca="false">-Helpers!BO26+BO124</f>
        <v>-0</v>
      </c>
      <c r="BP84" s="10" t="n">
        <f aca="false">-Helpers!BP26+BP124</f>
        <v>-0</v>
      </c>
      <c r="BQ84" s="10" t="n">
        <f aca="false">-Helpers!BQ26+BQ124</f>
        <v>-0</v>
      </c>
      <c r="BR84" s="10" t="n">
        <f aca="false">-Helpers!BR26+BR124</f>
        <v>-0</v>
      </c>
      <c r="BS84" s="10" t="n">
        <f aca="false">-Helpers!BS26+BS124</f>
        <v>-0</v>
      </c>
      <c r="BT84" s="10" t="n">
        <f aca="false">-Helpers!BT26+BT124</f>
        <v>-0</v>
      </c>
      <c r="BU84" s="10" t="n">
        <f aca="false">-Helpers!BU26+BU124</f>
        <v>-0</v>
      </c>
      <c r="BV84" s="10" t="n">
        <f aca="false">-Helpers!BV26+BV124</f>
        <v>-0</v>
      </c>
      <c r="BW84" s="10" t="n">
        <f aca="false">-Helpers!BW26+BW124</f>
        <v>-0</v>
      </c>
      <c r="BX84" s="10" t="n">
        <f aca="false">-Helpers!BX26+BX124</f>
        <v>-0</v>
      </c>
      <c r="BY84" s="10" t="n">
        <f aca="false">-Helpers!BY26+BY124</f>
        <v>-73156</v>
      </c>
      <c r="BZ84" s="10" t="n">
        <f aca="false">-Helpers!BZ26+BZ124</f>
        <v>-0</v>
      </c>
      <c r="CA84" s="10" t="n">
        <f aca="false">-Helpers!CA26+CA124</f>
        <v>-0</v>
      </c>
      <c r="CB84" s="10" t="n">
        <f aca="false">-Helpers!CB26+CB124</f>
        <v>-73155</v>
      </c>
      <c r="CC84" s="10" t="n">
        <f aca="false">-Helpers!CC26+CC124</f>
        <v>-0</v>
      </c>
      <c r="CD84" s="10" t="n">
        <f aca="false">-Helpers!CD26+CD124</f>
        <v>-0</v>
      </c>
      <c r="CE84" s="10" t="n">
        <f aca="false">-Helpers!CE26+CE124</f>
        <v>-73155</v>
      </c>
      <c r="CF84" s="10" t="n">
        <f aca="false">-Helpers!CF26+CF124</f>
        <v>-0</v>
      </c>
      <c r="CG84" s="10" t="n">
        <f aca="false">-Helpers!CG26+CG124</f>
        <v>-0</v>
      </c>
      <c r="CH84" s="10" t="n">
        <f aca="false">-Helpers!CH26+CH124</f>
        <v>-73155</v>
      </c>
      <c r="CI84" s="25"/>
    </row>
    <row r="85" customFormat="false" ht="15" hidden="false" customHeight="true" outlineLevel="0" collapsed="false">
      <c r="A85" s="11" t="s">
        <v>124</v>
      </c>
      <c r="B85" s="30"/>
      <c r="C85" s="12" t="n">
        <f aca="false">C66+C67+C68+C69+C70+SUM(C71:C84)</f>
        <v>-116814.583333333</v>
      </c>
      <c r="D85" s="12" t="n">
        <f aca="false">D66+D67+D68+D69+D70+SUM(D71:D84)</f>
        <v>-116814.583333333</v>
      </c>
      <c r="E85" s="12" t="n">
        <f aca="false">E66+E67+E68+E69+E70+SUM(E71:E84)</f>
        <v>-116814.583333333</v>
      </c>
      <c r="F85" s="12" t="n">
        <f aca="false">F66+F67+F68+F69+F70+SUM(F71:F84)</f>
        <v>-139814.583333333</v>
      </c>
      <c r="G85" s="12" t="n">
        <f aca="false">G66+G67+G68+G69+G70+SUM(G71:G84)</f>
        <v>-116814.583333333</v>
      </c>
      <c r="H85" s="12" t="n">
        <f aca="false">H66+H67+H68+H69+H70+SUM(H71:H84)</f>
        <v>-116814.583333333</v>
      </c>
      <c r="I85" s="12" t="n">
        <f aca="false">I66+I67+I68+I69+I70+SUM(I71:I84)</f>
        <v>-116814.583333333</v>
      </c>
      <c r="J85" s="12" t="n">
        <f aca="false">J66+J67+J68+J69+J70+SUM(J71:J84)</f>
        <v>-116814.583333333</v>
      </c>
      <c r="K85" s="12" t="n">
        <f aca="false">K66+K67+K68+K69+K70+SUM(K71:K84)</f>
        <v>-137814.583333333</v>
      </c>
      <c r="L85" s="12" t="n">
        <f aca="false">L66+L67+L68+L69+L70+SUM(L71:L84)</f>
        <v>-116814.583333333</v>
      </c>
      <c r="M85" s="12" t="n">
        <f aca="false">M66+M67+M68+M69+M70+SUM(M71:M84)</f>
        <v>-116814.583333333</v>
      </c>
      <c r="N85" s="12" t="n">
        <f aca="false">N66+N67+N68+N69+N70+SUM(N71:N84)</f>
        <v>-116814.583333333</v>
      </c>
      <c r="O85" s="12" t="n">
        <f aca="false">O66+O67+O68+O69+O70+SUM(O71:O84)</f>
        <v>-119150.875</v>
      </c>
      <c r="P85" s="12" t="n">
        <f aca="false">P66+P67+P68+P69+P70+SUM(P71:P84)</f>
        <v>-119150.875</v>
      </c>
      <c r="Q85" s="12" t="n">
        <f aca="false">Q66+Q67+Q68+Q69+Q70+SUM(Q71:Q84)</f>
        <v>-119150.875</v>
      </c>
      <c r="R85" s="12" t="n">
        <f aca="false">R66+R67+R68+R69+R70+SUM(R71:R84)</f>
        <v>-142610.875</v>
      </c>
      <c r="S85" s="12" t="n">
        <f aca="false">S66+S67+S68+S69+S70+SUM(S71:S84)</f>
        <v>-119150.875</v>
      </c>
      <c r="T85" s="12" t="n">
        <f aca="false">T66+T67+T68+T69+T70+SUM(T71:T84)</f>
        <v>-119150.875</v>
      </c>
      <c r="U85" s="12" t="n">
        <f aca="false">U66+U67+U68+U69+U70+SUM(U71:U84)</f>
        <v>-119150.875</v>
      </c>
      <c r="V85" s="12" t="n">
        <f aca="false">V66+V67+V68+V69+V70+SUM(V71:V84)</f>
        <v>-119150.875</v>
      </c>
      <c r="W85" s="12" t="n">
        <f aca="false">W66+W67+W68+W69+W70+SUM(W71:W84)</f>
        <v>-140570.875</v>
      </c>
      <c r="X85" s="12" t="n">
        <f aca="false">X66+X67+X68+X69+X70+SUM(X71:X84)</f>
        <v>-119150.875</v>
      </c>
      <c r="Y85" s="12" t="n">
        <f aca="false">Y66+Y67+Y68+Y69+Y70+SUM(Y71:Y84)</f>
        <v>-119150.875</v>
      </c>
      <c r="Z85" s="12" t="n">
        <f aca="false">Z66+Z67+Z68+Z69+Z70+SUM(Z71:Z84)</f>
        <v>-119150.875</v>
      </c>
      <c r="AA85" s="12" t="n">
        <f aca="false">AA66+AA67+AA68+AA69+AA70+SUM(AA71:AA84)</f>
        <v>-121533.8925</v>
      </c>
      <c r="AB85" s="12" t="n">
        <f aca="false">AB66+AB67+AB68+AB69+AB70+SUM(AB71:AB84)</f>
        <v>-121533.8925</v>
      </c>
      <c r="AC85" s="12" t="n">
        <f aca="false">AC66+AC67+AC68+AC69+AC70+SUM(AC71:AC84)</f>
        <v>-121533.8925</v>
      </c>
      <c r="AD85" s="12" t="n">
        <f aca="false">AD66+AD67+AD68+AD69+AD70+SUM(AD71:AD84)</f>
        <v>-145463.0925</v>
      </c>
      <c r="AE85" s="12" t="n">
        <f aca="false">AE66+AE67+AE68+AE69+AE70+SUM(AE71:AE84)</f>
        <v>-121533.8925</v>
      </c>
      <c r="AF85" s="12" t="n">
        <f aca="false">AF66+AF67+AF68+AF69+AF70+SUM(AF71:AF84)</f>
        <v>-121533.8925</v>
      </c>
      <c r="AG85" s="12" t="n">
        <f aca="false">AG66+AG67+AG68+AG69+AG70+SUM(AG71:AG84)</f>
        <v>-121533.8925</v>
      </c>
      <c r="AH85" s="12" t="n">
        <f aca="false">AH66+AH67+AH68+AH69+AH70+SUM(AH71:AH84)</f>
        <v>-121533.8925</v>
      </c>
      <c r="AI85" s="12" t="n">
        <f aca="false">AI66+AI67+AI68+AI69+AI70+SUM(AI71:AI84)</f>
        <v>-143382.2925</v>
      </c>
      <c r="AJ85" s="12" t="n">
        <f aca="false">AJ66+AJ67+AJ68+AJ69+AJ70+SUM(AJ71:AJ84)</f>
        <v>-121533.8925</v>
      </c>
      <c r="AK85" s="12" t="n">
        <f aca="false">AK66+AK67+AK68+AK69+AK70+SUM(AK71:AK84)</f>
        <v>-121533.8925</v>
      </c>
      <c r="AL85" s="12" t="n">
        <f aca="false">AL66+AL67+AL68+AL69+AL70+SUM(AL71:AL84)</f>
        <v>-121533.8925</v>
      </c>
      <c r="AM85" s="12" t="n">
        <f aca="false">AM66+AM67+AM68+AM69+AM70+SUM(AM71:AM84)</f>
        <v>-123964.57035</v>
      </c>
      <c r="AN85" s="12" t="n">
        <f aca="false">AN66+AN67+AN68+AN69+AN70+SUM(AN71:AN84)</f>
        <v>-123964.57035</v>
      </c>
      <c r="AO85" s="12" t="n">
        <f aca="false">AO66+AO67+AO68+AO69+AO70+SUM(AO71:AO84)</f>
        <v>-123964.57035</v>
      </c>
      <c r="AP85" s="12" t="n">
        <f aca="false">AP66+AP67+AP68+AP69+AP70+SUM(AP71:AP84)</f>
        <v>-148372.35435</v>
      </c>
      <c r="AQ85" s="12" t="n">
        <f aca="false">AQ66+AQ67+AQ68+AQ69+AQ70+SUM(AQ71:AQ84)</f>
        <v>-123964.57035</v>
      </c>
      <c r="AR85" s="12" t="n">
        <f aca="false">AR66+AR67+AR68+AR69+AR70+SUM(AR71:AR84)</f>
        <v>-205647.57035</v>
      </c>
      <c r="AS85" s="12" t="n">
        <f aca="false">AS66+AS67+AS68+AS69+AS70+SUM(AS71:AS84)</f>
        <v>-123964.57035</v>
      </c>
      <c r="AT85" s="12" t="n">
        <f aca="false">AT66+AT67+AT68+AT69+AT70+SUM(AT71:AT84)</f>
        <v>-123964.57035</v>
      </c>
      <c r="AU85" s="12" t="n">
        <f aca="false">AU66+AU67+AU68+AU69+AU70+SUM(AU71:AU84)</f>
        <v>-227931.93835</v>
      </c>
      <c r="AV85" s="12" t="n">
        <f aca="false">AV66+AV67+AV68+AV69+AV70+SUM(AV71:AV84)</f>
        <v>-123964.57035</v>
      </c>
      <c r="AW85" s="12" t="n">
        <f aca="false">AW66+AW67+AW68+AW69+AW70+SUM(AW71:AW84)</f>
        <v>-123964.57035</v>
      </c>
      <c r="AX85" s="12" t="n">
        <f aca="false">AX66+AX67+AX68+AX69+AX70+SUM(AX71:AX84)</f>
        <v>-205646.57035</v>
      </c>
      <c r="AY85" s="12" t="n">
        <f aca="false">AY66+AY67+AY68+AY69+AY70+SUM(AY71:AY84)</f>
        <v>-126443.861757</v>
      </c>
      <c r="AZ85" s="12" t="n">
        <f aca="false">AZ66+AZ67+AZ68+AZ69+AZ70+SUM(AZ71:AZ84)</f>
        <v>-126443.861757</v>
      </c>
      <c r="BA85" s="12" t="n">
        <f aca="false">BA66+BA67+BA68+BA69+BA70+SUM(BA71:BA84)</f>
        <v>-1059964.861757</v>
      </c>
      <c r="BB85" s="12" t="n">
        <f aca="false">BB66+BB67+BB68+BB69+BB70+SUM(BB71:BB84)</f>
        <v>-151339.801437</v>
      </c>
      <c r="BC85" s="12" t="n">
        <f aca="false">BC66+BC67+BC68+BC69+BC70+SUM(BC71:BC84)</f>
        <v>-126443.861757</v>
      </c>
      <c r="BD85" s="12" t="n">
        <f aca="false">BD66+BD67+BD68+BD69+BD70+SUM(BD71:BD84)</f>
        <v>-257321.861757</v>
      </c>
      <c r="BE85" s="12" t="n">
        <f aca="false">BE66+BE67+BE68+BE69+BE70+SUM(BE71:BE84)</f>
        <v>-126443.861757</v>
      </c>
      <c r="BF85" s="12" t="n">
        <f aca="false">BF66+BF67+BF68+BF69+BF70+SUM(BF71:BF84)</f>
        <v>-126443.861757</v>
      </c>
      <c r="BG85" s="12" t="n">
        <f aca="false">BG66+BG67+BG68+BG69+BG70+SUM(BG71:BG84)</f>
        <v>-280050.937117</v>
      </c>
      <c r="BH85" s="12" t="n">
        <f aca="false">BH66+BH67+BH68+BH69+BH70+SUM(BH71:BH84)</f>
        <v>-126443.861757</v>
      </c>
      <c r="BI85" s="12" t="n">
        <f aca="false">BI66+BI67+BI68+BI69+BI70+SUM(BI71:BI84)</f>
        <v>-126443.861757</v>
      </c>
      <c r="BJ85" s="12" t="n">
        <f aca="false">BJ66+BJ67+BJ68+BJ69+BJ70+SUM(BJ71:BJ84)</f>
        <v>-257319.861757</v>
      </c>
      <c r="BK85" s="12" t="n">
        <f aca="false">BK66+BK67+BK68+BK69+BK70+SUM(BK71:BK84)</f>
        <v>-128972.73899214</v>
      </c>
      <c r="BL85" s="12" t="n">
        <f aca="false">BL66+BL67+BL68+BL69+BL70+SUM(BL71:BL84)</f>
        <v>-128972.73899214</v>
      </c>
      <c r="BM85" s="12" t="n">
        <f aca="false">BM66+BM67+BM68+BM69+BM70+SUM(BM71:BM84)</f>
        <v>-259848.73899214</v>
      </c>
      <c r="BN85" s="12" t="n">
        <f aca="false">BN66+BN67+BN68+BN69+BN70+SUM(BN71:BN84)</f>
        <v>-154366.59746574</v>
      </c>
      <c r="BO85" s="12" t="n">
        <f aca="false">BO66+BO67+BO68+BO69+BO70+SUM(BO71:BO84)</f>
        <v>-128972.73899214</v>
      </c>
      <c r="BP85" s="12" t="n">
        <f aca="false">BP66+BP67+BP68+BP69+BP70+SUM(BP71:BP84)</f>
        <v>-219865.21899214</v>
      </c>
      <c r="BQ85" s="12" t="n">
        <f aca="false">BQ66+BQ67+BQ68+BQ69+BQ70+SUM(BQ71:BQ84)</f>
        <v>-128972.73899214</v>
      </c>
      <c r="BR85" s="12" t="n">
        <f aca="false">BR66+BR67+BR68+BR69+BR70+SUM(BR71:BR84)</f>
        <v>-128972.73899214</v>
      </c>
      <c r="BS85" s="12" t="n">
        <f aca="false">BS66+BS67+BS68+BS69+BS70+SUM(BS71:BS84)</f>
        <v>-226798.43585934</v>
      </c>
      <c r="BT85" s="12" t="n">
        <f aca="false">BT66+BT67+BT68+BT69+BT70+SUM(BT71:BT84)</f>
        <v>-128972.73899214</v>
      </c>
      <c r="BU85" s="12" t="n">
        <f aca="false">BU66+BU67+BU68+BU69+BU70+SUM(BU71:BU84)</f>
        <v>-128972.73899214</v>
      </c>
      <c r="BV85" s="12" t="n">
        <f aca="false">BV66+BV67+BV68+BV69+BV70+SUM(BV71:BV84)</f>
        <v>-203612.73899214</v>
      </c>
      <c r="BW85" s="12" t="n">
        <f aca="false">BW66+BW67+BW68+BW69+BW70+SUM(BW71:BW84)</f>
        <v>-131552.193771983</v>
      </c>
      <c r="BX85" s="12" t="n">
        <f aca="false">BX66+BX67+BX68+BX69+BX70+SUM(BX71:BX84)</f>
        <v>-131552.193771983</v>
      </c>
      <c r="BY85" s="12" t="n">
        <f aca="false">BY66+BY67+BY68+BY69+BY70+SUM(BY71:BY84)</f>
        <v>-279348.193771983</v>
      </c>
      <c r="BZ85" s="12" t="n">
        <f aca="false">BZ66+BZ67+BZ68+BZ69+BZ70+SUM(BZ71:BZ84)</f>
        <v>-157453.929415055</v>
      </c>
      <c r="CA85" s="12" t="n">
        <f aca="false">CA66+CA67+CA68+CA69+CA70+SUM(CA71:CA84)</f>
        <v>-131552.193771983</v>
      </c>
      <c r="CB85" s="12" t="n">
        <f aca="false">CB66+CB67+CB68+CB69+CB70+SUM(CB71:CB84)</f>
        <v>-286070.193771983</v>
      </c>
      <c r="CC85" s="12" t="n">
        <f aca="false">CC66+CC67+CC68+CC69+CC70+SUM(CC71:CC84)</f>
        <v>-131552.193771983</v>
      </c>
      <c r="CD85" s="12" t="n">
        <f aca="false">CD66+CD67+CD68+CD69+CD70+SUM(CD71:CD84)</f>
        <v>-131552.193771983</v>
      </c>
      <c r="CE85" s="12" t="n">
        <f aca="false">CE66+CE67+CE68+CE69+CE70+SUM(CE71:CE84)</f>
        <v>-309718.604576527</v>
      </c>
      <c r="CF85" s="12" t="n">
        <f aca="false">CF66+CF67+CF68+CF69+CF70+SUM(CF71:CF84)</f>
        <v>-131552.193771983</v>
      </c>
      <c r="CG85" s="12" t="n">
        <f aca="false">CG66+CG67+CG68+CG69+CG70+SUM(CG71:CG84)</f>
        <v>-131552.193771983</v>
      </c>
      <c r="CH85" s="12" t="n">
        <f aca="false">CH66+CH67+CH68+CH69+CH70+SUM(CH71:CH84)</f>
        <v>-279461.167165504</v>
      </c>
      <c r="CI85" s="25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5"/>
    </row>
    <row r="87" customFormat="false" ht="15" hidden="false" customHeight="true" outlineLevel="0" collapsed="false">
      <c r="A87" s="15" t="s">
        <v>25</v>
      </c>
      <c r="B87" s="31"/>
      <c r="C87" s="16" t="n">
        <f aca="false">C64+C85</f>
        <v>-73200.0033333333</v>
      </c>
      <c r="D87" s="16" t="n">
        <f aca="false">D64+D85</f>
        <v>-73200.0033333333</v>
      </c>
      <c r="E87" s="16" t="n">
        <f aca="false">E64+E85</f>
        <v>-73200.0033333333</v>
      </c>
      <c r="F87" s="16" t="n">
        <f aca="false">F64+F85</f>
        <v>-96200.0033333333</v>
      </c>
      <c r="G87" s="16" t="n">
        <f aca="false">G64+G85</f>
        <v>-73200.0033333333</v>
      </c>
      <c r="H87" s="16" t="n">
        <f aca="false">H64+H85</f>
        <v>-74033.3333333333</v>
      </c>
      <c r="I87" s="16" t="n">
        <f aca="false">I64+I85</f>
        <v>-74033.3333333333</v>
      </c>
      <c r="J87" s="16" t="n">
        <f aca="false">J64+J85</f>
        <v>-83408.3333333333</v>
      </c>
      <c r="K87" s="16" t="n">
        <f aca="false">K64+K85</f>
        <v>-104408.333333333</v>
      </c>
      <c r="L87" s="16" t="n">
        <f aca="false">L64+L85</f>
        <v>-71276.5029333333</v>
      </c>
      <c r="M87" s="16" t="n">
        <f aca="false">M64+M85</f>
        <v>-71276.5029333333</v>
      </c>
      <c r="N87" s="16" t="n">
        <f aca="false">N64+N85</f>
        <v>-71276.5029333333</v>
      </c>
      <c r="O87" s="16" t="n">
        <f aca="false">O64+O85</f>
        <v>-73612.7946</v>
      </c>
      <c r="P87" s="16" t="n">
        <f aca="false">P64+P85</f>
        <v>-73612.7946</v>
      </c>
      <c r="Q87" s="16" t="n">
        <f aca="false">Q64+Q85</f>
        <v>-73612.7946</v>
      </c>
      <c r="R87" s="16" t="n">
        <f aca="false">R64+R85</f>
        <v>-116907.1822</v>
      </c>
      <c r="S87" s="16" t="n">
        <f aca="false">S64+S85</f>
        <v>-76874.9198</v>
      </c>
      <c r="T87" s="16" t="n">
        <f aca="false">T64+T85</f>
        <v>-60302.6574</v>
      </c>
      <c r="U87" s="16" t="n">
        <f aca="false">U64+U85</f>
        <v>-43730.4014</v>
      </c>
      <c r="V87" s="16" t="n">
        <f aca="false">V64+V85</f>
        <v>-27158.1326</v>
      </c>
      <c r="W87" s="16" t="n">
        <f aca="false">W64+W85</f>
        <v>25369.1234</v>
      </c>
      <c r="X87" s="16" t="n">
        <f aca="false">X64+X85</f>
        <v>5986.37939999999</v>
      </c>
      <c r="Y87" s="16" t="n">
        <f aca="false">Y64+Y85</f>
        <v>22558.6418</v>
      </c>
      <c r="Z87" s="16" t="n">
        <f aca="false">Z64+Z85</f>
        <v>96505.9106</v>
      </c>
      <c r="AA87" s="16" t="n">
        <f aca="false">AA64+AA85</f>
        <v>53320.1491</v>
      </c>
      <c r="AB87" s="16" t="n">
        <f aca="false">AB64+AB85</f>
        <v>69892.4179</v>
      </c>
      <c r="AC87" s="16" t="n">
        <f aca="false">AC64+AC85</f>
        <v>172671.8979</v>
      </c>
      <c r="AD87" s="16" t="n">
        <f aca="false">AD64+AD85</f>
        <v>34203.7939</v>
      </c>
      <c r="AE87" s="16" t="n">
        <f aca="false">AE64+AE85</f>
        <v>58633.5507</v>
      </c>
      <c r="AF87" s="16" t="n">
        <f aca="false">AF64+AF85</f>
        <v>59134.0947</v>
      </c>
      <c r="AG87" s="16" t="n">
        <f aca="false">AG64+AG85</f>
        <v>50134.6451</v>
      </c>
      <c r="AH87" s="16" t="n">
        <f aca="false">AH64+AH85</f>
        <v>50635.1891</v>
      </c>
      <c r="AI87" s="16" t="n">
        <f aca="false">AI64+AI85</f>
        <v>45859.6019</v>
      </c>
      <c r="AJ87" s="16" t="n">
        <f aca="false">AJ64+AJ85</f>
        <v>51636.2963</v>
      </c>
      <c r="AK87" s="16" t="n">
        <f aca="false">AK64+AK85</f>
        <v>35564.5843</v>
      </c>
      <c r="AL87" s="16" t="n">
        <f aca="false">AL64+AL85</f>
        <v>19492.8723</v>
      </c>
      <c r="AM87" s="16" t="n">
        <f aca="false">AM64+AM85</f>
        <v>990.476049999998</v>
      </c>
      <c r="AN87" s="16" t="n">
        <f aca="false">AN64+AN85</f>
        <v>-15081.22955</v>
      </c>
      <c r="AO87" s="16" t="n">
        <f aca="false">AO64+AO85</f>
        <v>-31152.94155</v>
      </c>
      <c r="AP87" s="16" t="n">
        <f aca="false">AP64+AP85</f>
        <v>-71632.44395</v>
      </c>
      <c r="AQ87" s="16" t="n">
        <f aca="false">AQ64+AQ85</f>
        <v>-63296.36555</v>
      </c>
      <c r="AR87" s="16" t="n">
        <f aca="false">AR64+AR85</f>
        <v>-79368.07755</v>
      </c>
      <c r="AS87" s="16" t="n">
        <f aca="false">AS64+AS85</f>
        <v>-27664.50635</v>
      </c>
      <c r="AT87" s="16" t="n">
        <f aca="false">AT64+AT85</f>
        <v>-44236.76235</v>
      </c>
      <c r="AU87" s="16" t="n">
        <f aca="false">AU64+AU85</f>
        <v>-99166.09835</v>
      </c>
      <c r="AV87" s="16" t="n">
        <f aca="false">AV64+AV85</f>
        <v>-77381.28075</v>
      </c>
      <c r="AW87" s="16" t="n">
        <f aca="false">AW64+AW85</f>
        <v>-77881.83755</v>
      </c>
      <c r="AX87" s="16" t="n">
        <f aca="false">AX64+AX85</f>
        <v>-78382.38155</v>
      </c>
      <c r="AY87" s="16" t="n">
        <f aca="false">AY64+AY85</f>
        <v>-81362.223357</v>
      </c>
      <c r="AZ87" s="16" t="n">
        <f aca="false">AZ64+AZ85</f>
        <v>-81862.773757</v>
      </c>
      <c r="BA87" s="16" t="n">
        <f aca="false">BA64+BA85</f>
        <v>-82363.3241569999</v>
      </c>
      <c r="BB87" s="16" t="n">
        <f aca="false">BB64+BB85</f>
        <v>-107759.814237</v>
      </c>
      <c r="BC87" s="16" t="n">
        <f aca="false">BC64+BC85</f>
        <v>-83364.424957</v>
      </c>
      <c r="BD87" s="16" t="n">
        <f aca="false">BD64+BD85</f>
        <v>-83864.975357</v>
      </c>
      <c r="BE87" s="16" t="n">
        <f aca="false">BE64+BE85</f>
        <v>-84365.525757</v>
      </c>
      <c r="BF87" s="16" t="n">
        <f aca="false">BF64+BF85</f>
        <v>-84866.076157</v>
      </c>
      <c r="BG87" s="16" t="n">
        <f aca="false">BG64+BG85</f>
        <v>-108097.695517</v>
      </c>
      <c r="BH87" s="16" t="n">
        <f aca="false">BH64+BH85</f>
        <v>-56666.376957</v>
      </c>
      <c r="BI87" s="16" t="n">
        <f aca="false">BI64+BI85</f>
        <v>-57166.927357</v>
      </c>
      <c r="BJ87" s="16" t="n">
        <f aca="false">BJ64+BJ85</f>
        <v>10107.811843</v>
      </c>
      <c r="BK87" s="16" t="n">
        <f aca="false">BK64+BK85</f>
        <v>-128972.73899214</v>
      </c>
      <c r="BL87" s="16" t="n">
        <f aca="false">BL64+BL85</f>
        <v>-128972.73899214</v>
      </c>
      <c r="BM87" s="16" t="n">
        <f aca="false">BM64+BM85</f>
        <v>-128972.73899214</v>
      </c>
      <c r="BN87" s="16" t="n">
        <f aca="false">BN64+BN85</f>
        <v>-154366.59746574</v>
      </c>
      <c r="BO87" s="16" t="n">
        <f aca="false">BO64+BO85</f>
        <v>-128972.73899214</v>
      </c>
      <c r="BP87" s="16" t="n">
        <f aca="false">BP64+BP85</f>
        <v>-77459.21899214</v>
      </c>
      <c r="BQ87" s="16" t="n">
        <f aca="false">BQ64+BQ85</f>
        <v>-128972.73899214</v>
      </c>
      <c r="BR87" s="16" t="n">
        <f aca="false">BR64+BR85</f>
        <v>-128972.73899214</v>
      </c>
      <c r="BS87" s="16" t="n">
        <f aca="false">BS64+BS85</f>
        <v>-84396.43585934</v>
      </c>
      <c r="BT87" s="16" t="n">
        <f aca="false">BT64+BT85</f>
        <v>-128972.73899214</v>
      </c>
      <c r="BU87" s="16" t="n">
        <f aca="false">BU64+BU85</f>
        <v>-128972.73899214</v>
      </c>
      <c r="BV87" s="16" t="n">
        <f aca="false">BV64+BV85</f>
        <v>-61210.73899214</v>
      </c>
      <c r="BW87" s="16" t="n">
        <f aca="false">BW64+BW85</f>
        <v>-131552.193771983</v>
      </c>
      <c r="BX87" s="16" t="n">
        <f aca="false">BX64+BX85</f>
        <v>-131552.193771983</v>
      </c>
      <c r="BY87" s="16" t="n">
        <f aca="false">BY64+BY85</f>
        <v>-63790.1937719828</v>
      </c>
      <c r="BZ87" s="16" t="n">
        <f aca="false">BZ64+BZ85</f>
        <v>-157453.929415055</v>
      </c>
      <c r="CA87" s="16" t="n">
        <f aca="false">CA64+CA85</f>
        <v>-131552.193771983</v>
      </c>
      <c r="CB87" s="16" t="n">
        <f aca="false">CB64+CB85</f>
        <v>-55053.1937719828</v>
      </c>
      <c r="CC87" s="16" t="n">
        <f aca="false">CC64+CC85</f>
        <v>-131552.193771983</v>
      </c>
      <c r="CD87" s="16" t="n">
        <f aca="false">CD64+CD85</f>
        <v>-131552.193771983</v>
      </c>
      <c r="CE87" s="16" t="n">
        <f aca="false">CE64+CE85</f>
        <v>-78702.6045765268</v>
      </c>
      <c r="CF87" s="16" t="n">
        <f aca="false">CF64+CF85</f>
        <v>-131552.193771983</v>
      </c>
      <c r="CG87" s="16" t="n">
        <f aca="false">CG64+CG85</f>
        <v>-131552.193771983</v>
      </c>
      <c r="CH87" s="16" t="n">
        <f aca="false">CH64+CH85</f>
        <v>-48445.1671655036</v>
      </c>
      <c r="CI87" s="25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5"/>
    </row>
    <row r="89" customFormat="false" ht="15" hidden="false" customHeight="true" outlineLevel="0" collapsed="false">
      <c r="A89" s="28" t="s">
        <v>125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5"/>
    </row>
    <row r="90" customFormat="false" ht="15" hidden="false" customHeight="true" outlineLevel="0" collapsed="false">
      <c r="A90" s="18" t="s">
        <v>10</v>
      </c>
      <c r="B90" s="24"/>
      <c r="C90" s="10" t="n">
        <f aca="false">C12</f>
        <v>395445.907012036</v>
      </c>
      <c r="D90" s="10" t="n">
        <f aca="false">D12</f>
        <v>405162.241948214</v>
      </c>
      <c r="E90" s="10" t="n">
        <f aca="false">E12</f>
        <v>412442.315969553</v>
      </c>
      <c r="F90" s="10" t="n">
        <f aca="false">F12</f>
        <v>1190408.89112971</v>
      </c>
      <c r="G90" s="10" t="n">
        <f aca="false">G12</f>
        <v>554529.041648753</v>
      </c>
      <c r="H90" s="10" t="n">
        <f aca="false">H12</f>
        <v>560176.970052232</v>
      </c>
      <c r="I90" s="10" t="n">
        <f aca="false">I12</f>
        <v>1110045.00571097</v>
      </c>
      <c r="J90" s="10" t="n">
        <f aca="false">J12</f>
        <v>1097661.23716263</v>
      </c>
      <c r="K90" s="10" t="n">
        <f aca="false">K12</f>
        <v>718483.928676207</v>
      </c>
      <c r="L90" s="10" t="n">
        <f aca="false">L12</f>
        <v>727571.387834085</v>
      </c>
      <c r="M90" s="10" t="n">
        <f aca="false">M12</f>
        <v>734071.299271149</v>
      </c>
      <c r="N90" s="10" t="n">
        <f aca="false">N12</f>
        <v>737822.569271611</v>
      </c>
      <c r="O90" s="10" t="n">
        <f aca="false">O12</f>
        <v>1544442.96033034</v>
      </c>
      <c r="P90" s="10" t="n">
        <f aca="false">P12</f>
        <v>868197.325206424</v>
      </c>
      <c r="Q90" s="10" t="n">
        <f aca="false">Q12</f>
        <v>1010977.77837069</v>
      </c>
      <c r="R90" s="10" t="n">
        <f aca="false">R12</f>
        <v>834536.530861529</v>
      </c>
      <c r="S90" s="10" t="n">
        <f aca="false">S12</f>
        <v>647666.490495964</v>
      </c>
      <c r="T90" s="10" t="n">
        <f aca="false">T12</f>
        <v>647495.254679701</v>
      </c>
      <c r="U90" s="10" t="n">
        <f aca="false">U12</f>
        <v>664995.404069931</v>
      </c>
      <c r="V90" s="10" t="n">
        <f aca="false">V12</f>
        <v>618103.156310271</v>
      </c>
      <c r="W90" s="10" t="n">
        <f aca="false">W12</f>
        <v>607080.580863201</v>
      </c>
      <c r="X90" s="10" t="n">
        <f aca="false">X12</f>
        <v>593340.247986128</v>
      </c>
      <c r="Y90" s="10" t="n">
        <f aca="false">Y12</f>
        <v>577675.489987684</v>
      </c>
      <c r="Z90" s="10" t="n">
        <f aca="false">Z12</f>
        <v>560861.376044448</v>
      </c>
      <c r="AA90" s="10" t="n">
        <f aca="false">AA12</f>
        <v>620997.910270959</v>
      </c>
      <c r="AB90" s="10" t="n">
        <f aca="false">AB12</f>
        <v>468952.796419004</v>
      </c>
      <c r="AC90" s="10" t="n">
        <f aca="false">AC12</f>
        <v>1170867.69906503</v>
      </c>
      <c r="AD90" s="10" t="n">
        <f aca="false">AD12</f>
        <v>512736.635279576</v>
      </c>
      <c r="AE90" s="10" t="n">
        <f aca="false">AE12</f>
        <v>514849.686591913</v>
      </c>
      <c r="AF90" s="10" t="n">
        <f aca="false">AF12</f>
        <v>516146.649922833</v>
      </c>
      <c r="AG90" s="10" t="n">
        <f aca="false">AG12</f>
        <v>637463.155552735</v>
      </c>
      <c r="AH90" s="10" t="n">
        <f aca="false">AH12</f>
        <v>461732.577021331</v>
      </c>
      <c r="AI90" s="10" t="n">
        <f aca="false">AI12</f>
        <v>704880.376406854</v>
      </c>
      <c r="AJ90" s="10" t="n">
        <f aca="false">AJ12</f>
        <v>370702.7192659</v>
      </c>
      <c r="AK90" s="10" t="n">
        <f aca="false">AK12</f>
        <v>368363.852156272</v>
      </c>
      <c r="AL90" s="10" t="n">
        <f aca="false">AL12</f>
        <v>455434.275439507</v>
      </c>
      <c r="AM90" s="10" t="n">
        <f aca="false">AM12</f>
        <v>319121.760197656</v>
      </c>
      <c r="AN90" s="10" t="n">
        <f aca="false">AN12</f>
        <v>316527.783706897</v>
      </c>
      <c r="AO90" s="10" t="n">
        <f aca="false">AO12</f>
        <v>313265.023492166</v>
      </c>
      <c r="AP90" s="10" t="n">
        <f aca="false">AP12</f>
        <v>309361.662778741</v>
      </c>
      <c r="AQ90" s="10" t="n">
        <f aca="false">AQ12</f>
        <v>304855.735731304</v>
      </c>
      <c r="AR90" s="10" t="n">
        <f aca="false">AR12</f>
        <v>556991.313948731</v>
      </c>
      <c r="AS90" s="10" t="n">
        <f aca="false">AS12</f>
        <v>172117.653902309</v>
      </c>
      <c r="AT90" s="10" t="n">
        <f aca="false">AT12</f>
        <v>170395.663138024</v>
      </c>
      <c r="AU90" s="10" t="n">
        <f aca="false">AU12</f>
        <v>167873.903329881</v>
      </c>
      <c r="AV90" s="10" t="n">
        <f aca="false">AV12</f>
        <v>164628.907400738</v>
      </c>
      <c r="AW90" s="10" t="n">
        <f aca="false">AW12</f>
        <v>160750.601534952</v>
      </c>
      <c r="AX90" s="10" t="n">
        <f aca="false">AX12</f>
        <v>156344.218501452</v>
      </c>
      <c r="AY90" s="10" t="n">
        <f aca="false">AY12</f>
        <v>151528.384330667</v>
      </c>
      <c r="AZ90" s="10" t="n">
        <f aca="false">AZ12</f>
        <v>146419.811729952</v>
      </c>
      <c r="BA90" s="10" t="n">
        <f aca="false">BA12</f>
        <v>141140.953375881</v>
      </c>
      <c r="BB90" s="10" t="n">
        <f aca="false">BB12</f>
        <v>135806.608652738</v>
      </c>
      <c r="BC90" s="10" t="n">
        <f aca="false">BC12</f>
        <v>130522.010329452</v>
      </c>
      <c r="BD90" s="10" t="n">
        <f aca="false">BD12</f>
        <v>125382.824559595</v>
      </c>
      <c r="BE90" s="10" t="n">
        <f aca="false">BE12</f>
        <v>120467.497589095</v>
      </c>
      <c r="BF90" s="10" t="n">
        <f aca="false">BF12</f>
        <v>350812.495725452</v>
      </c>
      <c r="BG90" s="10" t="n">
        <f aca="false">BG12</f>
        <v>0</v>
      </c>
      <c r="BH90" s="10" t="n">
        <f aca="false">BH12</f>
        <v>0</v>
      </c>
      <c r="BI90" s="10" t="n">
        <f aca="false">BI12</f>
        <v>0</v>
      </c>
      <c r="BJ90" s="10" t="n">
        <f aca="false">BJ12</f>
        <v>0</v>
      </c>
      <c r="BK90" s="10" t="n">
        <f aca="false">BK12</f>
        <v>0</v>
      </c>
      <c r="BL90" s="10" t="n">
        <f aca="false">BL12</f>
        <v>0</v>
      </c>
      <c r="BM90" s="10" t="n">
        <f aca="false">BM12</f>
        <v>0</v>
      </c>
      <c r="BN90" s="10" t="n">
        <f aca="false">BN12</f>
        <v>0</v>
      </c>
      <c r="BO90" s="10" t="n">
        <f aca="false">BO12</f>
        <v>0</v>
      </c>
      <c r="BP90" s="10" t="n">
        <f aca="false">BP12</f>
        <v>0</v>
      </c>
      <c r="BQ90" s="10" t="n">
        <f aca="false">BQ12</f>
        <v>0</v>
      </c>
      <c r="BR90" s="10" t="n">
        <f aca="false">BR12</f>
        <v>0</v>
      </c>
      <c r="BS90" s="10" t="n">
        <f aca="false">BS12</f>
        <v>0</v>
      </c>
      <c r="BT90" s="10" t="n">
        <f aca="false">BT12</f>
        <v>0</v>
      </c>
      <c r="BU90" s="10" t="n">
        <f aca="false">BU12</f>
        <v>0</v>
      </c>
      <c r="BV90" s="10" t="n">
        <f aca="false">BV12</f>
        <v>0</v>
      </c>
      <c r="BW90" s="10" t="n">
        <f aca="false">BW12</f>
        <v>0</v>
      </c>
      <c r="BX90" s="10" t="n">
        <f aca="false">BX12</f>
        <v>0</v>
      </c>
      <c r="BY90" s="10" t="n">
        <f aca="false">BY12</f>
        <v>0</v>
      </c>
      <c r="BZ90" s="10" t="n">
        <f aca="false">BZ12</f>
        <v>0</v>
      </c>
      <c r="CA90" s="10" t="n">
        <f aca="false">CA12</f>
        <v>0</v>
      </c>
      <c r="CB90" s="10" t="n">
        <f aca="false">CB12</f>
        <v>0</v>
      </c>
      <c r="CC90" s="10" t="n">
        <f aca="false">CC12</f>
        <v>0</v>
      </c>
      <c r="CD90" s="10" t="n">
        <f aca="false">CD12</f>
        <v>0</v>
      </c>
      <c r="CE90" s="10" t="n">
        <f aca="false">CE12</f>
        <v>0</v>
      </c>
      <c r="CF90" s="10" t="n">
        <f aca="false">CF12</f>
        <v>0</v>
      </c>
      <c r="CG90" s="10" t="n">
        <f aca="false">CG12</f>
        <v>0</v>
      </c>
      <c r="CH90" s="10" t="n">
        <f aca="false">CH12</f>
        <v>0</v>
      </c>
      <c r="CI90" s="25"/>
    </row>
    <row r="91" customFormat="false" ht="15" hidden="false" customHeight="true" outlineLevel="0" collapsed="false">
      <c r="A91" s="18" t="s">
        <v>23</v>
      </c>
      <c r="B91" s="24"/>
      <c r="C91" s="10" t="n">
        <f aca="false">C64</f>
        <v>43614.58</v>
      </c>
      <c r="D91" s="10" t="n">
        <f aca="false">D64</f>
        <v>43614.58</v>
      </c>
      <c r="E91" s="10" t="n">
        <f aca="false">E64</f>
        <v>43614.58</v>
      </c>
      <c r="F91" s="10" t="n">
        <f aca="false">F64</f>
        <v>43614.58</v>
      </c>
      <c r="G91" s="10" t="n">
        <f aca="false">G64</f>
        <v>43614.58</v>
      </c>
      <c r="H91" s="10" t="n">
        <f aca="false">H64</f>
        <v>42781.25</v>
      </c>
      <c r="I91" s="10" t="n">
        <f aca="false">I64</f>
        <v>42781.25</v>
      </c>
      <c r="J91" s="10" t="n">
        <f aca="false">J64</f>
        <v>33406.25</v>
      </c>
      <c r="K91" s="10" t="n">
        <f aca="false">K64</f>
        <v>33406.25</v>
      </c>
      <c r="L91" s="10" t="n">
        <f aca="false">L64</f>
        <v>45538.0804</v>
      </c>
      <c r="M91" s="10" t="n">
        <f aca="false">M64</f>
        <v>45538.0804</v>
      </c>
      <c r="N91" s="10" t="n">
        <f aca="false">N64</f>
        <v>45538.0804</v>
      </c>
      <c r="O91" s="10" t="n">
        <f aca="false">O64</f>
        <v>45538.0804</v>
      </c>
      <c r="P91" s="10" t="n">
        <f aca="false">P64</f>
        <v>45538.0804</v>
      </c>
      <c r="Q91" s="10" t="n">
        <f aca="false">Q64</f>
        <v>45538.0804</v>
      </c>
      <c r="R91" s="10" t="n">
        <f aca="false">R64</f>
        <v>25703.6928</v>
      </c>
      <c r="S91" s="10" t="n">
        <f aca="false">S64</f>
        <v>42275.9552</v>
      </c>
      <c r="T91" s="10" t="n">
        <f aca="false">T64</f>
        <v>58848.2176</v>
      </c>
      <c r="U91" s="10" t="n">
        <f aca="false">U64</f>
        <v>75420.4736</v>
      </c>
      <c r="V91" s="10" t="n">
        <f aca="false">V64</f>
        <v>91992.7424</v>
      </c>
      <c r="W91" s="10" t="n">
        <f aca="false">W64</f>
        <v>165939.9984</v>
      </c>
      <c r="X91" s="10" t="n">
        <f aca="false">X64</f>
        <v>125137.2544</v>
      </c>
      <c r="Y91" s="10" t="n">
        <f aca="false">Y64</f>
        <v>141709.5168</v>
      </c>
      <c r="Z91" s="10" t="n">
        <f aca="false">Z64</f>
        <v>215656.7856</v>
      </c>
      <c r="AA91" s="10" t="n">
        <f aca="false">AA64</f>
        <v>174854.0416</v>
      </c>
      <c r="AB91" s="10" t="n">
        <f aca="false">AB64</f>
        <v>191426.3104</v>
      </c>
      <c r="AC91" s="10" t="n">
        <f aca="false">AC64</f>
        <v>294205.7904</v>
      </c>
      <c r="AD91" s="10" t="n">
        <f aca="false">AD64</f>
        <v>179666.8864</v>
      </c>
      <c r="AE91" s="10" t="n">
        <f aca="false">AE64</f>
        <v>180167.4432</v>
      </c>
      <c r="AF91" s="10" t="n">
        <f aca="false">AF64</f>
        <v>180667.9872</v>
      </c>
      <c r="AG91" s="10" t="n">
        <f aca="false">AG64</f>
        <v>171668.5376</v>
      </c>
      <c r="AH91" s="10" t="n">
        <f aca="false">AH64</f>
        <v>172169.0816</v>
      </c>
      <c r="AI91" s="10" t="n">
        <f aca="false">AI64</f>
        <v>189241.8944</v>
      </c>
      <c r="AJ91" s="10" t="n">
        <f aca="false">AJ64</f>
        <v>173170.1888</v>
      </c>
      <c r="AK91" s="10" t="n">
        <f aca="false">AK64</f>
        <v>157098.4768</v>
      </c>
      <c r="AL91" s="10" t="n">
        <f aca="false">AL64</f>
        <v>141026.7648</v>
      </c>
      <c r="AM91" s="10" t="n">
        <f aca="false">AM64</f>
        <v>124955.0464</v>
      </c>
      <c r="AN91" s="10" t="n">
        <f aca="false">AN64</f>
        <v>108883.3408</v>
      </c>
      <c r="AO91" s="10" t="n">
        <f aca="false">AO64</f>
        <v>92811.6288</v>
      </c>
      <c r="AP91" s="10" t="n">
        <f aca="false">AP64</f>
        <v>76739.9104</v>
      </c>
      <c r="AQ91" s="10" t="n">
        <f aca="false">AQ64</f>
        <v>60668.2048</v>
      </c>
      <c r="AR91" s="10" t="n">
        <f aca="false">AR64</f>
        <v>126279.4928</v>
      </c>
      <c r="AS91" s="10" t="n">
        <f aca="false">AS64</f>
        <v>96300.064</v>
      </c>
      <c r="AT91" s="10" t="n">
        <f aca="false">AT64</f>
        <v>79727.808</v>
      </c>
      <c r="AU91" s="10" t="n">
        <f aca="false">AU64</f>
        <v>128765.84</v>
      </c>
      <c r="AV91" s="10" t="n">
        <f aca="false">AV64</f>
        <v>46583.2896</v>
      </c>
      <c r="AW91" s="10" t="n">
        <f aca="false">AW64</f>
        <v>46082.7328</v>
      </c>
      <c r="AX91" s="10" t="n">
        <f aca="false">AX64</f>
        <v>127264.1888</v>
      </c>
      <c r="AY91" s="10" t="n">
        <f aca="false">AY64</f>
        <v>45081.6384</v>
      </c>
      <c r="AZ91" s="10" t="n">
        <f aca="false">AZ64</f>
        <v>44581.088</v>
      </c>
      <c r="BA91" s="10" t="n">
        <f aca="false">BA64</f>
        <v>977601.5376</v>
      </c>
      <c r="BB91" s="10" t="n">
        <f aca="false">BB64</f>
        <v>43579.9872</v>
      </c>
      <c r="BC91" s="10" t="n">
        <f aca="false">BC64</f>
        <v>43079.4368</v>
      </c>
      <c r="BD91" s="10" t="n">
        <f aca="false">BD64</f>
        <v>173456.8864</v>
      </c>
      <c r="BE91" s="10" t="n">
        <f aca="false">BE64</f>
        <v>42078.336</v>
      </c>
      <c r="BF91" s="10" t="n">
        <f aca="false">BF64</f>
        <v>41577.7856</v>
      </c>
      <c r="BG91" s="10" t="n">
        <f aca="false">BG64</f>
        <v>171953.2416</v>
      </c>
      <c r="BH91" s="10" t="n">
        <f aca="false">BH64</f>
        <v>69777.4848</v>
      </c>
      <c r="BI91" s="10" t="n">
        <f aca="false">BI64</f>
        <v>69276.9344</v>
      </c>
      <c r="BJ91" s="10" t="n">
        <f aca="false">BJ64</f>
        <v>267427.6736</v>
      </c>
      <c r="BK91" s="10" t="n">
        <f aca="false">BK64</f>
        <v>0</v>
      </c>
      <c r="BL91" s="10" t="n">
        <f aca="false">BL64</f>
        <v>0</v>
      </c>
      <c r="BM91" s="10" t="n">
        <f aca="false">BM64</f>
        <v>130876</v>
      </c>
      <c r="BN91" s="10" t="n">
        <f aca="false">BN64</f>
        <v>0</v>
      </c>
      <c r="BO91" s="10" t="n">
        <f aca="false">BO64</f>
        <v>0</v>
      </c>
      <c r="BP91" s="10" t="n">
        <f aca="false">BP64</f>
        <v>142406</v>
      </c>
      <c r="BQ91" s="10" t="n">
        <f aca="false">BQ64</f>
        <v>0</v>
      </c>
      <c r="BR91" s="10" t="n">
        <f aca="false">BR64</f>
        <v>0</v>
      </c>
      <c r="BS91" s="10" t="n">
        <f aca="false">BS64</f>
        <v>142402</v>
      </c>
      <c r="BT91" s="10" t="n">
        <f aca="false">BT64</f>
        <v>0</v>
      </c>
      <c r="BU91" s="10" t="n">
        <f aca="false">BU64</f>
        <v>0</v>
      </c>
      <c r="BV91" s="10" t="n">
        <f aca="false">BV64</f>
        <v>142402</v>
      </c>
      <c r="BW91" s="10" t="n">
        <f aca="false">BW64</f>
        <v>0</v>
      </c>
      <c r="BX91" s="10" t="n">
        <f aca="false">BX64</f>
        <v>0</v>
      </c>
      <c r="BY91" s="10" t="n">
        <f aca="false">BY64</f>
        <v>215558</v>
      </c>
      <c r="BZ91" s="10" t="n">
        <f aca="false">BZ64</f>
        <v>0</v>
      </c>
      <c r="CA91" s="10" t="n">
        <f aca="false">CA64</f>
        <v>0</v>
      </c>
      <c r="CB91" s="10" t="n">
        <f aca="false">CB64</f>
        <v>231017</v>
      </c>
      <c r="CC91" s="10" t="n">
        <f aca="false">CC64</f>
        <v>0</v>
      </c>
      <c r="CD91" s="10" t="n">
        <f aca="false">CD64</f>
        <v>0</v>
      </c>
      <c r="CE91" s="10" t="n">
        <f aca="false">CE64</f>
        <v>231016</v>
      </c>
      <c r="CF91" s="10" t="n">
        <f aca="false">CF64</f>
        <v>0</v>
      </c>
      <c r="CG91" s="10" t="n">
        <f aca="false">CG64</f>
        <v>0</v>
      </c>
      <c r="CH91" s="10" t="n">
        <f aca="false">CH64</f>
        <v>231016</v>
      </c>
      <c r="CI91" s="25"/>
    </row>
    <row r="92" customFormat="false" ht="15" hidden="false" customHeight="true" outlineLevel="0" collapsed="false">
      <c r="A92" s="11" t="s">
        <v>126</v>
      </c>
      <c r="B92" s="30"/>
      <c r="C92" s="12" t="n">
        <f aca="false">C90+C91</f>
        <v>439060.487012036</v>
      </c>
      <c r="D92" s="12" t="n">
        <f aca="false">D90+D91</f>
        <v>448776.821948214</v>
      </c>
      <c r="E92" s="12" t="n">
        <f aca="false">E90+E91</f>
        <v>456056.895969553</v>
      </c>
      <c r="F92" s="12" t="n">
        <f aca="false">F90+F91</f>
        <v>1234023.47112971</v>
      </c>
      <c r="G92" s="12" t="n">
        <f aca="false">G90+G91</f>
        <v>598143.621648753</v>
      </c>
      <c r="H92" s="12" t="n">
        <f aca="false">H90+H91</f>
        <v>602958.220052232</v>
      </c>
      <c r="I92" s="12" t="n">
        <f aca="false">I90+I91</f>
        <v>1152826.25571097</v>
      </c>
      <c r="J92" s="12" t="n">
        <f aca="false">J90+J91</f>
        <v>1131067.48716263</v>
      </c>
      <c r="K92" s="12" t="n">
        <f aca="false">K90+K91</f>
        <v>751890.178676207</v>
      </c>
      <c r="L92" s="12" t="n">
        <f aca="false">L90+L91</f>
        <v>773109.468234085</v>
      </c>
      <c r="M92" s="12" t="n">
        <f aca="false">M90+M91</f>
        <v>779609.379671149</v>
      </c>
      <c r="N92" s="12" t="n">
        <f aca="false">N90+N91</f>
        <v>783360.649671611</v>
      </c>
      <c r="O92" s="12" t="n">
        <f aca="false">O90+O91</f>
        <v>1589981.04073034</v>
      </c>
      <c r="P92" s="12" t="n">
        <f aca="false">P90+P91</f>
        <v>913735.405606424</v>
      </c>
      <c r="Q92" s="12" t="n">
        <f aca="false">Q90+Q91</f>
        <v>1056515.85877069</v>
      </c>
      <c r="R92" s="12" t="n">
        <f aca="false">R90+R91</f>
        <v>860240.223661529</v>
      </c>
      <c r="S92" s="12" t="n">
        <f aca="false">S90+S91</f>
        <v>689942.445695964</v>
      </c>
      <c r="T92" s="12" t="n">
        <f aca="false">T90+T91</f>
        <v>706343.472279701</v>
      </c>
      <c r="U92" s="12" t="n">
        <f aca="false">U90+U91</f>
        <v>740415.877669931</v>
      </c>
      <c r="V92" s="12" t="n">
        <f aca="false">V90+V91</f>
        <v>710095.898710271</v>
      </c>
      <c r="W92" s="12" t="n">
        <f aca="false">W90+W91</f>
        <v>773020.579263201</v>
      </c>
      <c r="X92" s="12" t="n">
        <f aca="false">X90+X91</f>
        <v>718477.502386128</v>
      </c>
      <c r="Y92" s="12" t="n">
        <f aca="false">Y90+Y91</f>
        <v>719385.006787684</v>
      </c>
      <c r="Z92" s="12" t="n">
        <f aca="false">Z90+Z91</f>
        <v>776518.161644448</v>
      </c>
      <c r="AA92" s="12" t="n">
        <f aca="false">AA90+AA91</f>
        <v>795851.951870959</v>
      </c>
      <c r="AB92" s="12" t="n">
        <f aca="false">AB90+AB91</f>
        <v>660379.106819004</v>
      </c>
      <c r="AC92" s="12" t="n">
        <f aca="false">AC90+AC91</f>
        <v>1465073.48946503</v>
      </c>
      <c r="AD92" s="12" t="n">
        <f aca="false">AD90+AD91</f>
        <v>692403.521679576</v>
      </c>
      <c r="AE92" s="12" t="n">
        <f aca="false">AE90+AE91</f>
        <v>695017.129791913</v>
      </c>
      <c r="AF92" s="12" t="n">
        <f aca="false">AF90+AF91</f>
        <v>696814.637122833</v>
      </c>
      <c r="AG92" s="12" t="n">
        <f aca="false">AG90+AG91</f>
        <v>809131.693152735</v>
      </c>
      <c r="AH92" s="12" t="n">
        <f aca="false">AH90+AH91</f>
        <v>633901.658621331</v>
      </c>
      <c r="AI92" s="12" t="n">
        <f aca="false">AI90+AI91</f>
        <v>894122.270806854</v>
      </c>
      <c r="AJ92" s="12" t="n">
        <f aca="false">AJ90+AJ91</f>
        <v>543872.9080659</v>
      </c>
      <c r="AK92" s="12" t="n">
        <f aca="false">AK90+AK91</f>
        <v>525462.328956272</v>
      </c>
      <c r="AL92" s="12" t="n">
        <f aca="false">AL90+AL91</f>
        <v>596461.040239507</v>
      </c>
      <c r="AM92" s="12" t="n">
        <f aca="false">AM90+AM91</f>
        <v>444076.806597656</v>
      </c>
      <c r="AN92" s="12" t="n">
        <f aca="false">AN90+AN91</f>
        <v>425411.124506897</v>
      </c>
      <c r="AO92" s="12" t="n">
        <f aca="false">AO90+AO91</f>
        <v>406076.652292166</v>
      </c>
      <c r="AP92" s="12" t="n">
        <f aca="false">AP90+AP91</f>
        <v>386101.573178741</v>
      </c>
      <c r="AQ92" s="12" t="n">
        <f aca="false">AQ90+AQ91</f>
        <v>365523.940531304</v>
      </c>
      <c r="AR92" s="12" t="n">
        <f aca="false">AR90+AR91</f>
        <v>683270.806748731</v>
      </c>
      <c r="AS92" s="12" t="n">
        <f aca="false">AS90+AS91</f>
        <v>268417.71790231</v>
      </c>
      <c r="AT92" s="12" t="n">
        <f aca="false">AT90+AT91</f>
        <v>250123.471138024</v>
      </c>
      <c r="AU92" s="12" t="n">
        <f aca="false">AU90+AU91</f>
        <v>296639.743329881</v>
      </c>
      <c r="AV92" s="12" t="n">
        <f aca="false">AV90+AV91</f>
        <v>211212.197000738</v>
      </c>
      <c r="AW92" s="12" t="n">
        <f aca="false">AW90+AW91</f>
        <v>206833.334334952</v>
      </c>
      <c r="AX92" s="12" t="n">
        <f aca="false">AX90+AX91</f>
        <v>283608.407301452</v>
      </c>
      <c r="AY92" s="12" t="n">
        <f aca="false">AY90+AY91</f>
        <v>196610.022730667</v>
      </c>
      <c r="AZ92" s="12" t="n">
        <f aca="false">AZ90+AZ91</f>
        <v>191000.899729952</v>
      </c>
      <c r="BA92" s="12" t="n">
        <f aca="false">BA90+BA91</f>
        <v>1118742.49097588</v>
      </c>
      <c r="BB92" s="12" t="n">
        <f aca="false">BB90+BB91</f>
        <v>179386.595852738</v>
      </c>
      <c r="BC92" s="12" t="n">
        <f aca="false">BC90+BC91</f>
        <v>173601.447129452</v>
      </c>
      <c r="BD92" s="12" t="n">
        <f aca="false">BD90+BD91</f>
        <v>298839.710959595</v>
      </c>
      <c r="BE92" s="12" t="n">
        <f aca="false">BE90+BE91</f>
        <v>162545.833589095</v>
      </c>
      <c r="BF92" s="12" t="n">
        <f aca="false">BF90+BF91</f>
        <v>392390.281325452</v>
      </c>
      <c r="BG92" s="12" t="n">
        <f aca="false">BG90+BG91</f>
        <v>171953.2416</v>
      </c>
      <c r="BH92" s="12" t="n">
        <f aca="false">BH90+BH91</f>
        <v>69777.4848</v>
      </c>
      <c r="BI92" s="12" t="n">
        <f aca="false">BI90+BI91</f>
        <v>69276.9344</v>
      </c>
      <c r="BJ92" s="12" t="n">
        <f aca="false">BJ90+BJ91</f>
        <v>267427.6736</v>
      </c>
      <c r="BK92" s="12" t="n">
        <f aca="false">BK90+BK91</f>
        <v>0</v>
      </c>
      <c r="BL92" s="12" t="n">
        <f aca="false">BL90+BL91</f>
        <v>0</v>
      </c>
      <c r="BM92" s="12" t="n">
        <f aca="false">BM90+BM91</f>
        <v>130876</v>
      </c>
      <c r="BN92" s="12" t="n">
        <f aca="false">BN90+BN91</f>
        <v>0</v>
      </c>
      <c r="BO92" s="12" t="n">
        <f aca="false">BO90+BO91</f>
        <v>0</v>
      </c>
      <c r="BP92" s="12" t="n">
        <f aca="false">BP90+BP91</f>
        <v>142406</v>
      </c>
      <c r="BQ92" s="12" t="n">
        <f aca="false">BQ90+BQ91</f>
        <v>0</v>
      </c>
      <c r="BR92" s="12" t="n">
        <f aca="false">BR90+BR91</f>
        <v>0</v>
      </c>
      <c r="BS92" s="12" t="n">
        <f aca="false">BS90+BS91</f>
        <v>142402</v>
      </c>
      <c r="BT92" s="12" t="n">
        <f aca="false">BT90+BT91</f>
        <v>0</v>
      </c>
      <c r="BU92" s="12" t="n">
        <f aca="false">BU90+BU91</f>
        <v>0</v>
      </c>
      <c r="BV92" s="12" t="n">
        <f aca="false">BV90+BV91</f>
        <v>142402</v>
      </c>
      <c r="BW92" s="12" t="n">
        <f aca="false">BW90+BW91</f>
        <v>0</v>
      </c>
      <c r="BX92" s="12" t="n">
        <f aca="false">BX90+BX91</f>
        <v>0</v>
      </c>
      <c r="BY92" s="12" t="n">
        <f aca="false">BY90+BY91</f>
        <v>215558</v>
      </c>
      <c r="BZ92" s="12" t="n">
        <f aca="false">BZ90+BZ91</f>
        <v>0</v>
      </c>
      <c r="CA92" s="12" t="n">
        <f aca="false">CA90+CA91</f>
        <v>0</v>
      </c>
      <c r="CB92" s="12" t="n">
        <f aca="false">CB90+CB91</f>
        <v>231017</v>
      </c>
      <c r="CC92" s="12" t="n">
        <f aca="false">CC90+CC91</f>
        <v>0</v>
      </c>
      <c r="CD92" s="12" t="n">
        <f aca="false">CD90+CD91</f>
        <v>0</v>
      </c>
      <c r="CE92" s="12" t="n">
        <f aca="false">CE90+CE91</f>
        <v>231016</v>
      </c>
      <c r="CF92" s="12" t="n">
        <f aca="false">CF90+CF91</f>
        <v>0</v>
      </c>
      <c r="CG92" s="12" t="n">
        <f aca="false">CG90+CG91</f>
        <v>0</v>
      </c>
      <c r="CH92" s="12" t="n">
        <f aca="false">CH90+CH91</f>
        <v>231016</v>
      </c>
      <c r="CI92" s="25"/>
    </row>
    <row r="93" customFormat="false" ht="15" hidden="false" customHeight="true" outlineLevel="0" collapsed="false">
      <c r="A93" s="18" t="s">
        <v>16</v>
      </c>
      <c r="B93" s="24"/>
      <c r="C93" s="10" t="n">
        <f aca="false">C39</f>
        <v>-310258.698333333</v>
      </c>
      <c r="D93" s="10" t="n">
        <f aca="false">D39</f>
        <v>-352489.948333333</v>
      </c>
      <c r="E93" s="10" t="n">
        <f aca="false">E39</f>
        <v>-387439.948333333</v>
      </c>
      <c r="F93" s="10" t="n">
        <f aca="false">F39</f>
        <v>-705406.463533333</v>
      </c>
      <c r="G93" s="10" t="n">
        <f aca="false">G39</f>
        <v>-387439.948333333</v>
      </c>
      <c r="H93" s="10" t="n">
        <f aca="false">H39</f>
        <v>-387439.948333333</v>
      </c>
      <c r="I93" s="10" t="n">
        <f aca="false">I39</f>
        <v>-605522.795333333</v>
      </c>
      <c r="J93" s="10" t="n">
        <f aca="false">J39</f>
        <v>-544789.145333333</v>
      </c>
      <c r="K93" s="10" t="n">
        <f aca="false">K39</f>
        <v>-387439.948333333</v>
      </c>
      <c r="L93" s="10" t="n">
        <f aca="false">L39</f>
        <v>-387439.948333333</v>
      </c>
      <c r="M93" s="10" t="n">
        <f aca="false">M39</f>
        <v>-387439.948333333</v>
      </c>
      <c r="N93" s="10" t="n">
        <f aca="false">N39</f>
        <v>-387439.948333333</v>
      </c>
      <c r="O93" s="10" t="n">
        <f aca="false">O39</f>
        <v>-1861213.9523</v>
      </c>
      <c r="P93" s="10" t="n">
        <f aca="false">P39</f>
        <v>-390043.9273</v>
      </c>
      <c r="Q93" s="10" t="n">
        <f aca="false">Q39</f>
        <v>-390043.9273</v>
      </c>
      <c r="R93" s="10" t="n">
        <f aca="false">R39</f>
        <v>-390043.9273</v>
      </c>
      <c r="S93" s="10" t="n">
        <f aca="false">S39</f>
        <v>-390043.9273</v>
      </c>
      <c r="T93" s="10" t="n">
        <f aca="false">T39</f>
        <v>-390043.9273</v>
      </c>
      <c r="U93" s="10" t="n">
        <f aca="false">U39</f>
        <v>-390043.9273</v>
      </c>
      <c r="V93" s="10" t="n">
        <f aca="false">V39</f>
        <v>-390043.9273</v>
      </c>
      <c r="W93" s="10" t="n">
        <f aca="false">W39</f>
        <v>-390043.9273</v>
      </c>
      <c r="X93" s="10" t="n">
        <f aca="false">X39</f>
        <v>-390043.9273</v>
      </c>
      <c r="Y93" s="10" t="n">
        <f aca="false">Y39</f>
        <v>-390043.9273</v>
      </c>
      <c r="Z93" s="10" t="n">
        <f aca="false">Z39</f>
        <v>-390043.9273</v>
      </c>
      <c r="AA93" s="10" t="n">
        <f aca="false">AA39</f>
        <v>-392699.985846</v>
      </c>
      <c r="AB93" s="10" t="n">
        <f aca="false">AB39</f>
        <v>-392699.985846</v>
      </c>
      <c r="AC93" s="10" t="n">
        <f aca="false">AC39</f>
        <v>-1736725.525846</v>
      </c>
      <c r="AD93" s="10" t="n">
        <f aca="false">AD39</f>
        <v>-392699.985846</v>
      </c>
      <c r="AE93" s="10" t="n">
        <f aca="false">AE39</f>
        <v>-392699.985846</v>
      </c>
      <c r="AF93" s="10" t="n">
        <f aca="false">AF39</f>
        <v>-392699.985846</v>
      </c>
      <c r="AG93" s="10" t="n">
        <f aca="false">AG39</f>
        <v>-392699.985846</v>
      </c>
      <c r="AH93" s="10" t="n">
        <f aca="false">AH39</f>
        <v>-392699.985846</v>
      </c>
      <c r="AI93" s="10" t="n">
        <f aca="false">AI39</f>
        <v>-392699.985846</v>
      </c>
      <c r="AJ93" s="10" t="n">
        <f aca="false">AJ39</f>
        <v>-392699.985846</v>
      </c>
      <c r="AK93" s="10" t="n">
        <f aca="false">AK39</f>
        <v>-392699.985846</v>
      </c>
      <c r="AL93" s="10" t="n">
        <f aca="false">AL39</f>
        <v>-392699.985846</v>
      </c>
      <c r="AM93" s="10" t="n">
        <f aca="false">AM39</f>
        <v>-395409.16556292</v>
      </c>
      <c r="AN93" s="10" t="n">
        <f aca="false">AN39</f>
        <v>-395409.16556292</v>
      </c>
      <c r="AO93" s="10" t="n">
        <f aca="false">AO39</f>
        <v>-395409.16556292</v>
      </c>
      <c r="AP93" s="10" t="n">
        <f aca="false">AP39</f>
        <v>-395409.16556292</v>
      </c>
      <c r="AQ93" s="10" t="n">
        <f aca="false">AQ39</f>
        <v>-395409.16556292</v>
      </c>
      <c r="AR93" s="10" t="n">
        <f aca="false">AR39</f>
        <v>-395409.16556292</v>
      </c>
      <c r="AS93" s="10" t="n">
        <f aca="false">AS39</f>
        <v>-395409.16556292</v>
      </c>
      <c r="AT93" s="10" t="n">
        <f aca="false">AT39</f>
        <v>-395409.16556292</v>
      </c>
      <c r="AU93" s="10" t="n">
        <f aca="false">AU39</f>
        <v>-395409.16556292</v>
      </c>
      <c r="AV93" s="10" t="n">
        <f aca="false">AV39</f>
        <v>-395409.16556292</v>
      </c>
      <c r="AW93" s="10" t="n">
        <f aca="false">AW39</f>
        <v>-395409.16556292</v>
      </c>
      <c r="AX93" s="10" t="n">
        <f aca="false">AX39</f>
        <v>-395409.16556292</v>
      </c>
      <c r="AY93" s="10" t="n">
        <f aca="false">AY39</f>
        <v>-398172.528874179</v>
      </c>
      <c r="AZ93" s="10" t="n">
        <f aca="false">AZ39</f>
        <v>-398172.528874179</v>
      </c>
      <c r="BA93" s="10" t="n">
        <f aca="false">BA39</f>
        <v>-398172.528874179</v>
      </c>
      <c r="BB93" s="10" t="n">
        <f aca="false">BB39</f>
        <v>-398172.528874179</v>
      </c>
      <c r="BC93" s="10" t="n">
        <f aca="false">BC39</f>
        <v>-398172.528874179</v>
      </c>
      <c r="BD93" s="10" t="n">
        <f aca="false">BD39</f>
        <v>-398172.528874179</v>
      </c>
      <c r="BE93" s="10" t="n">
        <f aca="false">BE39</f>
        <v>-398172.528874179</v>
      </c>
      <c r="BF93" s="10" t="n">
        <f aca="false">BF39</f>
        <v>-398172.528874179</v>
      </c>
      <c r="BG93" s="10" t="n">
        <f aca="false">BG39</f>
        <v>-398172.528874179</v>
      </c>
      <c r="BH93" s="10" t="n">
        <f aca="false">BH39</f>
        <v>-398172.528874179</v>
      </c>
      <c r="BI93" s="10" t="n">
        <f aca="false">BI39</f>
        <v>-398172.528874179</v>
      </c>
      <c r="BJ93" s="10" t="n">
        <f aca="false">BJ39</f>
        <v>-398172.528874179</v>
      </c>
      <c r="BK93" s="10" t="n">
        <f aca="false">BK39</f>
        <v>-400991.159451662</v>
      </c>
      <c r="BL93" s="10" t="n">
        <f aca="false">BL39</f>
        <v>-400991.159451662</v>
      </c>
      <c r="BM93" s="10" t="n">
        <f aca="false">BM39</f>
        <v>-400991.159451662</v>
      </c>
      <c r="BN93" s="10" t="n">
        <f aca="false">BN39</f>
        <v>-400991.159451662</v>
      </c>
      <c r="BO93" s="10" t="n">
        <f aca="false">BO39</f>
        <v>-400991.159451662</v>
      </c>
      <c r="BP93" s="10" t="n">
        <f aca="false">BP39</f>
        <v>-400991.159451662</v>
      </c>
      <c r="BQ93" s="10" t="n">
        <f aca="false">BQ39</f>
        <v>-400991.159451662</v>
      </c>
      <c r="BR93" s="10" t="n">
        <f aca="false">BR39</f>
        <v>-400991.159451662</v>
      </c>
      <c r="BS93" s="10" t="n">
        <f aca="false">BS39</f>
        <v>-400991.159451662</v>
      </c>
      <c r="BT93" s="10" t="n">
        <f aca="false">BT39</f>
        <v>-400991.159451662</v>
      </c>
      <c r="BU93" s="10" t="n">
        <f aca="false">BU39</f>
        <v>-400991.159451662</v>
      </c>
      <c r="BV93" s="10" t="n">
        <f aca="false">BV39</f>
        <v>-400991.159451662</v>
      </c>
      <c r="BW93" s="10" t="n">
        <f aca="false">BW39</f>
        <v>-403866.162640695</v>
      </c>
      <c r="BX93" s="10" t="n">
        <f aca="false">BX39</f>
        <v>-403866.162640695</v>
      </c>
      <c r="BY93" s="10" t="n">
        <f aca="false">BY39</f>
        <v>-403866.162640695</v>
      </c>
      <c r="BZ93" s="10" t="n">
        <f aca="false">BZ39</f>
        <v>-403866.162640695</v>
      </c>
      <c r="CA93" s="10" t="n">
        <f aca="false">CA39</f>
        <v>-403866.162640695</v>
      </c>
      <c r="CB93" s="10" t="n">
        <f aca="false">CB39</f>
        <v>-403866.162640695</v>
      </c>
      <c r="CC93" s="10" t="n">
        <f aca="false">CC39</f>
        <v>-403866.162640695</v>
      </c>
      <c r="CD93" s="10" t="n">
        <f aca="false">CD39</f>
        <v>-403866.162640695</v>
      </c>
      <c r="CE93" s="10" t="n">
        <f aca="false">CE39</f>
        <v>-403866.162640695</v>
      </c>
      <c r="CF93" s="10" t="n">
        <f aca="false">CF39</f>
        <v>-403866.162640695</v>
      </c>
      <c r="CG93" s="10" t="n">
        <f aca="false">CG39</f>
        <v>-403866.162640695</v>
      </c>
      <c r="CH93" s="10" t="n">
        <f aca="false">CH39</f>
        <v>-403866.162640695</v>
      </c>
      <c r="CI93" s="25"/>
    </row>
    <row r="94" customFormat="false" ht="15" hidden="false" customHeight="true" outlineLevel="0" collapsed="false">
      <c r="A94" s="18" t="s">
        <v>24</v>
      </c>
      <c r="B94" s="24"/>
      <c r="C94" s="10" t="n">
        <f aca="false">C85</f>
        <v>-116814.583333333</v>
      </c>
      <c r="D94" s="10" t="n">
        <f aca="false">D85</f>
        <v>-116814.583333333</v>
      </c>
      <c r="E94" s="10" t="n">
        <f aca="false">E85</f>
        <v>-116814.583333333</v>
      </c>
      <c r="F94" s="10" t="n">
        <f aca="false">F85</f>
        <v>-139814.583333333</v>
      </c>
      <c r="G94" s="10" t="n">
        <f aca="false">G85</f>
        <v>-116814.583333333</v>
      </c>
      <c r="H94" s="10" t="n">
        <f aca="false">H85</f>
        <v>-116814.583333333</v>
      </c>
      <c r="I94" s="10" t="n">
        <f aca="false">I85</f>
        <v>-116814.583333333</v>
      </c>
      <c r="J94" s="10" t="n">
        <f aca="false">J85</f>
        <v>-116814.583333333</v>
      </c>
      <c r="K94" s="10" t="n">
        <f aca="false">K85</f>
        <v>-137814.583333333</v>
      </c>
      <c r="L94" s="10" t="n">
        <f aca="false">L85</f>
        <v>-116814.583333333</v>
      </c>
      <c r="M94" s="10" t="n">
        <f aca="false">M85</f>
        <v>-116814.583333333</v>
      </c>
      <c r="N94" s="10" t="n">
        <f aca="false">N85</f>
        <v>-116814.583333333</v>
      </c>
      <c r="O94" s="10" t="n">
        <f aca="false">O85</f>
        <v>-119150.875</v>
      </c>
      <c r="P94" s="10" t="n">
        <f aca="false">P85</f>
        <v>-119150.875</v>
      </c>
      <c r="Q94" s="10" t="n">
        <f aca="false">Q85</f>
        <v>-119150.875</v>
      </c>
      <c r="R94" s="10" t="n">
        <f aca="false">R85</f>
        <v>-142610.875</v>
      </c>
      <c r="S94" s="10" t="n">
        <f aca="false">S85</f>
        <v>-119150.875</v>
      </c>
      <c r="T94" s="10" t="n">
        <f aca="false">T85</f>
        <v>-119150.875</v>
      </c>
      <c r="U94" s="10" t="n">
        <f aca="false">U85</f>
        <v>-119150.875</v>
      </c>
      <c r="V94" s="10" t="n">
        <f aca="false">V85</f>
        <v>-119150.875</v>
      </c>
      <c r="W94" s="10" t="n">
        <f aca="false">W85</f>
        <v>-140570.875</v>
      </c>
      <c r="X94" s="10" t="n">
        <f aca="false">X85</f>
        <v>-119150.875</v>
      </c>
      <c r="Y94" s="10" t="n">
        <f aca="false">Y85</f>
        <v>-119150.875</v>
      </c>
      <c r="Z94" s="10" t="n">
        <f aca="false">Z85</f>
        <v>-119150.875</v>
      </c>
      <c r="AA94" s="10" t="n">
        <f aca="false">AA85</f>
        <v>-121533.8925</v>
      </c>
      <c r="AB94" s="10" t="n">
        <f aca="false">AB85</f>
        <v>-121533.8925</v>
      </c>
      <c r="AC94" s="10" t="n">
        <f aca="false">AC85</f>
        <v>-121533.8925</v>
      </c>
      <c r="AD94" s="10" t="n">
        <f aca="false">AD85</f>
        <v>-145463.0925</v>
      </c>
      <c r="AE94" s="10" t="n">
        <f aca="false">AE85</f>
        <v>-121533.8925</v>
      </c>
      <c r="AF94" s="10" t="n">
        <f aca="false">AF85</f>
        <v>-121533.8925</v>
      </c>
      <c r="AG94" s="10" t="n">
        <f aca="false">AG85</f>
        <v>-121533.8925</v>
      </c>
      <c r="AH94" s="10" t="n">
        <f aca="false">AH85</f>
        <v>-121533.8925</v>
      </c>
      <c r="AI94" s="10" t="n">
        <f aca="false">AI85</f>
        <v>-143382.2925</v>
      </c>
      <c r="AJ94" s="10" t="n">
        <f aca="false">AJ85</f>
        <v>-121533.8925</v>
      </c>
      <c r="AK94" s="10" t="n">
        <f aca="false">AK85</f>
        <v>-121533.8925</v>
      </c>
      <c r="AL94" s="10" t="n">
        <f aca="false">AL85</f>
        <v>-121533.8925</v>
      </c>
      <c r="AM94" s="10" t="n">
        <f aca="false">AM85</f>
        <v>-123964.57035</v>
      </c>
      <c r="AN94" s="10" t="n">
        <f aca="false">AN85</f>
        <v>-123964.57035</v>
      </c>
      <c r="AO94" s="10" t="n">
        <f aca="false">AO85</f>
        <v>-123964.57035</v>
      </c>
      <c r="AP94" s="10" t="n">
        <f aca="false">AP85</f>
        <v>-148372.35435</v>
      </c>
      <c r="AQ94" s="10" t="n">
        <f aca="false">AQ85</f>
        <v>-123964.57035</v>
      </c>
      <c r="AR94" s="10" t="n">
        <f aca="false">AR85</f>
        <v>-205647.57035</v>
      </c>
      <c r="AS94" s="10" t="n">
        <f aca="false">AS85</f>
        <v>-123964.57035</v>
      </c>
      <c r="AT94" s="10" t="n">
        <f aca="false">AT85</f>
        <v>-123964.57035</v>
      </c>
      <c r="AU94" s="10" t="n">
        <f aca="false">AU85</f>
        <v>-227931.93835</v>
      </c>
      <c r="AV94" s="10" t="n">
        <f aca="false">AV85</f>
        <v>-123964.57035</v>
      </c>
      <c r="AW94" s="10" t="n">
        <f aca="false">AW85</f>
        <v>-123964.57035</v>
      </c>
      <c r="AX94" s="10" t="n">
        <f aca="false">AX85</f>
        <v>-205646.57035</v>
      </c>
      <c r="AY94" s="10" t="n">
        <f aca="false">AY85</f>
        <v>-126443.861757</v>
      </c>
      <c r="AZ94" s="10" t="n">
        <f aca="false">AZ85</f>
        <v>-126443.861757</v>
      </c>
      <c r="BA94" s="10" t="n">
        <f aca="false">BA85</f>
        <v>-1059964.861757</v>
      </c>
      <c r="BB94" s="10" t="n">
        <f aca="false">BB85</f>
        <v>-151339.801437</v>
      </c>
      <c r="BC94" s="10" t="n">
        <f aca="false">BC85</f>
        <v>-126443.861757</v>
      </c>
      <c r="BD94" s="10" t="n">
        <f aca="false">BD85</f>
        <v>-257321.861757</v>
      </c>
      <c r="BE94" s="10" t="n">
        <f aca="false">BE85</f>
        <v>-126443.861757</v>
      </c>
      <c r="BF94" s="10" t="n">
        <f aca="false">BF85</f>
        <v>-126443.861757</v>
      </c>
      <c r="BG94" s="10" t="n">
        <f aca="false">BG85</f>
        <v>-280050.937117</v>
      </c>
      <c r="BH94" s="10" t="n">
        <f aca="false">BH85</f>
        <v>-126443.861757</v>
      </c>
      <c r="BI94" s="10" t="n">
        <f aca="false">BI85</f>
        <v>-126443.861757</v>
      </c>
      <c r="BJ94" s="10" t="n">
        <f aca="false">BJ85</f>
        <v>-257319.861757</v>
      </c>
      <c r="BK94" s="10" t="n">
        <f aca="false">BK85</f>
        <v>-128972.73899214</v>
      </c>
      <c r="BL94" s="10" t="n">
        <f aca="false">BL85</f>
        <v>-128972.73899214</v>
      </c>
      <c r="BM94" s="10" t="n">
        <f aca="false">BM85</f>
        <v>-259848.73899214</v>
      </c>
      <c r="BN94" s="10" t="n">
        <f aca="false">BN85</f>
        <v>-154366.59746574</v>
      </c>
      <c r="BO94" s="10" t="n">
        <f aca="false">BO85</f>
        <v>-128972.73899214</v>
      </c>
      <c r="BP94" s="10" t="n">
        <f aca="false">BP85</f>
        <v>-219865.21899214</v>
      </c>
      <c r="BQ94" s="10" t="n">
        <f aca="false">BQ85</f>
        <v>-128972.73899214</v>
      </c>
      <c r="BR94" s="10" t="n">
        <f aca="false">BR85</f>
        <v>-128972.73899214</v>
      </c>
      <c r="BS94" s="10" t="n">
        <f aca="false">BS85</f>
        <v>-226798.43585934</v>
      </c>
      <c r="BT94" s="10" t="n">
        <f aca="false">BT85</f>
        <v>-128972.73899214</v>
      </c>
      <c r="BU94" s="10" t="n">
        <f aca="false">BU85</f>
        <v>-128972.73899214</v>
      </c>
      <c r="BV94" s="10" t="n">
        <f aca="false">BV85</f>
        <v>-203612.73899214</v>
      </c>
      <c r="BW94" s="10" t="n">
        <f aca="false">BW85</f>
        <v>-131552.193771983</v>
      </c>
      <c r="BX94" s="10" t="n">
        <f aca="false">BX85</f>
        <v>-131552.193771983</v>
      </c>
      <c r="BY94" s="10" t="n">
        <f aca="false">BY85</f>
        <v>-279348.193771983</v>
      </c>
      <c r="BZ94" s="10" t="n">
        <f aca="false">BZ85</f>
        <v>-157453.929415055</v>
      </c>
      <c r="CA94" s="10" t="n">
        <f aca="false">CA85</f>
        <v>-131552.193771983</v>
      </c>
      <c r="CB94" s="10" t="n">
        <f aca="false">CB85</f>
        <v>-286070.193771983</v>
      </c>
      <c r="CC94" s="10" t="n">
        <f aca="false">CC85</f>
        <v>-131552.193771983</v>
      </c>
      <c r="CD94" s="10" t="n">
        <f aca="false">CD85</f>
        <v>-131552.193771983</v>
      </c>
      <c r="CE94" s="10" t="n">
        <f aca="false">CE85</f>
        <v>-309718.604576527</v>
      </c>
      <c r="CF94" s="10" t="n">
        <f aca="false">CF85</f>
        <v>-131552.193771983</v>
      </c>
      <c r="CG94" s="10" t="n">
        <f aca="false">CG85</f>
        <v>-131552.193771983</v>
      </c>
      <c r="CH94" s="10" t="n">
        <f aca="false">CH85</f>
        <v>-279461.167165504</v>
      </c>
      <c r="CI94" s="25"/>
    </row>
    <row r="95" customFormat="false" ht="15" hidden="false" customHeight="true" outlineLevel="0" collapsed="false">
      <c r="A95" s="11" t="s">
        <v>127</v>
      </c>
      <c r="B95" s="30"/>
      <c r="C95" s="12" t="n">
        <f aca="false">C93+C94</f>
        <v>-427073.281666667</v>
      </c>
      <c r="D95" s="12" t="n">
        <f aca="false">D93+D94</f>
        <v>-469304.531666667</v>
      </c>
      <c r="E95" s="12" t="n">
        <f aca="false">E93+E94</f>
        <v>-504254.531666667</v>
      </c>
      <c r="F95" s="12" t="n">
        <f aca="false">F93+F94</f>
        <v>-845221.046866667</v>
      </c>
      <c r="G95" s="12" t="n">
        <f aca="false">G93+G94</f>
        <v>-504254.531666667</v>
      </c>
      <c r="H95" s="12" t="n">
        <f aca="false">H93+H94</f>
        <v>-504254.531666667</v>
      </c>
      <c r="I95" s="12" t="n">
        <f aca="false">I93+I94</f>
        <v>-722337.378666667</v>
      </c>
      <c r="J95" s="12" t="n">
        <f aca="false">J93+J94</f>
        <v>-661603.728666667</v>
      </c>
      <c r="K95" s="12" t="n">
        <f aca="false">K93+K94</f>
        <v>-525254.531666667</v>
      </c>
      <c r="L95" s="12" t="n">
        <f aca="false">L93+L94</f>
        <v>-504254.531666667</v>
      </c>
      <c r="M95" s="12" t="n">
        <f aca="false">M93+M94</f>
        <v>-504254.531666667</v>
      </c>
      <c r="N95" s="12" t="n">
        <f aca="false">N93+N94</f>
        <v>-504254.531666667</v>
      </c>
      <c r="O95" s="12" t="n">
        <f aca="false">O93+O94</f>
        <v>-1980364.8273</v>
      </c>
      <c r="P95" s="12" t="n">
        <f aca="false">P93+P94</f>
        <v>-509194.8023</v>
      </c>
      <c r="Q95" s="12" t="n">
        <f aca="false">Q93+Q94</f>
        <v>-509194.8023</v>
      </c>
      <c r="R95" s="12" t="n">
        <f aca="false">R93+R94</f>
        <v>-532654.8023</v>
      </c>
      <c r="S95" s="12" t="n">
        <f aca="false">S93+S94</f>
        <v>-509194.8023</v>
      </c>
      <c r="T95" s="12" t="n">
        <f aca="false">T93+T94</f>
        <v>-509194.8023</v>
      </c>
      <c r="U95" s="12" t="n">
        <f aca="false">U93+U94</f>
        <v>-509194.8023</v>
      </c>
      <c r="V95" s="12" t="n">
        <f aca="false">V93+V94</f>
        <v>-509194.8023</v>
      </c>
      <c r="W95" s="12" t="n">
        <f aca="false">W93+W94</f>
        <v>-530614.8023</v>
      </c>
      <c r="X95" s="12" t="n">
        <f aca="false">X93+X94</f>
        <v>-509194.8023</v>
      </c>
      <c r="Y95" s="12" t="n">
        <f aca="false">Y93+Y94</f>
        <v>-509194.8023</v>
      </c>
      <c r="Z95" s="12" t="n">
        <f aca="false">Z93+Z94</f>
        <v>-509194.8023</v>
      </c>
      <c r="AA95" s="12" t="n">
        <f aca="false">AA93+AA94</f>
        <v>-514233.878346</v>
      </c>
      <c r="AB95" s="12" t="n">
        <f aca="false">AB93+AB94</f>
        <v>-514233.878346</v>
      </c>
      <c r="AC95" s="12" t="n">
        <f aca="false">AC93+AC94</f>
        <v>-1858259.418346</v>
      </c>
      <c r="AD95" s="12" t="n">
        <f aca="false">AD93+AD94</f>
        <v>-538163.078346</v>
      </c>
      <c r="AE95" s="12" t="n">
        <f aca="false">AE93+AE94</f>
        <v>-514233.878346</v>
      </c>
      <c r="AF95" s="12" t="n">
        <f aca="false">AF93+AF94</f>
        <v>-514233.878346</v>
      </c>
      <c r="AG95" s="12" t="n">
        <f aca="false">AG93+AG94</f>
        <v>-514233.878346</v>
      </c>
      <c r="AH95" s="12" t="n">
        <f aca="false">AH93+AH94</f>
        <v>-514233.878346</v>
      </c>
      <c r="AI95" s="12" t="n">
        <f aca="false">AI93+AI94</f>
        <v>-536082.278346</v>
      </c>
      <c r="AJ95" s="12" t="n">
        <f aca="false">AJ93+AJ94</f>
        <v>-514233.878346</v>
      </c>
      <c r="AK95" s="12" t="n">
        <f aca="false">AK93+AK94</f>
        <v>-514233.878346</v>
      </c>
      <c r="AL95" s="12" t="n">
        <f aca="false">AL93+AL94</f>
        <v>-514233.878346</v>
      </c>
      <c r="AM95" s="12" t="n">
        <f aca="false">AM93+AM94</f>
        <v>-519373.73591292</v>
      </c>
      <c r="AN95" s="12" t="n">
        <f aca="false">AN93+AN94</f>
        <v>-519373.73591292</v>
      </c>
      <c r="AO95" s="12" t="n">
        <f aca="false">AO93+AO94</f>
        <v>-519373.73591292</v>
      </c>
      <c r="AP95" s="12" t="n">
        <f aca="false">AP93+AP94</f>
        <v>-543781.51991292</v>
      </c>
      <c r="AQ95" s="12" t="n">
        <f aca="false">AQ93+AQ94</f>
        <v>-519373.73591292</v>
      </c>
      <c r="AR95" s="12" t="n">
        <f aca="false">AR93+AR94</f>
        <v>-601056.73591292</v>
      </c>
      <c r="AS95" s="12" t="n">
        <f aca="false">AS93+AS94</f>
        <v>-519373.73591292</v>
      </c>
      <c r="AT95" s="12" t="n">
        <f aca="false">AT93+AT94</f>
        <v>-519373.73591292</v>
      </c>
      <c r="AU95" s="12" t="n">
        <f aca="false">AU93+AU94</f>
        <v>-623341.10391292</v>
      </c>
      <c r="AV95" s="12" t="n">
        <f aca="false">AV93+AV94</f>
        <v>-519373.73591292</v>
      </c>
      <c r="AW95" s="12" t="n">
        <f aca="false">AW93+AW94</f>
        <v>-519373.73591292</v>
      </c>
      <c r="AX95" s="12" t="n">
        <f aca="false">AX93+AX94</f>
        <v>-601055.73591292</v>
      </c>
      <c r="AY95" s="12" t="n">
        <f aca="false">AY93+AY94</f>
        <v>-524616.390631178</v>
      </c>
      <c r="AZ95" s="12" t="n">
        <f aca="false">AZ93+AZ94</f>
        <v>-524616.390631178</v>
      </c>
      <c r="BA95" s="12" t="n">
        <f aca="false">BA93+BA94</f>
        <v>-1458137.39063118</v>
      </c>
      <c r="BB95" s="12" t="n">
        <f aca="false">BB93+BB94</f>
        <v>-549512.330311179</v>
      </c>
      <c r="BC95" s="12" t="n">
        <f aca="false">BC93+BC94</f>
        <v>-524616.390631178</v>
      </c>
      <c r="BD95" s="12" t="n">
        <f aca="false">BD93+BD94</f>
        <v>-655494.390631178</v>
      </c>
      <c r="BE95" s="12" t="n">
        <f aca="false">BE93+BE94</f>
        <v>-524616.390631178</v>
      </c>
      <c r="BF95" s="12" t="n">
        <f aca="false">BF93+BF94</f>
        <v>-524616.390631178</v>
      </c>
      <c r="BG95" s="12" t="n">
        <f aca="false">BG93+BG94</f>
        <v>-678223.465991179</v>
      </c>
      <c r="BH95" s="12" t="n">
        <f aca="false">BH93+BH94</f>
        <v>-524616.390631178</v>
      </c>
      <c r="BI95" s="12" t="n">
        <f aca="false">BI93+BI94</f>
        <v>-524616.390631178</v>
      </c>
      <c r="BJ95" s="12" t="n">
        <f aca="false">BJ93+BJ94</f>
        <v>-655492.390631178</v>
      </c>
      <c r="BK95" s="12" t="n">
        <f aca="false">BK93+BK94</f>
        <v>-529963.898443802</v>
      </c>
      <c r="BL95" s="12" t="n">
        <f aca="false">BL93+BL94</f>
        <v>-529963.898443802</v>
      </c>
      <c r="BM95" s="12" t="n">
        <f aca="false">BM93+BM94</f>
        <v>-660839.898443802</v>
      </c>
      <c r="BN95" s="12" t="n">
        <f aca="false">BN93+BN94</f>
        <v>-555357.756917402</v>
      </c>
      <c r="BO95" s="12" t="n">
        <f aca="false">BO93+BO94</f>
        <v>-529963.898443802</v>
      </c>
      <c r="BP95" s="12" t="n">
        <f aca="false">BP93+BP94</f>
        <v>-620856.378443802</v>
      </c>
      <c r="BQ95" s="12" t="n">
        <f aca="false">BQ93+BQ94</f>
        <v>-529963.898443802</v>
      </c>
      <c r="BR95" s="12" t="n">
        <f aca="false">BR93+BR94</f>
        <v>-529963.898443802</v>
      </c>
      <c r="BS95" s="12" t="n">
        <f aca="false">BS93+BS94</f>
        <v>-627789.595311002</v>
      </c>
      <c r="BT95" s="12" t="n">
        <f aca="false">BT93+BT94</f>
        <v>-529963.898443802</v>
      </c>
      <c r="BU95" s="12" t="n">
        <f aca="false">BU93+BU94</f>
        <v>-529963.898443802</v>
      </c>
      <c r="BV95" s="12" t="n">
        <f aca="false">BV93+BV94</f>
        <v>-604603.898443802</v>
      </c>
      <c r="BW95" s="12" t="n">
        <f aca="false">BW93+BW94</f>
        <v>-535418.356412678</v>
      </c>
      <c r="BX95" s="12" t="n">
        <f aca="false">BX93+BX94</f>
        <v>-535418.356412678</v>
      </c>
      <c r="BY95" s="12" t="n">
        <f aca="false">BY93+BY94</f>
        <v>-683214.356412678</v>
      </c>
      <c r="BZ95" s="12" t="n">
        <f aca="false">BZ93+BZ94</f>
        <v>-561320.09205575</v>
      </c>
      <c r="CA95" s="12" t="n">
        <f aca="false">CA93+CA94</f>
        <v>-535418.356412678</v>
      </c>
      <c r="CB95" s="12" t="n">
        <f aca="false">CB93+CB94</f>
        <v>-689936.356412678</v>
      </c>
      <c r="CC95" s="12" t="n">
        <f aca="false">CC93+CC94</f>
        <v>-535418.356412678</v>
      </c>
      <c r="CD95" s="12" t="n">
        <f aca="false">CD93+CD94</f>
        <v>-535418.356412678</v>
      </c>
      <c r="CE95" s="12" t="n">
        <f aca="false">CE93+CE94</f>
        <v>-713584.767217222</v>
      </c>
      <c r="CF95" s="12" t="n">
        <f aca="false">CF93+CF94</f>
        <v>-535418.356412678</v>
      </c>
      <c r="CG95" s="12" t="n">
        <f aca="false">CG93+CG94</f>
        <v>-535418.356412678</v>
      </c>
      <c r="CH95" s="12" t="n">
        <f aca="false">CH93+CH94</f>
        <v>-683327.329806199</v>
      </c>
      <c r="CI95" s="25"/>
    </row>
    <row r="96" customFormat="false" ht="15" hidden="false" customHeight="true" outlineLevel="0" collapsed="false">
      <c r="A96" s="15" t="s">
        <v>26</v>
      </c>
      <c r="B96" s="31"/>
      <c r="C96" s="16" t="n">
        <f aca="false">C92+C95</f>
        <v>11987.2053453691</v>
      </c>
      <c r="D96" s="16" t="n">
        <f aca="false">D92+D95</f>
        <v>-20527.7097184522</v>
      </c>
      <c r="E96" s="16" t="n">
        <f aca="false">E92+E95</f>
        <v>-48197.6356971138</v>
      </c>
      <c r="F96" s="16" t="n">
        <f aca="false">F92+F95</f>
        <v>388802.424263044</v>
      </c>
      <c r="G96" s="16" t="n">
        <f aca="false">G92+G95</f>
        <v>93889.0899820866</v>
      </c>
      <c r="H96" s="16" t="n">
        <f aca="false">H92+H95</f>
        <v>98703.688385565</v>
      </c>
      <c r="I96" s="16" t="n">
        <f aca="false">I92+I95</f>
        <v>430488.877044303</v>
      </c>
      <c r="J96" s="16" t="n">
        <f aca="false">J92+J95</f>
        <v>469463.758495962</v>
      </c>
      <c r="K96" s="16" t="n">
        <f aca="false">K92+K95</f>
        <v>226635.647009541</v>
      </c>
      <c r="L96" s="16" t="n">
        <f aca="false">L92+L95</f>
        <v>268854.936567418</v>
      </c>
      <c r="M96" s="16" t="n">
        <f aca="false">M92+M95</f>
        <v>275354.848004482</v>
      </c>
      <c r="N96" s="16" t="n">
        <f aca="false">N92+N95</f>
        <v>279106.118004945</v>
      </c>
      <c r="O96" s="16" t="n">
        <f aca="false">O92+O95</f>
        <v>-390383.786569663</v>
      </c>
      <c r="P96" s="16" t="n">
        <f aca="false">P92+P95</f>
        <v>404540.603306424</v>
      </c>
      <c r="Q96" s="16" t="n">
        <f aca="false">Q92+Q95</f>
        <v>547321.05647069</v>
      </c>
      <c r="R96" s="16" t="n">
        <f aca="false">R92+R95</f>
        <v>327585.421361529</v>
      </c>
      <c r="S96" s="16" t="n">
        <f aca="false">S92+S95</f>
        <v>180747.643395964</v>
      </c>
      <c r="T96" s="16" t="n">
        <f aca="false">T92+T95</f>
        <v>197148.669979701</v>
      </c>
      <c r="U96" s="16" t="n">
        <f aca="false">U92+U95</f>
        <v>231221.075369931</v>
      </c>
      <c r="V96" s="16" t="n">
        <f aca="false">V92+V95</f>
        <v>200901.096410271</v>
      </c>
      <c r="W96" s="16" t="n">
        <f aca="false">W92+W95</f>
        <v>242405.776963201</v>
      </c>
      <c r="X96" s="16" t="n">
        <f aca="false">X92+X95</f>
        <v>209282.700086128</v>
      </c>
      <c r="Y96" s="16" t="n">
        <f aca="false">Y92+Y95</f>
        <v>210190.204487684</v>
      </c>
      <c r="Z96" s="16" t="n">
        <f aca="false">Z92+Z95</f>
        <v>267323.359344448</v>
      </c>
      <c r="AA96" s="16" t="n">
        <f aca="false">AA92+AA95</f>
        <v>281618.073524959</v>
      </c>
      <c r="AB96" s="16" t="n">
        <f aca="false">AB92+AB95</f>
        <v>146145.228473004</v>
      </c>
      <c r="AC96" s="16" t="n">
        <f aca="false">AC92+AC95</f>
        <v>-393185.928880972</v>
      </c>
      <c r="AD96" s="16" t="n">
        <f aca="false">AD92+AD95</f>
        <v>154240.443333576</v>
      </c>
      <c r="AE96" s="16" t="n">
        <f aca="false">AE92+AE95</f>
        <v>180783.251445913</v>
      </c>
      <c r="AF96" s="16" t="n">
        <f aca="false">AF92+AF95</f>
        <v>182580.758776833</v>
      </c>
      <c r="AG96" s="16" t="n">
        <f aca="false">AG92+AG95</f>
        <v>294897.814806735</v>
      </c>
      <c r="AH96" s="16" t="n">
        <f aca="false">AH92+AH95</f>
        <v>119667.780275331</v>
      </c>
      <c r="AI96" s="16" t="n">
        <f aca="false">AI92+AI95</f>
        <v>358039.992460854</v>
      </c>
      <c r="AJ96" s="16" t="n">
        <f aca="false">AJ92+AJ95</f>
        <v>29639.0297198995</v>
      </c>
      <c r="AK96" s="16" t="n">
        <f aca="false">AK92+AK95</f>
        <v>11228.4506102722</v>
      </c>
      <c r="AL96" s="16" t="n">
        <f aca="false">AL92+AL95</f>
        <v>82227.1618935067</v>
      </c>
      <c r="AM96" s="16" t="n">
        <f aca="false">AM92+AM95</f>
        <v>-75296.9293152636</v>
      </c>
      <c r="AN96" s="16" t="n">
        <f aca="false">AN92+AN95</f>
        <v>-93962.6114060234</v>
      </c>
      <c r="AO96" s="16" t="n">
        <f aca="false">AO92+AO95</f>
        <v>-113297.083620754</v>
      </c>
      <c r="AP96" s="16" t="n">
        <f aca="false">AP92+AP95</f>
        <v>-157679.946734179</v>
      </c>
      <c r="AQ96" s="16" t="n">
        <f aca="false">AQ92+AQ95</f>
        <v>-153849.795381616</v>
      </c>
      <c r="AR96" s="16" t="n">
        <f aca="false">AR92+AR95</f>
        <v>82214.0708358111</v>
      </c>
      <c r="AS96" s="16" t="n">
        <f aca="false">AS92+AS95</f>
        <v>-250956.01801061</v>
      </c>
      <c r="AT96" s="16" t="n">
        <f aca="false">AT92+AT95</f>
        <v>-269250.264774896</v>
      </c>
      <c r="AU96" s="16" t="n">
        <f aca="false">AU92+AU95</f>
        <v>-326701.360583039</v>
      </c>
      <c r="AV96" s="16" t="n">
        <f aca="false">AV92+AV95</f>
        <v>-308161.538912182</v>
      </c>
      <c r="AW96" s="16" t="n">
        <f aca="false">AW92+AW95</f>
        <v>-312540.401577968</v>
      </c>
      <c r="AX96" s="16" t="n">
        <f aca="false">AX92+AX95</f>
        <v>-317447.328611468</v>
      </c>
      <c r="AY96" s="16" t="n">
        <f aca="false">AY92+AY95</f>
        <v>-328006.367900512</v>
      </c>
      <c r="AZ96" s="16" t="n">
        <f aca="false">AZ92+AZ95</f>
        <v>-333615.490901226</v>
      </c>
      <c r="BA96" s="16" t="n">
        <f aca="false">BA92+BA95</f>
        <v>-339394.899655297</v>
      </c>
      <c r="BB96" s="16" t="n">
        <f aca="false">BB92+BB95</f>
        <v>-370125.73445844</v>
      </c>
      <c r="BC96" s="16" t="n">
        <f aca="false">BC92+BC95</f>
        <v>-351014.943501726</v>
      </c>
      <c r="BD96" s="16" t="n">
        <f aca="false">BD92+BD95</f>
        <v>-356654.679671583</v>
      </c>
      <c r="BE96" s="16" t="n">
        <f aca="false">BE92+BE95</f>
        <v>-362070.557042083</v>
      </c>
      <c r="BF96" s="16" t="n">
        <f aca="false">BF92+BF95</f>
        <v>-132226.109305726</v>
      </c>
      <c r="BG96" s="16" t="n">
        <f aca="false">BG92+BG95</f>
        <v>-506270.224391179</v>
      </c>
      <c r="BH96" s="16" t="n">
        <f aca="false">BH92+BH95</f>
        <v>-454838.905831178</v>
      </c>
      <c r="BI96" s="16" t="n">
        <f aca="false">BI92+BI95</f>
        <v>-455339.456231178</v>
      </c>
      <c r="BJ96" s="16" t="n">
        <f aca="false">BJ92+BJ95</f>
        <v>-388064.717031178</v>
      </c>
      <c r="BK96" s="16" t="n">
        <f aca="false">BK92+BK95</f>
        <v>-529963.898443802</v>
      </c>
      <c r="BL96" s="16" t="n">
        <f aca="false">BL92+BL95</f>
        <v>-529963.898443802</v>
      </c>
      <c r="BM96" s="16" t="n">
        <f aca="false">BM92+BM95</f>
        <v>-529963.898443802</v>
      </c>
      <c r="BN96" s="16" t="n">
        <f aca="false">BN92+BN95</f>
        <v>-555357.756917402</v>
      </c>
      <c r="BO96" s="16" t="n">
        <f aca="false">BO92+BO95</f>
        <v>-529963.898443802</v>
      </c>
      <c r="BP96" s="16" t="n">
        <f aca="false">BP92+BP95</f>
        <v>-478450.378443802</v>
      </c>
      <c r="BQ96" s="16" t="n">
        <f aca="false">BQ92+BQ95</f>
        <v>-529963.898443802</v>
      </c>
      <c r="BR96" s="16" t="n">
        <f aca="false">BR92+BR95</f>
        <v>-529963.898443802</v>
      </c>
      <c r="BS96" s="16" t="n">
        <f aca="false">BS92+BS95</f>
        <v>-485387.595311002</v>
      </c>
      <c r="BT96" s="16" t="n">
        <f aca="false">BT92+BT95</f>
        <v>-529963.898443802</v>
      </c>
      <c r="BU96" s="16" t="n">
        <f aca="false">BU92+BU95</f>
        <v>-529963.898443802</v>
      </c>
      <c r="BV96" s="16" t="n">
        <f aca="false">BV92+BV95</f>
        <v>-462201.898443802</v>
      </c>
      <c r="BW96" s="16" t="n">
        <f aca="false">BW92+BW95</f>
        <v>-535418.356412678</v>
      </c>
      <c r="BX96" s="16" t="n">
        <f aca="false">BX92+BX95</f>
        <v>-535418.356412678</v>
      </c>
      <c r="BY96" s="16" t="n">
        <f aca="false">BY92+BY95</f>
        <v>-467656.356412678</v>
      </c>
      <c r="BZ96" s="16" t="n">
        <f aca="false">BZ92+BZ95</f>
        <v>-561320.09205575</v>
      </c>
      <c r="CA96" s="16" t="n">
        <f aca="false">CA92+CA95</f>
        <v>-535418.356412678</v>
      </c>
      <c r="CB96" s="16" t="n">
        <f aca="false">CB92+CB95</f>
        <v>-458919.356412678</v>
      </c>
      <c r="CC96" s="16" t="n">
        <f aca="false">CC92+CC95</f>
        <v>-535418.356412678</v>
      </c>
      <c r="CD96" s="16" t="n">
        <f aca="false">CD92+CD95</f>
        <v>-535418.356412678</v>
      </c>
      <c r="CE96" s="16" t="n">
        <f aca="false">CE92+CE95</f>
        <v>-482568.767217222</v>
      </c>
      <c r="CF96" s="16" t="n">
        <f aca="false">CF92+CF95</f>
        <v>-535418.356412678</v>
      </c>
      <c r="CG96" s="16" t="n">
        <f aca="false">CG92+CG95</f>
        <v>-535418.356412678</v>
      </c>
      <c r="CH96" s="16" t="n">
        <f aca="false">CH92+CH95</f>
        <v>-452311.329806199</v>
      </c>
      <c r="CI96" s="25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5"/>
    </row>
    <row r="98" customFormat="false" ht="15" hidden="false" customHeight="true" outlineLevel="0" collapsed="false">
      <c r="A98" s="28" t="s">
        <v>128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Assumptions!$B$33</f>
        <v>1615485</v>
      </c>
      <c r="D99" s="10" t="n">
        <f aca="false">C102</f>
        <v>1615485</v>
      </c>
      <c r="E99" s="10" t="n">
        <f aca="false">D102</f>
        <v>1615485</v>
      </c>
      <c r="F99" s="10" t="n">
        <f aca="false">E102</f>
        <v>1676065.6875</v>
      </c>
      <c r="G99" s="10" t="n">
        <f aca="false">F102</f>
        <v>1676065.6875</v>
      </c>
      <c r="H99" s="10" t="n">
        <f aca="false">G102</f>
        <v>1676065.6875</v>
      </c>
      <c r="I99" s="10" t="n">
        <f aca="false">H102</f>
        <v>1738918.15078125</v>
      </c>
      <c r="J99" s="10" t="n">
        <f aca="false">I102</f>
        <v>1608918.15078125</v>
      </c>
      <c r="K99" s="10" t="n">
        <f aca="false">J102</f>
        <v>1478918.15078125</v>
      </c>
      <c r="L99" s="10" t="n">
        <f aca="false">K102</f>
        <v>1404377.58143555</v>
      </c>
      <c r="M99" s="10" t="n">
        <f aca="false">L102</f>
        <v>1274377.58143555</v>
      </c>
      <c r="N99" s="10" t="n">
        <f aca="false">M102</f>
        <v>1144377.58143555</v>
      </c>
      <c r="O99" s="10" t="n">
        <f aca="false">N102</f>
        <v>1057291.74073938</v>
      </c>
      <c r="P99" s="10" t="n">
        <f aca="false">O102</f>
        <v>927291.74073938</v>
      </c>
      <c r="Q99" s="10" t="n">
        <f aca="false">P102</f>
        <v>797291.74073938</v>
      </c>
      <c r="R99" s="10" t="n">
        <f aca="false">Q102</f>
        <v>697190.181017107</v>
      </c>
      <c r="S99" s="10" t="n">
        <f aca="false">R102</f>
        <v>567190.181017107</v>
      </c>
      <c r="T99" s="10" t="n">
        <f aca="false">S102</f>
        <v>437190.181017107</v>
      </c>
      <c r="U99" s="10" t="n">
        <f aca="false">T102</f>
        <v>323584.812805248</v>
      </c>
      <c r="V99" s="10" t="n">
        <f aca="false">U102</f>
        <v>193584.812805248</v>
      </c>
      <c r="W99" s="10" t="n">
        <f aca="false">V102</f>
        <v>63584.8128052483</v>
      </c>
      <c r="X99" s="10" t="n">
        <f aca="false">W102</f>
        <v>0</v>
      </c>
      <c r="Y99" s="10" t="n">
        <f aca="false">X102</f>
        <v>0</v>
      </c>
      <c r="Z99" s="10" t="n">
        <f aca="false">Y102</f>
        <v>0</v>
      </c>
      <c r="AA99" s="10" t="n">
        <f aca="false">Z102</f>
        <v>0</v>
      </c>
      <c r="AB99" s="10" t="n">
        <f aca="false">AA102</f>
        <v>0</v>
      </c>
      <c r="AC99" s="10" t="n">
        <f aca="false">AB102</f>
        <v>0</v>
      </c>
      <c r="AD99" s="10" t="n">
        <f aca="false">AC102</f>
        <v>0</v>
      </c>
      <c r="AE99" s="10" t="n">
        <f aca="false">AD102</f>
        <v>0</v>
      </c>
      <c r="AF99" s="10" t="n">
        <f aca="false">AE102</f>
        <v>0</v>
      </c>
      <c r="AG99" s="10" t="n">
        <f aca="false">AF102</f>
        <v>0</v>
      </c>
      <c r="AH99" s="10" t="n">
        <f aca="false">AG102</f>
        <v>0</v>
      </c>
      <c r="AI99" s="10" t="n">
        <f aca="false">AH102</f>
        <v>0</v>
      </c>
      <c r="AJ99" s="10" t="n">
        <f aca="false">AI102</f>
        <v>0</v>
      </c>
      <c r="AK99" s="10" t="n">
        <f aca="false">AJ102</f>
        <v>0</v>
      </c>
      <c r="AL99" s="10" t="n">
        <f aca="false">AK102</f>
        <v>0</v>
      </c>
      <c r="AM99" s="10" t="n">
        <f aca="false">AL102</f>
        <v>0</v>
      </c>
      <c r="AN99" s="10" t="n">
        <f aca="false">AM102</f>
        <v>0</v>
      </c>
      <c r="AO99" s="10" t="n">
        <f aca="false">AN102</f>
        <v>0</v>
      </c>
      <c r="AP99" s="10" t="n">
        <f aca="false">AO102</f>
        <v>0</v>
      </c>
      <c r="AQ99" s="10" t="n">
        <f aca="false">AP102</f>
        <v>0</v>
      </c>
      <c r="AR99" s="10" t="n">
        <f aca="false">AQ102</f>
        <v>0</v>
      </c>
      <c r="AS99" s="10" t="n">
        <f aca="false">AR102</f>
        <v>0</v>
      </c>
      <c r="AT99" s="10" t="n">
        <f aca="false">AS102</f>
        <v>0</v>
      </c>
      <c r="AU99" s="10" t="n">
        <f aca="false">AT102</f>
        <v>0</v>
      </c>
      <c r="AV99" s="10" t="n">
        <f aca="false">AU102</f>
        <v>0</v>
      </c>
      <c r="AW99" s="10" t="n">
        <f aca="false">AV102</f>
        <v>0</v>
      </c>
      <c r="AX99" s="10" t="n">
        <f aca="false">AW102</f>
        <v>0</v>
      </c>
      <c r="AY99" s="10" t="n">
        <f aca="false">AX102</f>
        <v>0</v>
      </c>
      <c r="AZ99" s="10" t="n">
        <f aca="false">AY102</f>
        <v>0</v>
      </c>
      <c r="BA99" s="10" t="n">
        <f aca="false">AZ102</f>
        <v>0</v>
      </c>
      <c r="BB99" s="10" t="n">
        <f aca="false">BA102</f>
        <v>0</v>
      </c>
      <c r="BC99" s="10" t="n">
        <f aca="false">BB102</f>
        <v>0</v>
      </c>
      <c r="BD99" s="10" t="n">
        <f aca="false">BC102</f>
        <v>0</v>
      </c>
      <c r="BE99" s="10" t="n">
        <f aca="false">BD102</f>
        <v>0</v>
      </c>
      <c r="BF99" s="10" t="n">
        <f aca="false">BE102</f>
        <v>0</v>
      </c>
      <c r="BG99" s="10" t="n">
        <f aca="false">BF102</f>
        <v>0</v>
      </c>
      <c r="BH99" s="10" t="n">
        <f aca="false">BG102</f>
        <v>0</v>
      </c>
      <c r="BI99" s="10" t="n">
        <f aca="false">BH102</f>
        <v>0</v>
      </c>
      <c r="BJ99" s="10" t="n">
        <f aca="false">BI102</f>
        <v>0</v>
      </c>
      <c r="BK99" s="10" t="n">
        <f aca="false">BJ102</f>
        <v>0</v>
      </c>
      <c r="BL99" s="10" t="n">
        <f aca="false">BK102</f>
        <v>0</v>
      </c>
      <c r="BM99" s="10" t="n">
        <f aca="false">BL102</f>
        <v>0</v>
      </c>
      <c r="BN99" s="10" t="n">
        <f aca="false">BM102</f>
        <v>0</v>
      </c>
      <c r="BO99" s="10" t="n">
        <f aca="false">BN102</f>
        <v>0</v>
      </c>
      <c r="BP99" s="10" t="n">
        <f aca="false">BO102</f>
        <v>0</v>
      </c>
      <c r="BQ99" s="10" t="n">
        <f aca="false">BP102</f>
        <v>0</v>
      </c>
      <c r="BR99" s="10" t="n">
        <f aca="false">BQ102</f>
        <v>0</v>
      </c>
      <c r="BS99" s="10" t="n">
        <f aca="false">BR102</f>
        <v>0</v>
      </c>
      <c r="BT99" s="10" t="n">
        <f aca="false">BS102</f>
        <v>0</v>
      </c>
      <c r="BU99" s="10" t="n">
        <f aca="false">BT102</f>
        <v>0</v>
      </c>
      <c r="BV99" s="10" t="n">
        <f aca="false">BU102</f>
        <v>0</v>
      </c>
      <c r="BW99" s="10" t="n">
        <f aca="false">BV102</f>
        <v>0</v>
      </c>
      <c r="BX99" s="10" t="n">
        <f aca="false">BW102</f>
        <v>0</v>
      </c>
      <c r="BY99" s="10" t="n">
        <f aca="false">BX102</f>
        <v>0</v>
      </c>
      <c r="BZ99" s="10" t="n">
        <f aca="false">BY102</f>
        <v>0</v>
      </c>
      <c r="CA99" s="10" t="n">
        <f aca="false">BZ102</f>
        <v>0</v>
      </c>
      <c r="CB99" s="10" t="n">
        <f aca="false">CA102</f>
        <v>0</v>
      </c>
      <c r="CC99" s="10" t="n">
        <f aca="false">CB102</f>
        <v>0</v>
      </c>
      <c r="CD99" s="10" t="n">
        <f aca="false">CC102</f>
        <v>0</v>
      </c>
      <c r="CE99" s="10" t="n">
        <f aca="false">CD102</f>
        <v>0</v>
      </c>
      <c r="CF99" s="10" t="n">
        <f aca="false">CE102</f>
        <v>0</v>
      </c>
      <c r="CG99" s="10" t="n">
        <f aca="false">CF102</f>
        <v>0</v>
      </c>
      <c r="CH99" s="10" t="n">
        <f aca="false">CG102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IF(AND(MOD(1,3)=0,C99&gt;0),C99*Assumptions!$B$35,0)</f>
        <v>0</v>
      </c>
      <c r="D100" s="10" t="n">
        <f aca="false">IF(AND(MOD(2,3)=0,D99&gt;0),D99*Assumptions!$B$35,0)</f>
        <v>0</v>
      </c>
      <c r="E100" s="10" t="n">
        <f aca="false">IF(AND(MOD(3,3)=0,E99&gt;0),E99*Assumptions!$B$35,0)</f>
        <v>60580.6875</v>
      </c>
      <c r="F100" s="10" t="n">
        <f aca="false">IF(AND(MOD(4,3)=0,F99&gt;0),F99*Assumptions!$B$35,0)</f>
        <v>0</v>
      </c>
      <c r="G100" s="10" t="n">
        <f aca="false">IF(AND(MOD(5,3)=0,G99&gt;0),G99*Assumptions!$B$35,0)</f>
        <v>0</v>
      </c>
      <c r="H100" s="10" t="n">
        <f aca="false">IF(AND(MOD(6,3)=0,H99&gt;0),H99*Assumptions!$B$35,0)</f>
        <v>62852.46328125</v>
      </c>
      <c r="I100" s="10" t="n">
        <f aca="false">IF(AND(MOD(7,3)=0,I99&gt;0),I99*Assumptions!$B$35,0)</f>
        <v>0</v>
      </c>
      <c r="J100" s="10" t="n">
        <f aca="false">IF(AND(MOD(8,3)=0,J99&gt;0),J99*Assumptions!$B$35,0)</f>
        <v>0</v>
      </c>
      <c r="K100" s="10" t="n">
        <f aca="false">IF(AND(MOD(9,3)=0,K99&gt;0),K99*Assumptions!$B$35,0)</f>
        <v>55459.4306542969</v>
      </c>
      <c r="L100" s="10" t="n">
        <f aca="false">IF(AND(MOD(10,3)=0,L99&gt;0),L99*Assumptions!$B$35,0)</f>
        <v>0</v>
      </c>
      <c r="M100" s="10" t="n">
        <f aca="false">IF(AND(MOD(11,3)=0,M99&gt;0),M99*Assumptions!$B$35,0)</f>
        <v>0</v>
      </c>
      <c r="N100" s="10" t="n">
        <f aca="false">IF(AND(MOD(12,3)=0,N99&gt;0),N99*Assumptions!$B$35,0)</f>
        <v>42914.159303833</v>
      </c>
      <c r="O100" s="10" t="n">
        <f aca="false">IF(AND(MOD(13,3)=0,O99&gt;0),O99*Assumptions!$B$35,0)</f>
        <v>0</v>
      </c>
      <c r="P100" s="10" t="n">
        <f aca="false">IF(AND(MOD(14,3)=0,P99&gt;0),P99*Assumptions!$B$35,0)</f>
        <v>0</v>
      </c>
      <c r="Q100" s="10" t="n">
        <f aca="false">IF(AND(MOD(15,3)=0,Q99&gt;0),Q99*Assumptions!$B$35,0)</f>
        <v>29898.4402777268</v>
      </c>
      <c r="R100" s="10" t="n">
        <f aca="false">IF(AND(MOD(16,3)=0,R99&gt;0),R99*Assumptions!$B$35,0)</f>
        <v>0</v>
      </c>
      <c r="S100" s="10" t="n">
        <f aca="false">IF(AND(MOD(17,3)=0,S99&gt;0),S99*Assumptions!$B$35,0)</f>
        <v>0</v>
      </c>
      <c r="T100" s="10" t="n">
        <f aca="false">IF(AND(MOD(18,3)=0,T99&gt;0),T99*Assumptions!$B$35,0)</f>
        <v>16394.6317881415</v>
      </c>
      <c r="U100" s="10" t="n">
        <f aca="false">IF(AND(MOD(19,3)=0,U99&gt;0),U99*Assumptions!$B$35,0)</f>
        <v>0</v>
      </c>
      <c r="V100" s="10" t="n">
        <f aca="false">IF(AND(MOD(20,3)=0,V99&gt;0),V99*Assumptions!$B$35,0)</f>
        <v>0</v>
      </c>
      <c r="W100" s="10" t="n">
        <f aca="false">IF(AND(MOD(21,3)=0,W99&gt;0),W99*Assumptions!$B$35,0)</f>
        <v>2384.43048019681</v>
      </c>
      <c r="X100" s="10" t="n">
        <f aca="false">IF(AND(MOD(22,3)=0,X99&gt;0),X99*Assumptions!$B$35,0)</f>
        <v>0</v>
      </c>
      <c r="Y100" s="10" t="n">
        <f aca="false">IF(AND(MOD(23,3)=0,Y99&gt;0),Y99*Assumptions!$B$35,0)</f>
        <v>0</v>
      </c>
      <c r="Z100" s="10" t="n">
        <f aca="false">IF(AND(MOD(24,3)=0,Z99&gt;0),Z99*Assumptions!$B$35,0)</f>
        <v>0</v>
      </c>
      <c r="AA100" s="10" t="n">
        <f aca="false">IF(AND(MOD(25,3)=0,AA99&gt;0),AA99*Assumptions!$B$35,0)</f>
        <v>0</v>
      </c>
      <c r="AB100" s="10" t="n">
        <f aca="false">IF(AND(MOD(26,3)=0,AB99&gt;0),AB99*Assumptions!$B$35,0)</f>
        <v>0</v>
      </c>
      <c r="AC100" s="10" t="n">
        <f aca="false">IF(AND(MOD(27,3)=0,AC99&gt;0),AC99*Assumptions!$B$35,0)</f>
        <v>0</v>
      </c>
      <c r="AD100" s="10" t="n">
        <f aca="false">IF(AND(MOD(28,3)=0,AD99&gt;0),AD99*Assumptions!$B$35,0)</f>
        <v>0</v>
      </c>
      <c r="AE100" s="10" t="n">
        <f aca="false">IF(AND(MOD(29,3)=0,AE99&gt;0),AE99*Assumptions!$B$35,0)</f>
        <v>0</v>
      </c>
      <c r="AF100" s="10" t="n">
        <f aca="false">IF(AND(MOD(30,3)=0,AF99&gt;0),AF99*Assumptions!$B$35,0)</f>
        <v>0</v>
      </c>
      <c r="AG100" s="10" t="n">
        <f aca="false">IF(AND(MOD(31,3)=0,AG99&gt;0),AG99*Assumptions!$B$35,0)</f>
        <v>0</v>
      </c>
      <c r="AH100" s="10" t="n">
        <f aca="false">IF(AND(MOD(32,3)=0,AH99&gt;0),AH99*Assumptions!$B$35,0)</f>
        <v>0</v>
      </c>
      <c r="AI100" s="10" t="n">
        <f aca="false">IF(AND(MOD(33,3)=0,AI99&gt;0),AI99*Assumptions!$B$35,0)</f>
        <v>0</v>
      </c>
      <c r="AJ100" s="10" t="n">
        <f aca="false">IF(AND(MOD(34,3)=0,AJ99&gt;0),AJ99*Assumptions!$B$35,0)</f>
        <v>0</v>
      </c>
      <c r="AK100" s="10" t="n">
        <f aca="false">IF(AND(MOD(35,3)=0,AK99&gt;0),AK99*Assumptions!$B$35,0)</f>
        <v>0</v>
      </c>
      <c r="AL100" s="10" t="n">
        <f aca="false">IF(AND(MOD(36,3)=0,AL99&gt;0),AL99*Assumptions!$B$35,0)</f>
        <v>0</v>
      </c>
      <c r="AM100" s="10" t="n">
        <f aca="false">IF(AND(MOD(37,3)=0,AM99&gt;0),AM99*Assumptions!$B$35,0)</f>
        <v>0</v>
      </c>
      <c r="AN100" s="10" t="n">
        <f aca="false">IF(AND(MOD(38,3)=0,AN99&gt;0),AN99*Assumptions!$B$35,0)</f>
        <v>0</v>
      </c>
      <c r="AO100" s="10" t="n">
        <f aca="false">IF(AND(MOD(39,3)=0,AO99&gt;0),AO99*Assumptions!$B$35,0)</f>
        <v>0</v>
      </c>
      <c r="AP100" s="10" t="n">
        <f aca="false">IF(AND(MOD(40,3)=0,AP99&gt;0),AP99*Assumptions!$B$35,0)</f>
        <v>0</v>
      </c>
      <c r="AQ100" s="10" t="n">
        <f aca="false">IF(AND(MOD(41,3)=0,AQ99&gt;0),AQ99*Assumptions!$B$35,0)</f>
        <v>0</v>
      </c>
      <c r="AR100" s="10" t="n">
        <f aca="false">IF(AND(MOD(42,3)=0,AR99&gt;0),AR99*Assumptions!$B$35,0)</f>
        <v>0</v>
      </c>
      <c r="AS100" s="10" t="n">
        <f aca="false">IF(AND(MOD(43,3)=0,AS99&gt;0),AS99*Assumptions!$B$35,0)</f>
        <v>0</v>
      </c>
      <c r="AT100" s="10" t="n">
        <f aca="false">IF(AND(MOD(44,3)=0,AT99&gt;0),AT99*Assumptions!$B$35,0)</f>
        <v>0</v>
      </c>
      <c r="AU100" s="10" t="n">
        <f aca="false">IF(AND(MOD(45,3)=0,AU99&gt;0),AU99*Assumptions!$B$35,0)</f>
        <v>0</v>
      </c>
      <c r="AV100" s="10" t="n">
        <f aca="false">IF(AND(MOD(46,3)=0,AV99&gt;0),AV99*Assumptions!$B$35,0)</f>
        <v>0</v>
      </c>
      <c r="AW100" s="10" t="n">
        <f aca="false">IF(AND(MOD(47,3)=0,AW99&gt;0),AW99*Assumptions!$B$35,0)</f>
        <v>0</v>
      </c>
      <c r="AX100" s="10" t="n">
        <f aca="false">IF(AND(MOD(48,3)=0,AX99&gt;0),AX99*Assumptions!$B$35,0)</f>
        <v>0</v>
      </c>
      <c r="AY100" s="10" t="n">
        <f aca="false">IF(AND(MOD(49,3)=0,AY99&gt;0),AY99*Assumptions!$B$35,0)</f>
        <v>0</v>
      </c>
      <c r="AZ100" s="10" t="n">
        <f aca="false">IF(AND(MOD(50,3)=0,AZ99&gt;0),AZ99*Assumptions!$B$35,0)</f>
        <v>0</v>
      </c>
      <c r="BA100" s="10" t="n">
        <f aca="false">IF(AND(MOD(51,3)=0,BA99&gt;0),BA99*Assumptions!$B$35,0)</f>
        <v>0</v>
      </c>
      <c r="BB100" s="10" t="n">
        <f aca="false">IF(AND(MOD(52,3)=0,BB99&gt;0),BB99*Assumptions!$B$35,0)</f>
        <v>0</v>
      </c>
      <c r="BC100" s="10" t="n">
        <f aca="false">IF(AND(MOD(53,3)=0,BC99&gt;0),BC99*Assumptions!$B$35,0)</f>
        <v>0</v>
      </c>
      <c r="BD100" s="10" t="n">
        <f aca="false">IF(AND(MOD(54,3)=0,BD99&gt;0),BD99*Assumptions!$B$35,0)</f>
        <v>0</v>
      </c>
      <c r="BE100" s="10" t="n">
        <f aca="false">IF(AND(MOD(55,3)=0,BE99&gt;0),BE99*Assumptions!$B$35,0)</f>
        <v>0</v>
      </c>
      <c r="BF100" s="10" t="n">
        <f aca="false">IF(AND(MOD(56,3)=0,BF99&gt;0),BF99*Assumptions!$B$35,0)</f>
        <v>0</v>
      </c>
      <c r="BG100" s="10" t="n">
        <f aca="false">IF(AND(MOD(57,3)=0,BG99&gt;0),BG99*Assumptions!$B$35,0)</f>
        <v>0</v>
      </c>
      <c r="BH100" s="10" t="n">
        <f aca="false">IF(AND(MOD(58,3)=0,BH99&gt;0),BH99*Assumptions!$B$35,0)</f>
        <v>0</v>
      </c>
      <c r="BI100" s="10" t="n">
        <f aca="false">IF(AND(MOD(59,3)=0,BI99&gt;0),BI99*Assumptions!$B$35,0)</f>
        <v>0</v>
      </c>
      <c r="BJ100" s="10" t="n">
        <f aca="false">IF(AND(MOD(60,3)=0,BJ99&gt;0),BJ99*Assumptions!$B$35,0)</f>
        <v>0</v>
      </c>
      <c r="BK100" s="10" t="n">
        <f aca="false">IF(AND(MOD(61,3)=0,BK99&gt;0),BK99*Assumptions!$B$35,0)</f>
        <v>0</v>
      </c>
      <c r="BL100" s="10" t="n">
        <f aca="false">IF(AND(MOD(62,3)=0,BL99&gt;0),BL99*Assumptions!$B$35,0)</f>
        <v>0</v>
      </c>
      <c r="BM100" s="10" t="n">
        <f aca="false">IF(AND(MOD(63,3)=0,BM99&gt;0),BM99*Assumptions!$B$35,0)</f>
        <v>0</v>
      </c>
      <c r="BN100" s="10" t="n">
        <f aca="false">IF(AND(MOD(64,3)=0,BN99&gt;0),BN99*Assumptions!$B$35,0)</f>
        <v>0</v>
      </c>
      <c r="BO100" s="10" t="n">
        <f aca="false">IF(AND(MOD(65,3)=0,BO99&gt;0),BO99*Assumptions!$B$35,0)</f>
        <v>0</v>
      </c>
      <c r="BP100" s="10" t="n">
        <f aca="false">IF(AND(MOD(66,3)=0,BP99&gt;0),BP99*Assumptions!$B$35,0)</f>
        <v>0</v>
      </c>
      <c r="BQ100" s="10" t="n">
        <f aca="false">IF(AND(MOD(67,3)=0,BQ99&gt;0),BQ99*Assumptions!$B$35,0)</f>
        <v>0</v>
      </c>
      <c r="BR100" s="10" t="n">
        <f aca="false">IF(AND(MOD(68,3)=0,BR99&gt;0),BR99*Assumptions!$B$35,0)</f>
        <v>0</v>
      </c>
      <c r="BS100" s="10" t="n">
        <f aca="false">IF(AND(MOD(69,3)=0,BS99&gt;0),BS99*Assumptions!$B$35,0)</f>
        <v>0</v>
      </c>
      <c r="BT100" s="10" t="n">
        <f aca="false">IF(AND(MOD(70,3)=0,BT99&gt;0),BT99*Assumptions!$B$35,0)</f>
        <v>0</v>
      </c>
      <c r="BU100" s="10" t="n">
        <f aca="false">IF(AND(MOD(71,3)=0,BU99&gt;0),BU99*Assumptions!$B$35,0)</f>
        <v>0</v>
      </c>
      <c r="BV100" s="10" t="n">
        <f aca="false">IF(AND(MOD(72,3)=0,BV99&gt;0),BV99*Assumptions!$B$35,0)</f>
        <v>0</v>
      </c>
      <c r="BW100" s="10" t="n">
        <f aca="false">IF(AND(MOD(73,3)=0,BW99&gt;0),BW99*Assumptions!$B$35,0)</f>
        <v>0</v>
      </c>
      <c r="BX100" s="10" t="n">
        <f aca="false">IF(AND(MOD(74,3)=0,BX99&gt;0),BX99*Assumptions!$B$35,0)</f>
        <v>0</v>
      </c>
      <c r="BY100" s="10" t="n">
        <f aca="false">IF(AND(MOD(75,3)=0,BY99&gt;0),BY99*Assumptions!$B$35,0)</f>
        <v>0</v>
      </c>
      <c r="BZ100" s="10" t="n">
        <f aca="false">IF(AND(MOD(76,3)=0,BZ99&gt;0),BZ99*Assumptions!$B$35,0)</f>
        <v>0</v>
      </c>
      <c r="CA100" s="10" t="n">
        <f aca="false">IF(AND(MOD(77,3)=0,CA99&gt;0),CA99*Assumptions!$B$35,0)</f>
        <v>0</v>
      </c>
      <c r="CB100" s="10" t="n">
        <f aca="false">IF(AND(MOD(78,3)=0,CB99&gt;0),CB99*Assumptions!$B$35,0)</f>
        <v>0</v>
      </c>
      <c r="CC100" s="10" t="n">
        <f aca="false">IF(AND(MOD(79,3)=0,CC99&gt;0),CC99*Assumptions!$B$35,0)</f>
        <v>0</v>
      </c>
      <c r="CD100" s="10" t="n">
        <f aca="false">IF(AND(MOD(80,3)=0,CD99&gt;0),CD99*Assumptions!$B$35,0)</f>
        <v>0</v>
      </c>
      <c r="CE100" s="10" t="n">
        <f aca="false">IF(AND(MOD(81,3)=0,CE99&gt;0),CE99*Assumptions!$B$35,0)</f>
        <v>0</v>
      </c>
      <c r="CF100" s="10" t="n">
        <f aca="false">IF(AND(MOD(82,3)=0,CF99&gt;0),CF99*Assumptions!$B$35,0)</f>
        <v>0</v>
      </c>
      <c r="CG100" s="10" t="n">
        <f aca="false">IF(AND(MOD(83,3)=0,CG99&gt;0),CG99*Assumptions!$B$35,0)</f>
        <v>0</v>
      </c>
      <c r="CH100" s="10" t="n">
        <f aca="false">IF(AND(MOD(84,3)=0,CH99&gt;0),CH99*Assumptions!$B$35,0)</f>
        <v>0</v>
      </c>
      <c r="CI100" s="25"/>
    </row>
    <row r="101" customFormat="false" ht="15" hidden="false" customHeight="true" outlineLevel="0" collapsed="false">
      <c r="A101" s="9" t="s">
        <v>131</v>
      </c>
      <c r="B101" s="24"/>
      <c r="C101" s="10" t="n">
        <f aca="false">IF(AND(1&gt;=Assumptions!$B$37,C99+C100&gt;0),-MIN(Assumptions!$B$36,C99+C100),0)</f>
        <v>0</v>
      </c>
      <c r="D101" s="10" t="n">
        <f aca="false">IF(AND(2&gt;=Assumptions!$B$37,D99+D100&gt;0),-MIN(Assumptions!$B$36,D99+D100),0)</f>
        <v>0</v>
      </c>
      <c r="E101" s="10" t="n">
        <f aca="false">IF(AND(3&gt;=Assumptions!$B$37,E99+E100&gt;0),-MIN(Assumptions!$B$36,E99+E100),0)</f>
        <v>0</v>
      </c>
      <c r="F101" s="10" t="n">
        <f aca="false">IF(AND(4&gt;=Assumptions!$B$37,F99+F100&gt;0),-MIN(Assumptions!$B$36,F99+F100),0)</f>
        <v>0</v>
      </c>
      <c r="G101" s="10" t="n">
        <f aca="false">IF(AND(5&gt;=Assumptions!$B$37,G99+G100&gt;0),-MIN(Assumptions!$B$36,G99+G100),0)</f>
        <v>0</v>
      </c>
      <c r="H101" s="10" t="n">
        <f aca="false">IF(AND(6&gt;=Assumptions!$B$37,H99+H100&gt;0),-MIN(Assumptions!$B$36,H99+H100),0)</f>
        <v>0</v>
      </c>
      <c r="I101" s="10" t="n">
        <f aca="false">IF(AND(7&gt;=Assumptions!$B$37,I99+I100&gt;0),-MIN(Assumptions!$B$36,I99+I100),0)</f>
        <v>-130000</v>
      </c>
      <c r="J101" s="10" t="n">
        <f aca="false">IF(AND(8&gt;=Assumptions!$B$37,J99+J100&gt;0),-MIN(Assumptions!$B$36,J99+J100),0)</f>
        <v>-130000</v>
      </c>
      <c r="K101" s="10" t="n">
        <f aca="false">IF(AND(9&gt;=Assumptions!$B$37,K99+K100&gt;0),-MIN(Assumptions!$B$36,K99+K100),0)</f>
        <v>-130000</v>
      </c>
      <c r="L101" s="10" t="n">
        <f aca="false">IF(AND(10&gt;=Assumptions!$B$37,L99+L100&gt;0),-MIN(Assumptions!$B$36,L99+L100),0)</f>
        <v>-130000</v>
      </c>
      <c r="M101" s="10" t="n">
        <f aca="false">IF(AND(11&gt;=Assumptions!$B$37,M99+M100&gt;0),-MIN(Assumptions!$B$36,M99+M100),0)</f>
        <v>-130000</v>
      </c>
      <c r="N101" s="10" t="n">
        <f aca="false">IF(AND(12&gt;=Assumptions!$B$37,N99+N100&gt;0),-MIN(Assumptions!$B$36,N99+N100),0)</f>
        <v>-130000</v>
      </c>
      <c r="O101" s="10" t="n">
        <f aca="false">IF(AND(13&gt;=Assumptions!$B$37,O99+O100&gt;0),-MIN(Assumptions!$B$36,O99+O100),0)</f>
        <v>-130000</v>
      </c>
      <c r="P101" s="10" t="n">
        <f aca="false">IF(AND(14&gt;=Assumptions!$B$37,P99+P100&gt;0),-MIN(Assumptions!$B$36,P99+P100),0)</f>
        <v>-130000</v>
      </c>
      <c r="Q101" s="10" t="n">
        <f aca="false">IF(AND(15&gt;=Assumptions!$B$37,Q99+Q100&gt;0),-MIN(Assumptions!$B$36,Q99+Q100),0)</f>
        <v>-130000</v>
      </c>
      <c r="R101" s="10" t="n">
        <f aca="false">IF(AND(16&gt;=Assumptions!$B$37,R99+R100&gt;0),-MIN(Assumptions!$B$36,R99+R100),0)</f>
        <v>-130000</v>
      </c>
      <c r="S101" s="10" t="n">
        <f aca="false">IF(AND(17&gt;=Assumptions!$B$37,S99+S100&gt;0),-MIN(Assumptions!$B$36,S99+S100),0)</f>
        <v>-130000</v>
      </c>
      <c r="T101" s="10" t="n">
        <f aca="false">IF(AND(18&gt;=Assumptions!$B$37,T99+T100&gt;0),-MIN(Assumptions!$B$36,T99+T100),0)</f>
        <v>-130000</v>
      </c>
      <c r="U101" s="10" t="n">
        <f aca="false">IF(AND(19&gt;=Assumptions!$B$37,U99+U100&gt;0),-MIN(Assumptions!$B$36,U99+U100),0)</f>
        <v>-130000</v>
      </c>
      <c r="V101" s="10" t="n">
        <f aca="false">IF(AND(20&gt;=Assumptions!$B$37,V99+V100&gt;0),-MIN(Assumptions!$B$36,V99+V100),0)</f>
        <v>-130000</v>
      </c>
      <c r="W101" s="10" t="n">
        <f aca="false">IF(AND(21&gt;=Assumptions!$B$37,W99+W100&gt;0),-MIN(Assumptions!$B$36,W99+W100),0)</f>
        <v>-65969.2432854451</v>
      </c>
      <c r="X101" s="10" t="n">
        <f aca="false">IF(AND(22&gt;=Assumptions!$B$37,X99+X100&gt;0),-MIN(Assumptions!$B$36,X99+X100),0)</f>
        <v>0</v>
      </c>
      <c r="Y101" s="10" t="n">
        <f aca="false">IF(AND(23&gt;=Assumptions!$B$37,Y99+Y100&gt;0),-MIN(Assumptions!$B$36,Y99+Y100),0)</f>
        <v>0</v>
      </c>
      <c r="Z101" s="10" t="n">
        <f aca="false">IF(AND(24&gt;=Assumptions!$B$37,Z99+Z100&gt;0),-MIN(Assumptions!$B$36,Z99+Z100),0)</f>
        <v>0</v>
      </c>
      <c r="AA101" s="10" t="n">
        <f aca="false">IF(AND(25&gt;=Assumptions!$B$37,AA99+AA100&gt;0),-MIN(Assumptions!$B$36,AA99+AA100),0)</f>
        <v>0</v>
      </c>
      <c r="AB101" s="10" t="n">
        <f aca="false">IF(AND(26&gt;=Assumptions!$B$37,AB99+AB100&gt;0),-MIN(Assumptions!$B$36,AB99+AB100),0)</f>
        <v>0</v>
      </c>
      <c r="AC101" s="10" t="n">
        <f aca="false">IF(AND(27&gt;=Assumptions!$B$37,AC99+AC100&gt;0),-MIN(Assumptions!$B$36,AC99+AC100),0)</f>
        <v>0</v>
      </c>
      <c r="AD101" s="10" t="n">
        <f aca="false">IF(AND(28&gt;=Assumptions!$B$37,AD99+AD100&gt;0),-MIN(Assumptions!$B$36,AD99+AD100),0)</f>
        <v>0</v>
      </c>
      <c r="AE101" s="10" t="n">
        <f aca="false">IF(AND(29&gt;=Assumptions!$B$37,AE99+AE100&gt;0),-MIN(Assumptions!$B$36,AE99+AE100),0)</f>
        <v>0</v>
      </c>
      <c r="AF101" s="10" t="n">
        <f aca="false">IF(AND(30&gt;=Assumptions!$B$37,AF99+AF100&gt;0),-MIN(Assumptions!$B$36,AF99+AF100),0)</f>
        <v>0</v>
      </c>
      <c r="AG101" s="10" t="n">
        <f aca="false">IF(AND(31&gt;=Assumptions!$B$37,AG99+AG100&gt;0),-MIN(Assumptions!$B$36,AG99+AG100),0)</f>
        <v>0</v>
      </c>
      <c r="AH101" s="10" t="n">
        <f aca="false">IF(AND(32&gt;=Assumptions!$B$37,AH99+AH100&gt;0),-MIN(Assumptions!$B$36,AH99+AH100),0)</f>
        <v>0</v>
      </c>
      <c r="AI101" s="10" t="n">
        <f aca="false">IF(AND(33&gt;=Assumptions!$B$37,AI99+AI100&gt;0),-MIN(Assumptions!$B$36,AI99+AI100),0)</f>
        <v>0</v>
      </c>
      <c r="AJ101" s="10" t="n">
        <f aca="false">IF(AND(34&gt;=Assumptions!$B$37,AJ99+AJ100&gt;0),-MIN(Assumptions!$B$36,AJ99+AJ100),0)</f>
        <v>0</v>
      </c>
      <c r="AK101" s="10" t="n">
        <f aca="false">IF(AND(35&gt;=Assumptions!$B$37,AK99+AK100&gt;0),-MIN(Assumptions!$B$36,AK99+AK100),0)</f>
        <v>0</v>
      </c>
      <c r="AL101" s="10" t="n">
        <f aca="false">IF(AND(36&gt;=Assumptions!$B$37,AL99+AL100&gt;0),-MIN(Assumptions!$B$36,AL99+AL100),0)</f>
        <v>0</v>
      </c>
      <c r="AM101" s="10" t="n">
        <f aca="false">IF(AND(37&gt;=Assumptions!$B$37,AM99+AM100&gt;0),-MIN(Assumptions!$B$36,AM99+AM100),0)</f>
        <v>0</v>
      </c>
      <c r="AN101" s="10" t="n">
        <f aca="false">IF(AND(38&gt;=Assumptions!$B$37,AN99+AN100&gt;0),-MIN(Assumptions!$B$36,AN99+AN100),0)</f>
        <v>0</v>
      </c>
      <c r="AO101" s="10" t="n">
        <f aca="false">IF(AND(39&gt;=Assumptions!$B$37,AO99+AO100&gt;0),-MIN(Assumptions!$B$36,AO99+AO100),0)</f>
        <v>0</v>
      </c>
      <c r="AP101" s="10" t="n">
        <f aca="false">IF(AND(40&gt;=Assumptions!$B$37,AP99+AP100&gt;0),-MIN(Assumptions!$B$36,AP99+AP100),0)</f>
        <v>0</v>
      </c>
      <c r="AQ101" s="10" t="n">
        <f aca="false">IF(AND(41&gt;=Assumptions!$B$37,AQ99+AQ100&gt;0),-MIN(Assumptions!$B$36,AQ99+AQ100),0)</f>
        <v>0</v>
      </c>
      <c r="AR101" s="10" t="n">
        <f aca="false">IF(AND(42&gt;=Assumptions!$B$37,AR99+AR100&gt;0),-MIN(Assumptions!$B$36,AR99+AR100),0)</f>
        <v>0</v>
      </c>
      <c r="AS101" s="10" t="n">
        <f aca="false">IF(AND(43&gt;=Assumptions!$B$37,AS99+AS100&gt;0),-MIN(Assumptions!$B$36,AS99+AS100),0)</f>
        <v>0</v>
      </c>
      <c r="AT101" s="10" t="n">
        <f aca="false">IF(AND(44&gt;=Assumptions!$B$37,AT99+AT100&gt;0),-MIN(Assumptions!$B$36,AT99+AT100),0)</f>
        <v>0</v>
      </c>
      <c r="AU101" s="10" t="n">
        <f aca="false">IF(AND(45&gt;=Assumptions!$B$37,AU99+AU100&gt;0),-MIN(Assumptions!$B$36,AU99+AU100),0)</f>
        <v>0</v>
      </c>
      <c r="AV101" s="10" t="n">
        <f aca="false">IF(AND(46&gt;=Assumptions!$B$37,AV99+AV100&gt;0),-MIN(Assumptions!$B$36,AV99+AV100),0)</f>
        <v>0</v>
      </c>
      <c r="AW101" s="10" t="n">
        <f aca="false">IF(AND(47&gt;=Assumptions!$B$37,AW99+AW100&gt;0),-MIN(Assumptions!$B$36,AW99+AW100),0)</f>
        <v>0</v>
      </c>
      <c r="AX101" s="10" t="n">
        <f aca="false">IF(AND(48&gt;=Assumptions!$B$37,AX99+AX100&gt;0),-MIN(Assumptions!$B$36,AX99+AX100),0)</f>
        <v>0</v>
      </c>
      <c r="AY101" s="10" t="n">
        <f aca="false">IF(AND(49&gt;=Assumptions!$B$37,AY99+AY100&gt;0),-MIN(Assumptions!$B$36,AY99+AY100),0)</f>
        <v>0</v>
      </c>
      <c r="AZ101" s="10" t="n">
        <f aca="false">IF(AND(50&gt;=Assumptions!$B$37,AZ99+AZ100&gt;0),-MIN(Assumptions!$B$36,AZ99+AZ100),0)</f>
        <v>0</v>
      </c>
      <c r="BA101" s="10" t="n">
        <f aca="false">IF(AND(51&gt;=Assumptions!$B$37,BA99+BA100&gt;0),-MIN(Assumptions!$B$36,BA99+BA100),0)</f>
        <v>0</v>
      </c>
      <c r="BB101" s="10" t="n">
        <f aca="false">IF(AND(52&gt;=Assumptions!$B$37,BB99+BB100&gt;0),-MIN(Assumptions!$B$36,BB99+BB100),0)</f>
        <v>0</v>
      </c>
      <c r="BC101" s="10" t="n">
        <f aca="false">IF(AND(53&gt;=Assumptions!$B$37,BC99+BC100&gt;0),-MIN(Assumptions!$B$36,BC99+BC100),0)</f>
        <v>0</v>
      </c>
      <c r="BD101" s="10" t="n">
        <f aca="false">IF(AND(54&gt;=Assumptions!$B$37,BD99+BD100&gt;0),-MIN(Assumptions!$B$36,BD99+BD100),0)</f>
        <v>0</v>
      </c>
      <c r="BE101" s="10" t="n">
        <f aca="false">IF(AND(55&gt;=Assumptions!$B$37,BE99+BE100&gt;0),-MIN(Assumptions!$B$36,BE99+BE100),0)</f>
        <v>0</v>
      </c>
      <c r="BF101" s="10" t="n">
        <f aca="false">IF(AND(56&gt;=Assumptions!$B$37,BF99+BF100&gt;0),-MIN(Assumptions!$B$36,BF99+BF100),0)</f>
        <v>0</v>
      </c>
      <c r="BG101" s="10" t="n">
        <f aca="false">IF(AND(57&gt;=Assumptions!$B$37,BG99+BG100&gt;0),-MIN(Assumptions!$B$36,BG99+BG100),0)</f>
        <v>0</v>
      </c>
      <c r="BH101" s="10" t="n">
        <f aca="false">IF(AND(58&gt;=Assumptions!$B$37,BH99+BH100&gt;0),-MIN(Assumptions!$B$36,BH99+BH100),0)</f>
        <v>0</v>
      </c>
      <c r="BI101" s="10" t="n">
        <f aca="false">IF(AND(59&gt;=Assumptions!$B$37,BI99+BI100&gt;0),-MIN(Assumptions!$B$36,BI99+BI100),0)</f>
        <v>0</v>
      </c>
      <c r="BJ101" s="10" t="n">
        <f aca="false">IF(AND(60&gt;=Assumptions!$B$37,BJ99+BJ100&gt;0),-MIN(Assumptions!$B$36,BJ99+BJ100),0)</f>
        <v>0</v>
      </c>
      <c r="BK101" s="10" t="n">
        <f aca="false">IF(AND(61&gt;=Assumptions!$B$37,BK99+BK100&gt;0),-MIN(Assumptions!$B$36,BK99+BK100),0)</f>
        <v>0</v>
      </c>
      <c r="BL101" s="10" t="n">
        <f aca="false">IF(AND(62&gt;=Assumptions!$B$37,BL99+BL100&gt;0),-MIN(Assumptions!$B$36,BL99+BL100),0)</f>
        <v>0</v>
      </c>
      <c r="BM101" s="10" t="n">
        <f aca="false">IF(AND(63&gt;=Assumptions!$B$37,BM99+BM100&gt;0),-MIN(Assumptions!$B$36,BM99+BM100),0)</f>
        <v>0</v>
      </c>
      <c r="BN101" s="10" t="n">
        <f aca="false">IF(AND(64&gt;=Assumptions!$B$37,BN99+BN100&gt;0),-MIN(Assumptions!$B$36,BN99+BN100),0)</f>
        <v>0</v>
      </c>
      <c r="BO101" s="10" t="n">
        <f aca="false">IF(AND(65&gt;=Assumptions!$B$37,BO99+BO100&gt;0),-MIN(Assumptions!$B$36,BO99+BO100),0)</f>
        <v>0</v>
      </c>
      <c r="BP101" s="10" t="n">
        <f aca="false">IF(AND(66&gt;=Assumptions!$B$37,BP99+BP100&gt;0),-MIN(Assumptions!$B$36,BP99+BP100),0)</f>
        <v>0</v>
      </c>
      <c r="BQ101" s="10" t="n">
        <f aca="false">IF(AND(67&gt;=Assumptions!$B$37,BQ99+BQ100&gt;0),-MIN(Assumptions!$B$36,BQ99+BQ100),0)</f>
        <v>0</v>
      </c>
      <c r="BR101" s="10" t="n">
        <f aca="false">IF(AND(68&gt;=Assumptions!$B$37,BR99+BR100&gt;0),-MIN(Assumptions!$B$36,BR99+BR100),0)</f>
        <v>0</v>
      </c>
      <c r="BS101" s="10" t="n">
        <f aca="false">IF(AND(69&gt;=Assumptions!$B$37,BS99+BS100&gt;0),-MIN(Assumptions!$B$36,BS99+BS100),0)</f>
        <v>0</v>
      </c>
      <c r="BT101" s="10" t="n">
        <f aca="false">IF(AND(70&gt;=Assumptions!$B$37,BT99+BT100&gt;0),-MIN(Assumptions!$B$36,BT99+BT100),0)</f>
        <v>0</v>
      </c>
      <c r="BU101" s="10" t="n">
        <f aca="false">IF(AND(71&gt;=Assumptions!$B$37,BU99+BU100&gt;0),-MIN(Assumptions!$B$36,BU99+BU100),0)</f>
        <v>0</v>
      </c>
      <c r="BV101" s="10" t="n">
        <f aca="false">IF(AND(72&gt;=Assumptions!$B$37,BV99+BV100&gt;0),-MIN(Assumptions!$B$36,BV99+BV100),0)</f>
        <v>0</v>
      </c>
      <c r="BW101" s="10" t="n">
        <f aca="false">IF(AND(73&gt;=Assumptions!$B$37,BW99+BW100&gt;0),-MIN(Assumptions!$B$36,BW99+BW100),0)</f>
        <v>0</v>
      </c>
      <c r="BX101" s="10" t="n">
        <f aca="false">IF(AND(74&gt;=Assumptions!$B$37,BX99+BX100&gt;0),-MIN(Assumptions!$B$36,BX99+BX100),0)</f>
        <v>0</v>
      </c>
      <c r="BY101" s="10" t="n">
        <f aca="false">IF(AND(75&gt;=Assumptions!$B$37,BY99+BY100&gt;0),-MIN(Assumptions!$B$36,BY99+BY100),0)</f>
        <v>0</v>
      </c>
      <c r="BZ101" s="10" t="n">
        <f aca="false">IF(AND(76&gt;=Assumptions!$B$37,BZ99+BZ100&gt;0),-MIN(Assumptions!$B$36,BZ99+BZ100),0)</f>
        <v>0</v>
      </c>
      <c r="CA101" s="10" t="n">
        <f aca="false">IF(AND(77&gt;=Assumptions!$B$37,CA99+CA100&gt;0),-MIN(Assumptions!$B$36,CA99+CA100),0)</f>
        <v>0</v>
      </c>
      <c r="CB101" s="10" t="n">
        <f aca="false">IF(AND(78&gt;=Assumptions!$B$37,CB99+CB100&gt;0),-MIN(Assumptions!$B$36,CB99+CB100),0)</f>
        <v>0</v>
      </c>
      <c r="CC101" s="10" t="n">
        <f aca="false">IF(AND(79&gt;=Assumptions!$B$37,CC99+CC100&gt;0),-MIN(Assumptions!$B$36,CC99+CC100),0)</f>
        <v>0</v>
      </c>
      <c r="CD101" s="10" t="n">
        <f aca="false">IF(AND(80&gt;=Assumptions!$B$37,CD99+CD100&gt;0),-MIN(Assumptions!$B$36,CD99+CD100),0)</f>
        <v>0</v>
      </c>
      <c r="CE101" s="10" t="n">
        <f aca="false">IF(AND(81&gt;=Assumptions!$B$37,CE99+CE100&gt;0),-MIN(Assumptions!$B$36,CE99+CE100),0)</f>
        <v>0</v>
      </c>
      <c r="CF101" s="10" t="n">
        <f aca="false">IF(AND(82&gt;=Assumptions!$B$37,CF99+CF100&gt;0),-MIN(Assumptions!$B$36,CF99+CF100),0)</f>
        <v>0</v>
      </c>
      <c r="CG101" s="10" t="n">
        <f aca="false">IF(AND(83&gt;=Assumptions!$B$37,CG99+CG100&gt;0),-MIN(Assumptions!$B$36,CG99+CG100),0)</f>
        <v>0</v>
      </c>
      <c r="CH101" s="10" t="n">
        <f aca="false">IF(AND(84&gt;=Assumptions!$B$37,CH99+CH100&gt;0),-MIN(Assumptions!$B$36,CH99+CH100),0)</f>
        <v>0</v>
      </c>
      <c r="CI101" s="25"/>
    </row>
    <row r="102" customFormat="false" ht="15" hidden="false" customHeight="true" outlineLevel="0" collapsed="false">
      <c r="A102" s="35" t="s">
        <v>132</v>
      </c>
      <c r="B102" s="30"/>
      <c r="C102" s="34" t="n">
        <f aca="false">MAX(0,C99+C100+C101)</f>
        <v>1615485</v>
      </c>
      <c r="D102" s="34" t="n">
        <f aca="false">MAX(0,D99+D100+D101)</f>
        <v>1615485</v>
      </c>
      <c r="E102" s="34" t="n">
        <f aca="false">MAX(0,E99+E100+E101)</f>
        <v>1676065.6875</v>
      </c>
      <c r="F102" s="34" t="n">
        <f aca="false">MAX(0,F99+F100+F101)</f>
        <v>1676065.6875</v>
      </c>
      <c r="G102" s="34" t="n">
        <f aca="false">MAX(0,G99+G100+G101)</f>
        <v>1676065.6875</v>
      </c>
      <c r="H102" s="34" t="n">
        <f aca="false">MAX(0,H99+H100+H101)</f>
        <v>1738918.15078125</v>
      </c>
      <c r="I102" s="34" t="n">
        <f aca="false">MAX(0,I99+I100+I101)</f>
        <v>1608918.15078125</v>
      </c>
      <c r="J102" s="34" t="n">
        <f aca="false">MAX(0,J99+J100+J101)</f>
        <v>1478918.15078125</v>
      </c>
      <c r="K102" s="34" t="n">
        <f aca="false">MAX(0,K99+K100+K101)</f>
        <v>1404377.58143555</v>
      </c>
      <c r="L102" s="34" t="n">
        <f aca="false">MAX(0,L99+L100+L101)</f>
        <v>1274377.58143555</v>
      </c>
      <c r="M102" s="34" t="n">
        <f aca="false">MAX(0,M99+M100+M101)</f>
        <v>1144377.58143555</v>
      </c>
      <c r="N102" s="34" t="n">
        <f aca="false">MAX(0,N99+N100+N101)</f>
        <v>1057291.74073938</v>
      </c>
      <c r="O102" s="34" t="n">
        <f aca="false">MAX(0,O99+O100+O101)</f>
        <v>927291.74073938</v>
      </c>
      <c r="P102" s="34" t="n">
        <f aca="false">MAX(0,P99+P100+P101)</f>
        <v>797291.74073938</v>
      </c>
      <c r="Q102" s="34" t="n">
        <f aca="false">MAX(0,Q99+Q100+Q101)</f>
        <v>697190.181017107</v>
      </c>
      <c r="R102" s="34" t="n">
        <f aca="false">MAX(0,R99+R100+R101)</f>
        <v>567190.181017107</v>
      </c>
      <c r="S102" s="34" t="n">
        <f aca="false">MAX(0,S99+S100+S101)</f>
        <v>437190.181017107</v>
      </c>
      <c r="T102" s="34" t="n">
        <f aca="false">MAX(0,T99+T100+T101)</f>
        <v>323584.812805248</v>
      </c>
      <c r="U102" s="34" t="n">
        <f aca="false">MAX(0,U99+U100+U101)</f>
        <v>193584.812805248</v>
      </c>
      <c r="V102" s="34" t="n">
        <f aca="false">MAX(0,V99+V100+V101)</f>
        <v>63584.8128052483</v>
      </c>
      <c r="W102" s="34" t="n">
        <f aca="false">MAX(0,W99+W100+W101)</f>
        <v>0</v>
      </c>
      <c r="X102" s="34" t="n">
        <f aca="false">MAX(0,X99+X100+X101)</f>
        <v>0</v>
      </c>
      <c r="Y102" s="34" t="n">
        <f aca="false">MAX(0,Y99+Y100+Y101)</f>
        <v>0</v>
      </c>
      <c r="Z102" s="34" t="n">
        <f aca="false">MAX(0,Z99+Z100+Z101)</f>
        <v>0</v>
      </c>
      <c r="AA102" s="34" t="n">
        <f aca="false">MAX(0,AA99+AA100+AA101)</f>
        <v>0</v>
      </c>
      <c r="AB102" s="34" t="n">
        <f aca="false">MAX(0,AB99+AB100+AB101)</f>
        <v>0</v>
      </c>
      <c r="AC102" s="34" t="n">
        <f aca="false">MAX(0,AC99+AC100+AC101)</f>
        <v>0</v>
      </c>
      <c r="AD102" s="34" t="n">
        <f aca="false">MAX(0,AD99+AD100+AD101)</f>
        <v>0</v>
      </c>
      <c r="AE102" s="34" t="n">
        <f aca="false">MAX(0,AE99+AE100+AE101)</f>
        <v>0</v>
      </c>
      <c r="AF102" s="34" t="n">
        <f aca="false">MAX(0,AF99+AF100+AF101)</f>
        <v>0</v>
      </c>
      <c r="AG102" s="34" t="n">
        <f aca="false">MAX(0,AG99+AG100+AG101)</f>
        <v>0</v>
      </c>
      <c r="AH102" s="34" t="n">
        <f aca="false">MAX(0,AH99+AH100+AH101)</f>
        <v>0</v>
      </c>
      <c r="AI102" s="34" t="n">
        <f aca="false">MAX(0,AI99+AI100+AI101)</f>
        <v>0</v>
      </c>
      <c r="AJ102" s="34" t="n">
        <f aca="false">MAX(0,AJ99+AJ100+AJ101)</f>
        <v>0</v>
      </c>
      <c r="AK102" s="34" t="n">
        <f aca="false">MAX(0,AK99+AK100+AK101)</f>
        <v>0</v>
      </c>
      <c r="AL102" s="34" t="n">
        <f aca="false">MAX(0,AL99+AL100+AL101)</f>
        <v>0</v>
      </c>
      <c r="AM102" s="34" t="n">
        <f aca="false">MAX(0,AM99+AM100+AM101)</f>
        <v>0</v>
      </c>
      <c r="AN102" s="34" t="n">
        <f aca="false">MAX(0,AN99+AN100+AN101)</f>
        <v>0</v>
      </c>
      <c r="AO102" s="34" t="n">
        <f aca="false">MAX(0,AO99+AO100+AO101)</f>
        <v>0</v>
      </c>
      <c r="AP102" s="34" t="n">
        <f aca="false">MAX(0,AP99+AP100+AP101)</f>
        <v>0</v>
      </c>
      <c r="AQ102" s="34" t="n">
        <f aca="false">MAX(0,AQ99+AQ100+AQ101)</f>
        <v>0</v>
      </c>
      <c r="AR102" s="34" t="n">
        <f aca="false">MAX(0,AR99+AR100+AR101)</f>
        <v>0</v>
      </c>
      <c r="AS102" s="34" t="n">
        <f aca="false">MAX(0,AS99+AS100+AS101)</f>
        <v>0</v>
      </c>
      <c r="AT102" s="34" t="n">
        <f aca="false">MAX(0,AT99+AT100+AT101)</f>
        <v>0</v>
      </c>
      <c r="AU102" s="34" t="n">
        <f aca="false">MAX(0,AU99+AU100+AU101)</f>
        <v>0</v>
      </c>
      <c r="AV102" s="34" t="n">
        <f aca="false">MAX(0,AV99+AV100+AV101)</f>
        <v>0</v>
      </c>
      <c r="AW102" s="34" t="n">
        <f aca="false">MAX(0,AW99+AW100+AW101)</f>
        <v>0</v>
      </c>
      <c r="AX102" s="34" t="n">
        <f aca="false">MAX(0,AX99+AX100+AX101)</f>
        <v>0</v>
      </c>
      <c r="AY102" s="34" t="n">
        <f aca="false">MAX(0,AY99+AY100+AY101)</f>
        <v>0</v>
      </c>
      <c r="AZ102" s="34" t="n">
        <f aca="false">MAX(0,AZ99+AZ100+AZ101)</f>
        <v>0</v>
      </c>
      <c r="BA102" s="34" t="n">
        <f aca="false">MAX(0,BA99+BA100+BA101)</f>
        <v>0</v>
      </c>
      <c r="BB102" s="34" t="n">
        <f aca="false">MAX(0,BB99+BB100+BB101)</f>
        <v>0</v>
      </c>
      <c r="BC102" s="34" t="n">
        <f aca="false">MAX(0,BC99+BC100+BC101)</f>
        <v>0</v>
      </c>
      <c r="BD102" s="34" t="n">
        <f aca="false">MAX(0,BD99+BD100+BD101)</f>
        <v>0</v>
      </c>
      <c r="BE102" s="34" t="n">
        <f aca="false">MAX(0,BE99+BE100+BE101)</f>
        <v>0</v>
      </c>
      <c r="BF102" s="34" t="n">
        <f aca="false">MAX(0,BF99+BF100+BF101)</f>
        <v>0</v>
      </c>
      <c r="BG102" s="34" t="n">
        <f aca="false">MAX(0,BG99+BG100+BG101)</f>
        <v>0</v>
      </c>
      <c r="BH102" s="34" t="n">
        <f aca="false">MAX(0,BH99+BH100+BH101)</f>
        <v>0</v>
      </c>
      <c r="BI102" s="34" t="n">
        <f aca="false">MAX(0,BI99+BI100+BI101)</f>
        <v>0</v>
      </c>
      <c r="BJ102" s="34" t="n">
        <f aca="false">MAX(0,BJ99+BJ100+BJ101)</f>
        <v>0</v>
      </c>
      <c r="BK102" s="34" t="n">
        <f aca="false">MAX(0,BK99+BK100+BK101)</f>
        <v>0</v>
      </c>
      <c r="BL102" s="34" t="n">
        <f aca="false">MAX(0,BL99+BL100+BL101)</f>
        <v>0</v>
      </c>
      <c r="BM102" s="34" t="n">
        <f aca="false">MAX(0,BM99+BM100+BM101)</f>
        <v>0</v>
      </c>
      <c r="BN102" s="34" t="n">
        <f aca="false">MAX(0,BN99+BN100+BN101)</f>
        <v>0</v>
      </c>
      <c r="BO102" s="34" t="n">
        <f aca="false">MAX(0,BO99+BO100+BO101)</f>
        <v>0</v>
      </c>
      <c r="BP102" s="34" t="n">
        <f aca="false">MAX(0,BP99+BP100+BP101)</f>
        <v>0</v>
      </c>
      <c r="BQ102" s="34" t="n">
        <f aca="false">MAX(0,BQ99+BQ100+BQ101)</f>
        <v>0</v>
      </c>
      <c r="BR102" s="34" t="n">
        <f aca="false">MAX(0,BR99+BR100+BR101)</f>
        <v>0</v>
      </c>
      <c r="BS102" s="34" t="n">
        <f aca="false">MAX(0,BS99+BS100+BS101)</f>
        <v>0</v>
      </c>
      <c r="BT102" s="34" t="n">
        <f aca="false">MAX(0,BT99+BT100+BT101)</f>
        <v>0</v>
      </c>
      <c r="BU102" s="34" t="n">
        <f aca="false">MAX(0,BU99+BU100+BU101)</f>
        <v>0</v>
      </c>
      <c r="BV102" s="34" t="n">
        <f aca="false">MAX(0,BV99+BV100+BV101)</f>
        <v>0</v>
      </c>
      <c r="BW102" s="34" t="n">
        <f aca="false">MAX(0,BW99+BW100+BW101)</f>
        <v>0</v>
      </c>
      <c r="BX102" s="34" t="n">
        <f aca="false">MAX(0,BX99+BX100+BX101)</f>
        <v>0</v>
      </c>
      <c r="BY102" s="34" t="n">
        <f aca="false">MAX(0,BY99+BY100+BY101)</f>
        <v>0</v>
      </c>
      <c r="BZ102" s="34" t="n">
        <f aca="false">MAX(0,BZ99+BZ100+BZ101)</f>
        <v>0</v>
      </c>
      <c r="CA102" s="34" t="n">
        <f aca="false">MAX(0,CA99+CA100+CA101)</f>
        <v>0</v>
      </c>
      <c r="CB102" s="34" t="n">
        <f aca="false">MAX(0,CB99+CB100+CB101)</f>
        <v>0</v>
      </c>
      <c r="CC102" s="34" t="n">
        <f aca="false">MAX(0,CC99+CC100+CC101)</f>
        <v>0</v>
      </c>
      <c r="CD102" s="34" t="n">
        <f aca="false">MAX(0,CD99+CD100+CD101)</f>
        <v>0</v>
      </c>
      <c r="CE102" s="34" t="n">
        <f aca="false">MAX(0,CE99+CE100+CE101)</f>
        <v>0</v>
      </c>
      <c r="CF102" s="34" t="n">
        <f aca="false">MAX(0,CF99+CF100+CF101)</f>
        <v>0</v>
      </c>
      <c r="CG102" s="34" t="n">
        <f aca="false">MAX(0,CG99+CG100+CG101)</f>
        <v>0</v>
      </c>
      <c r="CH102" s="34" t="n">
        <f aca="false">MAX(0,CH99+CH100+CH101)</f>
        <v>0</v>
      </c>
      <c r="CI102" s="25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7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5"/>
    </row>
    <row r="105" customFormat="false" ht="15" hidden="false" customHeight="true" outlineLevel="0" collapsed="false">
      <c r="A105" s="28" t="s">
        <v>133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5"/>
    </row>
    <row r="106" customFormat="false" ht="15" hidden="false" customHeight="true" outlineLevel="0" collapsed="false">
      <c r="A106" s="9" t="s">
        <v>129</v>
      </c>
      <c r="B106" s="24"/>
      <c r="C106" s="10" t="n">
        <f aca="false">Assumptions!$B$41</f>
        <v>1000000</v>
      </c>
      <c r="D106" s="10" t="n">
        <f aca="false">C108</f>
        <v>1000000</v>
      </c>
      <c r="E106" s="10" t="n">
        <f aca="false">D108</f>
        <v>1000000</v>
      </c>
      <c r="F106" s="10" t="n">
        <f aca="false">E108</f>
        <v>1000000</v>
      </c>
      <c r="G106" s="10" t="n">
        <f aca="false">F108</f>
        <v>1000000</v>
      </c>
      <c r="H106" s="10" t="n">
        <f aca="false">G108</f>
        <v>1000000</v>
      </c>
      <c r="I106" s="10" t="n">
        <f aca="false">H108</f>
        <v>1000000</v>
      </c>
      <c r="J106" s="10" t="n">
        <f aca="false">I108</f>
        <v>1000000</v>
      </c>
      <c r="K106" s="10" t="n">
        <f aca="false">J108</f>
        <v>1000000</v>
      </c>
      <c r="L106" s="10" t="n">
        <f aca="false">K108</f>
        <v>1000000</v>
      </c>
      <c r="M106" s="10" t="n">
        <f aca="false">L108</f>
        <v>1000000</v>
      </c>
      <c r="N106" s="10" t="n">
        <f aca="false">M108</f>
        <v>750000</v>
      </c>
      <c r="O106" s="10" t="n">
        <f aca="false">N108</f>
        <v>750000</v>
      </c>
      <c r="P106" s="10" t="n">
        <f aca="false">O108</f>
        <v>750000</v>
      </c>
      <c r="Q106" s="10" t="n">
        <f aca="false">P108</f>
        <v>750000</v>
      </c>
      <c r="R106" s="10" t="n">
        <f aca="false">Q108</f>
        <v>750000</v>
      </c>
      <c r="S106" s="10" t="n">
        <f aca="false">R108</f>
        <v>750000</v>
      </c>
      <c r="T106" s="10" t="n">
        <f aca="false">S108</f>
        <v>750000</v>
      </c>
      <c r="U106" s="10" t="n">
        <f aca="false">T108</f>
        <v>750000</v>
      </c>
      <c r="V106" s="10" t="n">
        <f aca="false">U108</f>
        <v>750000</v>
      </c>
      <c r="W106" s="10" t="n">
        <f aca="false">V108</f>
        <v>750000</v>
      </c>
      <c r="X106" s="10" t="n">
        <f aca="false">W108</f>
        <v>750000</v>
      </c>
      <c r="Y106" s="10" t="n">
        <f aca="false">X108</f>
        <v>750000</v>
      </c>
      <c r="Z106" s="10" t="n">
        <f aca="false">Y108</f>
        <v>500000</v>
      </c>
      <c r="AA106" s="10" t="n">
        <f aca="false">Z108</f>
        <v>500000</v>
      </c>
      <c r="AB106" s="10" t="n">
        <f aca="false">AA108</f>
        <v>500000</v>
      </c>
      <c r="AC106" s="10" t="n">
        <f aca="false">AB108</f>
        <v>500000</v>
      </c>
      <c r="AD106" s="10" t="n">
        <f aca="false">AC108</f>
        <v>500000</v>
      </c>
      <c r="AE106" s="10" t="n">
        <f aca="false">AD108</f>
        <v>500000</v>
      </c>
      <c r="AF106" s="10" t="n">
        <f aca="false">AE108</f>
        <v>500000</v>
      </c>
      <c r="AG106" s="10" t="n">
        <f aca="false">AF108</f>
        <v>500000</v>
      </c>
      <c r="AH106" s="10" t="n">
        <f aca="false">AG108</f>
        <v>500000</v>
      </c>
      <c r="AI106" s="10" t="n">
        <f aca="false">AH108</f>
        <v>500000</v>
      </c>
      <c r="AJ106" s="10" t="n">
        <f aca="false">AI108</f>
        <v>500000</v>
      </c>
      <c r="AK106" s="10" t="n">
        <f aca="false">AJ108</f>
        <v>500000</v>
      </c>
      <c r="AL106" s="10" t="n">
        <f aca="false">AK108</f>
        <v>250000</v>
      </c>
      <c r="AM106" s="10" t="n">
        <f aca="false">AL108</f>
        <v>250000</v>
      </c>
      <c r="AN106" s="10" t="n">
        <f aca="false">AM108</f>
        <v>250000</v>
      </c>
      <c r="AO106" s="10" t="n">
        <f aca="false">AN108</f>
        <v>250000</v>
      </c>
      <c r="AP106" s="10" t="n">
        <f aca="false">AO108</f>
        <v>250000</v>
      </c>
      <c r="AQ106" s="10" t="n">
        <f aca="false">AP108</f>
        <v>250000</v>
      </c>
      <c r="AR106" s="10" t="n">
        <f aca="false">AQ108</f>
        <v>250000</v>
      </c>
      <c r="AS106" s="10" t="n">
        <f aca="false">AR108</f>
        <v>250000</v>
      </c>
      <c r="AT106" s="10" t="n">
        <f aca="false">AS108</f>
        <v>250000</v>
      </c>
      <c r="AU106" s="10" t="n">
        <f aca="false">AT108</f>
        <v>250000</v>
      </c>
      <c r="AV106" s="10" t="n">
        <f aca="false">AU108</f>
        <v>250000</v>
      </c>
      <c r="AW106" s="10" t="n">
        <f aca="false">AV108</f>
        <v>250000</v>
      </c>
      <c r="AX106" s="10" t="n">
        <f aca="false">AW108</f>
        <v>250000</v>
      </c>
      <c r="AY106" s="10" t="n">
        <f aca="false">AX108</f>
        <v>250000</v>
      </c>
      <c r="AZ106" s="10" t="n">
        <f aca="false">AY108</f>
        <v>250000</v>
      </c>
      <c r="BA106" s="10" t="n">
        <f aca="false">AZ108</f>
        <v>250000</v>
      </c>
      <c r="BB106" s="10" t="n">
        <f aca="false">BA108</f>
        <v>250000</v>
      </c>
      <c r="BC106" s="10" t="n">
        <f aca="false">BB108</f>
        <v>250000</v>
      </c>
      <c r="BD106" s="10" t="n">
        <f aca="false">BC108</f>
        <v>250000</v>
      </c>
      <c r="BE106" s="10" t="n">
        <f aca="false">BD108</f>
        <v>250000</v>
      </c>
      <c r="BF106" s="10" t="n">
        <f aca="false">BE108</f>
        <v>250000</v>
      </c>
      <c r="BG106" s="10" t="n">
        <f aca="false">BF108</f>
        <v>250000</v>
      </c>
      <c r="BH106" s="10" t="n">
        <f aca="false">BG108</f>
        <v>250000</v>
      </c>
      <c r="BI106" s="10" t="n">
        <f aca="false">BH108</f>
        <v>250000</v>
      </c>
      <c r="BJ106" s="10" t="n">
        <f aca="false">BI108</f>
        <v>250000</v>
      </c>
      <c r="BK106" s="10" t="n">
        <f aca="false">BJ108</f>
        <v>250000</v>
      </c>
      <c r="BL106" s="10" t="n">
        <f aca="false">BK108</f>
        <v>250000</v>
      </c>
      <c r="BM106" s="10" t="n">
        <f aca="false">BL108</f>
        <v>250000</v>
      </c>
      <c r="BN106" s="10" t="n">
        <f aca="false">BM108</f>
        <v>250000</v>
      </c>
      <c r="BO106" s="10" t="n">
        <f aca="false">BN108</f>
        <v>250000</v>
      </c>
      <c r="BP106" s="10" t="n">
        <f aca="false">BO108</f>
        <v>250000</v>
      </c>
      <c r="BQ106" s="10" t="n">
        <f aca="false">BP108</f>
        <v>250000</v>
      </c>
      <c r="BR106" s="10" t="n">
        <f aca="false">BQ108</f>
        <v>250000</v>
      </c>
      <c r="BS106" s="10" t="n">
        <f aca="false">BR108</f>
        <v>250000</v>
      </c>
      <c r="BT106" s="10" t="n">
        <f aca="false">BS108</f>
        <v>250000</v>
      </c>
      <c r="BU106" s="10" t="n">
        <f aca="false">BT108</f>
        <v>250000</v>
      </c>
      <c r="BV106" s="10" t="n">
        <f aca="false">BU108</f>
        <v>250000</v>
      </c>
      <c r="BW106" s="10" t="n">
        <f aca="false">BV108</f>
        <v>250000</v>
      </c>
      <c r="BX106" s="10" t="n">
        <f aca="false">BW108</f>
        <v>250000</v>
      </c>
      <c r="BY106" s="10" t="n">
        <f aca="false">BX108</f>
        <v>250000</v>
      </c>
      <c r="BZ106" s="10" t="n">
        <f aca="false">BY108</f>
        <v>250000</v>
      </c>
      <c r="CA106" s="10" t="n">
        <f aca="false">BZ108</f>
        <v>250000</v>
      </c>
      <c r="CB106" s="10" t="n">
        <f aca="false">CA108</f>
        <v>250000</v>
      </c>
      <c r="CC106" s="10" t="n">
        <f aca="false">CB108</f>
        <v>250000</v>
      </c>
      <c r="CD106" s="10" t="n">
        <f aca="false">CC108</f>
        <v>250000</v>
      </c>
      <c r="CE106" s="10" t="n">
        <f aca="false">CD108</f>
        <v>250000</v>
      </c>
      <c r="CF106" s="10" t="n">
        <f aca="false">CE108</f>
        <v>250000</v>
      </c>
      <c r="CG106" s="10" t="n">
        <f aca="false">CF108</f>
        <v>250000</v>
      </c>
      <c r="CH106" s="10" t="n">
        <f aca="false">CG108</f>
        <v>250000</v>
      </c>
      <c r="CI106" s="25"/>
    </row>
    <row r="107" customFormat="false" ht="15" hidden="false" customHeight="true" outlineLevel="0" collapsed="false">
      <c r="A107" s="9" t="s">
        <v>134</v>
      </c>
      <c r="B107" s="24"/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f aca="false">IF(AND(M106&gt;0,SUM(C96:K96)&gt;=Assumptions!$B$43),-MIN(Assumptions!$B$42,M106),0)</f>
        <v>-250000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f aca="false">IF(AND(Y106&gt;0,SUM(L96:W96)&gt;=Assumptions!$B$43),-MIN(Assumptions!$B$42,Y106),0)</f>
        <v>-250000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f aca="false">IF(AND(AK106&gt;0,SUM(X96:AI96)&gt;=Assumptions!$B$43),-MIN(Assumptions!$B$42,AK106),0)</f>
        <v>-250000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f aca="false">IF(AND(AW106&gt;0,SUM(AJ96:AU96)&gt;=Assumptions!$B$43),-MIN(Assumptions!$B$42,AW106),0)</f>
        <v>0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f aca="false">IF(AND(BI106&gt;0,SUM(AV96:BG96)&gt;=Assumptions!$B$43),-MIN(Assumptions!$B$42,BI106),0)</f>
        <v>0</v>
      </c>
      <c r="BJ107" s="10" t="n">
        <v>0</v>
      </c>
      <c r="BK107" s="10" t="n">
        <v>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f aca="false">IF(AND(BU106&gt;0,SUM(BH96:BS96)&gt;=Assumptions!$B$43),-MIN(Assumptions!$B$42,BU106),0)</f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f aca="false">IF(AND(CG106&gt;0,SUM(BT96:CE96)&gt;=Assumptions!$B$43),-MIN(Assumptions!$B$42,CG106),0)</f>
        <v>0</v>
      </c>
      <c r="CH107" s="10" t="n">
        <v>0</v>
      </c>
      <c r="CI107" s="25"/>
    </row>
    <row r="108" customFormat="false" ht="15" hidden="false" customHeight="true" outlineLevel="0" collapsed="false">
      <c r="A108" s="35" t="s">
        <v>132</v>
      </c>
      <c r="B108" s="30"/>
      <c r="C108" s="34" t="n">
        <f aca="false">MAX(0,C106+C107)</f>
        <v>1000000</v>
      </c>
      <c r="D108" s="34" t="n">
        <f aca="false">MAX(0,D106+D107)</f>
        <v>1000000</v>
      </c>
      <c r="E108" s="34" t="n">
        <f aca="false">MAX(0,E106+E107)</f>
        <v>1000000</v>
      </c>
      <c r="F108" s="34" t="n">
        <f aca="false">MAX(0,F106+F107)</f>
        <v>1000000</v>
      </c>
      <c r="G108" s="34" t="n">
        <f aca="false">MAX(0,G106+G107)</f>
        <v>1000000</v>
      </c>
      <c r="H108" s="34" t="n">
        <f aca="false">MAX(0,H106+H107)</f>
        <v>1000000</v>
      </c>
      <c r="I108" s="34" t="n">
        <f aca="false">MAX(0,I106+I107)</f>
        <v>1000000</v>
      </c>
      <c r="J108" s="34" t="n">
        <f aca="false">MAX(0,J106+J107)</f>
        <v>1000000</v>
      </c>
      <c r="K108" s="34" t="n">
        <f aca="false">MAX(0,K106+K107)</f>
        <v>1000000</v>
      </c>
      <c r="L108" s="34" t="n">
        <f aca="false">MAX(0,L106+L107)</f>
        <v>1000000</v>
      </c>
      <c r="M108" s="34" t="n">
        <f aca="false">MAX(0,M106+M107)</f>
        <v>750000</v>
      </c>
      <c r="N108" s="34" t="n">
        <f aca="false">MAX(0,N106+N107)</f>
        <v>750000</v>
      </c>
      <c r="O108" s="34" t="n">
        <f aca="false">MAX(0,O106+O107)</f>
        <v>750000</v>
      </c>
      <c r="P108" s="34" t="n">
        <f aca="false">MAX(0,P106+P107)</f>
        <v>750000</v>
      </c>
      <c r="Q108" s="34" t="n">
        <f aca="false">MAX(0,Q106+Q107)</f>
        <v>750000</v>
      </c>
      <c r="R108" s="34" t="n">
        <f aca="false">MAX(0,R106+R107)</f>
        <v>750000</v>
      </c>
      <c r="S108" s="34" t="n">
        <f aca="false">MAX(0,S106+S107)</f>
        <v>750000</v>
      </c>
      <c r="T108" s="34" t="n">
        <f aca="false">MAX(0,T106+T107)</f>
        <v>750000</v>
      </c>
      <c r="U108" s="34" t="n">
        <f aca="false">MAX(0,U106+U107)</f>
        <v>750000</v>
      </c>
      <c r="V108" s="34" t="n">
        <f aca="false">MAX(0,V106+V107)</f>
        <v>750000</v>
      </c>
      <c r="W108" s="34" t="n">
        <f aca="false">MAX(0,W106+W107)</f>
        <v>750000</v>
      </c>
      <c r="X108" s="34" t="n">
        <f aca="false">MAX(0,X106+X107)</f>
        <v>750000</v>
      </c>
      <c r="Y108" s="34" t="n">
        <f aca="false">MAX(0,Y106+Y107)</f>
        <v>500000</v>
      </c>
      <c r="Z108" s="34" t="n">
        <f aca="false">MAX(0,Z106+Z107)</f>
        <v>500000</v>
      </c>
      <c r="AA108" s="34" t="n">
        <f aca="false">MAX(0,AA106+AA107)</f>
        <v>500000</v>
      </c>
      <c r="AB108" s="34" t="n">
        <f aca="false">MAX(0,AB106+AB107)</f>
        <v>500000</v>
      </c>
      <c r="AC108" s="34" t="n">
        <f aca="false">MAX(0,AC106+AC107)</f>
        <v>500000</v>
      </c>
      <c r="AD108" s="34" t="n">
        <f aca="false">MAX(0,AD106+AD107)</f>
        <v>500000</v>
      </c>
      <c r="AE108" s="34" t="n">
        <f aca="false">MAX(0,AE106+AE107)</f>
        <v>500000</v>
      </c>
      <c r="AF108" s="34" t="n">
        <f aca="false">MAX(0,AF106+AF107)</f>
        <v>500000</v>
      </c>
      <c r="AG108" s="34" t="n">
        <f aca="false">MAX(0,AG106+AG107)</f>
        <v>500000</v>
      </c>
      <c r="AH108" s="34" t="n">
        <f aca="false">MAX(0,AH106+AH107)</f>
        <v>500000</v>
      </c>
      <c r="AI108" s="34" t="n">
        <f aca="false">MAX(0,AI106+AI107)</f>
        <v>500000</v>
      </c>
      <c r="AJ108" s="34" t="n">
        <f aca="false">MAX(0,AJ106+AJ107)</f>
        <v>500000</v>
      </c>
      <c r="AK108" s="34" t="n">
        <f aca="false">MAX(0,AK106+AK107)</f>
        <v>250000</v>
      </c>
      <c r="AL108" s="34" t="n">
        <f aca="false">MAX(0,AL106+AL107)</f>
        <v>250000</v>
      </c>
      <c r="AM108" s="34" t="n">
        <f aca="false">MAX(0,AM106+AM107)</f>
        <v>250000</v>
      </c>
      <c r="AN108" s="34" t="n">
        <f aca="false">MAX(0,AN106+AN107)</f>
        <v>250000</v>
      </c>
      <c r="AO108" s="34" t="n">
        <f aca="false">MAX(0,AO106+AO107)</f>
        <v>250000</v>
      </c>
      <c r="AP108" s="34" t="n">
        <f aca="false">MAX(0,AP106+AP107)</f>
        <v>250000</v>
      </c>
      <c r="AQ108" s="34" t="n">
        <f aca="false">MAX(0,AQ106+AQ107)</f>
        <v>250000</v>
      </c>
      <c r="AR108" s="34" t="n">
        <f aca="false">MAX(0,AR106+AR107)</f>
        <v>250000</v>
      </c>
      <c r="AS108" s="34" t="n">
        <f aca="false">MAX(0,AS106+AS107)</f>
        <v>250000</v>
      </c>
      <c r="AT108" s="34" t="n">
        <f aca="false">MAX(0,AT106+AT107)</f>
        <v>250000</v>
      </c>
      <c r="AU108" s="34" t="n">
        <f aca="false">MAX(0,AU106+AU107)</f>
        <v>250000</v>
      </c>
      <c r="AV108" s="34" t="n">
        <f aca="false">MAX(0,AV106+AV107)</f>
        <v>250000</v>
      </c>
      <c r="AW108" s="34" t="n">
        <f aca="false">MAX(0,AW106+AW107)</f>
        <v>250000</v>
      </c>
      <c r="AX108" s="34" t="n">
        <f aca="false">MAX(0,AX106+AX107)</f>
        <v>250000</v>
      </c>
      <c r="AY108" s="34" t="n">
        <f aca="false">MAX(0,AY106+AY107)</f>
        <v>250000</v>
      </c>
      <c r="AZ108" s="34" t="n">
        <f aca="false">MAX(0,AZ106+AZ107)</f>
        <v>250000</v>
      </c>
      <c r="BA108" s="34" t="n">
        <f aca="false">MAX(0,BA106+BA107)</f>
        <v>250000</v>
      </c>
      <c r="BB108" s="34" t="n">
        <f aca="false">MAX(0,BB106+BB107)</f>
        <v>250000</v>
      </c>
      <c r="BC108" s="34" t="n">
        <f aca="false">MAX(0,BC106+BC107)</f>
        <v>250000</v>
      </c>
      <c r="BD108" s="34" t="n">
        <f aca="false">MAX(0,BD106+BD107)</f>
        <v>250000</v>
      </c>
      <c r="BE108" s="34" t="n">
        <f aca="false">MAX(0,BE106+BE107)</f>
        <v>250000</v>
      </c>
      <c r="BF108" s="34" t="n">
        <f aca="false">MAX(0,BF106+BF107)</f>
        <v>250000</v>
      </c>
      <c r="BG108" s="34" t="n">
        <f aca="false">MAX(0,BG106+BG107)</f>
        <v>250000</v>
      </c>
      <c r="BH108" s="34" t="n">
        <f aca="false">MAX(0,BH106+BH107)</f>
        <v>250000</v>
      </c>
      <c r="BI108" s="34" t="n">
        <f aca="false">MAX(0,BI106+BI107)</f>
        <v>250000</v>
      </c>
      <c r="BJ108" s="34" t="n">
        <f aca="false">MAX(0,BJ106+BJ107)</f>
        <v>250000</v>
      </c>
      <c r="BK108" s="34" t="n">
        <f aca="false">MAX(0,BK106+BK107)</f>
        <v>250000</v>
      </c>
      <c r="BL108" s="34" t="n">
        <f aca="false">MAX(0,BL106+BL107)</f>
        <v>250000</v>
      </c>
      <c r="BM108" s="34" t="n">
        <f aca="false">MAX(0,BM106+BM107)</f>
        <v>250000</v>
      </c>
      <c r="BN108" s="34" t="n">
        <f aca="false">MAX(0,BN106+BN107)</f>
        <v>250000</v>
      </c>
      <c r="BO108" s="34" t="n">
        <f aca="false">MAX(0,BO106+BO107)</f>
        <v>250000</v>
      </c>
      <c r="BP108" s="34" t="n">
        <f aca="false">MAX(0,BP106+BP107)</f>
        <v>250000</v>
      </c>
      <c r="BQ108" s="34" t="n">
        <f aca="false">MAX(0,BQ106+BQ107)</f>
        <v>250000</v>
      </c>
      <c r="BR108" s="34" t="n">
        <f aca="false">MAX(0,BR106+BR107)</f>
        <v>250000</v>
      </c>
      <c r="BS108" s="34" t="n">
        <f aca="false">MAX(0,BS106+BS107)</f>
        <v>250000</v>
      </c>
      <c r="BT108" s="34" t="n">
        <f aca="false">MAX(0,BT106+BT107)</f>
        <v>250000</v>
      </c>
      <c r="BU108" s="34" t="n">
        <f aca="false">MAX(0,BU106+BU107)</f>
        <v>250000</v>
      </c>
      <c r="BV108" s="34" t="n">
        <f aca="false">MAX(0,BV106+BV107)</f>
        <v>250000</v>
      </c>
      <c r="BW108" s="34" t="n">
        <f aca="false">MAX(0,BW106+BW107)</f>
        <v>250000</v>
      </c>
      <c r="BX108" s="34" t="n">
        <f aca="false">MAX(0,BX106+BX107)</f>
        <v>250000</v>
      </c>
      <c r="BY108" s="34" t="n">
        <f aca="false">MAX(0,BY106+BY107)</f>
        <v>250000</v>
      </c>
      <c r="BZ108" s="34" t="n">
        <f aca="false">MAX(0,BZ106+BZ107)</f>
        <v>250000</v>
      </c>
      <c r="CA108" s="34" t="n">
        <f aca="false">MAX(0,CA106+CA107)</f>
        <v>250000</v>
      </c>
      <c r="CB108" s="34" t="n">
        <f aca="false">MAX(0,CB106+CB107)</f>
        <v>250000</v>
      </c>
      <c r="CC108" s="34" t="n">
        <f aca="false">MAX(0,CC106+CC107)</f>
        <v>250000</v>
      </c>
      <c r="CD108" s="34" t="n">
        <f aca="false">MAX(0,CD106+CD107)</f>
        <v>250000</v>
      </c>
      <c r="CE108" s="34" t="n">
        <f aca="false">MAX(0,CE106+CE107)</f>
        <v>250000</v>
      </c>
      <c r="CF108" s="34" t="n">
        <f aca="false">MAX(0,CF106+CF107)</f>
        <v>250000</v>
      </c>
      <c r="CG108" s="34" t="n">
        <f aca="false">MAX(0,CG106+CG107)</f>
        <v>250000</v>
      </c>
      <c r="CH108" s="34" t="n">
        <f aca="false">MAX(0,CH106+CH107)</f>
        <v>250000</v>
      </c>
      <c r="CI108" s="25"/>
    </row>
    <row r="109" customFormat="false" ht="16.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7"/>
    </row>
    <row r="110" customFormat="false" ht="15" hidden="false" customHeight="true" outlineLevel="0" collapsed="false">
      <c r="A110" s="4" t="s">
        <v>135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IF(AND(Projects!$G$11="Yes",Projects!$C$11&lt;=1),Assumptions!$B$60,0)</f>
        <v>0</v>
      </c>
      <c r="D111" s="38" t="n">
        <f aca="false">IF(AND(Projects!$G$11="Yes",2=Projects!$C$11),Assumptions!$B$60,C115)</f>
        <v>0</v>
      </c>
      <c r="E111" s="38" t="n">
        <f aca="false">IF(AND(Projects!$G$11="Yes",3=Projects!$C$11),Assumptions!$B$60,D115)</f>
        <v>0</v>
      </c>
      <c r="F111" s="38" t="n">
        <f aca="false">IF(AND(Projects!$G$11="Yes",4=Projects!$C$11),Assumptions!$B$60,E115)</f>
        <v>0</v>
      </c>
      <c r="G111" s="38" t="n">
        <f aca="false">IF(AND(Projects!$G$11="Yes",5=Projects!$C$11),Assumptions!$B$60,F115)</f>
        <v>0</v>
      </c>
      <c r="H111" s="38" t="n">
        <f aca="false">IF(AND(Projects!$G$11="Yes",6=Projects!$C$11),Assumptions!$B$60,G115)</f>
        <v>0</v>
      </c>
      <c r="I111" s="38" t="n">
        <f aca="false">IF(AND(Projects!$G$11="Yes",7=Projects!$C$11),Assumptions!$B$60,H115)</f>
        <v>0</v>
      </c>
      <c r="J111" s="38" t="n">
        <f aca="false">IF(AND(Projects!$G$11="Yes",8=Projects!$C$11),Assumptions!$B$60,I115)</f>
        <v>0</v>
      </c>
      <c r="K111" s="38" t="n">
        <f aca="false">IF(AND(Projects!$G$11="Yes",9=Projects!$C$11),Assumptions!$B$60,J115)</f>
        <v>0</v>
      </c>
      <c r="L111" s="38" t="n">
        <f aca="false">IF(AND(Projects!$G$11="Yes",10=Projects!$C$11),Assumptions!$B$60,K115)</f>
        <v>0</v>
      </c>
      <c r="M111" s="38" t="n">
        <f aca="false">IF(AND(Projects!$G$11="Yes",11=Projects!$C$11),Assumptions!$B$60,L115)</f>
        <v>0</v>
      </c>
      <c r="N111" s="38" t="n">
        <f aca="false">IF(AND(Projects!$G$11="Yes",12=Projects!$C$11),Assumptions!$B$60,M115)</f>
        <v>0</v>
      </c>
      <c r="O111" s="38" t="n">
        <f aca="false">IF(AND(Projects!$G$11="Yes",13=Projects!$C$11),Assumptions!$B$60,N115)</f>
        <v>0</v>
      </c>
      <c r="P111" s="38" t="n">
        <f aca="false">IF(AND(Projects!$G$11="Yes",14=Projects!$C$11),Assumptions!$B$60,O115)</f>
        <v>0</v>
      </c>
      <c r="Q111" s="38" t="n">
        <f aca="false">IF(AND(Projects!$G$11="Yes",15=Projects!$C$11),Assumptions!$B$60,P115)</f>
        <v>0</v>
      </c>
      <c r="R111" s="38" t="n">
        <f aca="false">IF(AND(Projects!$G$11="Yes",16=Projects!$C$11),Assumptions!$B$60,Q115)</f>
        <v>0</v>
      </c>
      <c r="S111" s="38" t="n">
        <f aca="false">IF(AND(Projects!$G$11="Yes",17=Projects!$C$11),Assumptions!$B$60,R115)</f>
        <v>0</v>
      </c>
      <c r="T111" s="38" t="n">
        <f aca="false">IF(AND(Projects!$G$11="Yes",18=Projects!$C$11),Assumptions!$B$60,S115)</f>
        <v>0</v>
      </c>
      <c r="U111" s="38" t="n">
        <f aca="false">IF(AND(Projects!$G$11="Yes",19=Projects!$C$11),Assumptions!$B$60,T115)</f>
        <v>0</v>
      </c>
      <c r="V111" s="38" t="n">
        <f aca="false">IF(AND(Projects!$G$11="Yes",20=Projects!$C$11),Assumptions!$B$60,U115)</f>
        <v>0</v>
      </c>
      <c r="W111" s="38" t="n">
        <f aca="false">IF(AND(Projects!$G$11="Yes",21=Projects!$C$11),Assumptions!$B$60,V115)</f>
        <v>0</v>
      </c>
      <c r="X111" s="38" t="n">
        <f aca="false">IF(AND(Projects!$G$11="Yes",22=Projects!$C$11),Assumptions!$B$60,W115)</f>
        <v>0</v>
      </c>
      <c r="Y111" s="38" t="n">
        <f aca="false">IF(AND(Projects!$G$11="Yes",23=Projects!$C$11),Assumptions!$B$60,X115)</f>
        <v>0</v>
      </c>
      <c r="Z111" s="38" t="n">
        <f aca="false">IF(AND(Projects!$G$11="Yes",24=Projects!$C$11),Assumptions!$B$60,Y115)</f>
        <v>0</v>
      </c>
      <c r="AA111" s="38" t="n">
        <f aca="false">IF(AND(Projects!$G$11="Yes",25=Projects!$C$11),Assumptions!$B$60,Z115)</f>
        <v>0</v>
      </c>
      <c r="AB111" s="38" t="n">
        <f aca="false">IF(AND(Projects!$G$11="Yes",26=Projects!$C$11),Assumptions!$B$60,AA115)</f>
        <v>0</v>
      </c>
      <c r="AC111" s="38" t="n">
        <f aca="false">IF(AND(Projects!$G$11="Yes",27=Projects!$C$11),Assumptions!$B$60,AB115)</f>
        <v>0</v>
      </c>
      <c r="AD111" s="38" t="n">
        <f aca="false">IF(AND(Projects!$G$11="Yes",28=Projects!$C$11),Assumptions!$B$60,AC115)</f>
        <v>0</v>
      </c>
      <c r="AE111" s="38" t="n">
        <f aca="false">IF(AND(Projects!$G$11="Yes",29=Projects!$C$11),Assumptions!$B$60,AD115)</f>
        <v>0</v>
      </c>
      <c r="AF111" s="38" t="n">
        <f aca="false">IF(AND(Projects!$G$11="Yes",30=Projects!$C$11),Assumptions!$B$60,AE115)</f>
        <v>0</v>
      </c>
      <c r="AG111" s="38" t="n">
        <f aca="false">IF(AND(Projects!$G$11="Yes",31=Projects!$C$11),Assumptions!$B$60,AF115)</f>
        <v>0</v>
      </c>
      <c r="AH111" s="38" t="n">
        <f aca="false">IF(AND(Projects!$G$11="Yes",32=Projects!$C$11),Assumptions!$B$60,AG115)</f>
        <v>0</v>
      </c>
      <c r="AI111" s="38" t="n">
        <f aca="false">IF(AND(Projects!$G$11="Yes",33=Projects!$C$11),Assumptions!$B$60,AH115)</f>
        <v>0</v>
      </c>
      <c r="AJ111" s="38" t="n">
        <f aca="false">IF(AND(Projects!$G$11="Yes",34=Projects!$C$11),Assumptions!$B$60,AI115)</f>
        <v>0</v>
      </c>
      <c r="AK111" s="38" t="n">
        <f aca="false">IF(AND(Projects!$G$11="Yes",35=Projects!$C$11),Assumptions!$B$60,AJ115)</f>
        <v>0</v>
      </c>
      <c r="AL111" s="38" t="n">
        <f aca="false">IF(AND(Projects!$G$11="Yes",36=Projects!$C$11),Assumptions!$B$60,AK115)</f>
        <v>0</v>
      </c>
      <c r="AM111" s="38" t="n">
        <f aca="false">IF(AND(Projects!$G$11="Yes",37=Projects!$C$11),Assumptions!$B$60,AL115)</f>
        <v>0</v>
      </c>
      <c r="AN111" s="38" t="n">
        <f aca="false">IF(AND(Projects!$G$11="Yes",38=Projects!$C$11),Assumptions!$B$60,AM115)</f>
        <v>0</v>
      </c>
      <c r="AO111" s="38" t="n">
        <f aca="false">IF(AND(Projects!$G$11="Yes",39=Projects!$C$11),Assumptions!$B$60,AN115)</f>
        <v>0</v>
      </c>
      <c r="AP111" s="38" t="n">
        <f aca="false">IF(AND(Projects!$G$11="Yes",40=Projects!$C$11),Assumptions!$B$60,AO115)</f>
        <v>0</v>
      </c>
      <c r="AQ111" s="38" t="n">
        <f aca="false">IF(AND(Projects!$G$11="Yes",41=Projects!$C$11),Assumptions!$B$60,AP115)</f>
        <v>0</v>
      </c>
      <c r="AR111" s="38" t="n">
        <f aca="false">IF(AND(Projects!$G$11="Yes",42=Projects!$C$11),Assumptions!$B$60,AQ115)</f>
        <v>0</v>
      </c>
      <c r="AS111" s="38" t="n">
        <f aca="false">IF(AND(Projects!$G$11="Yes",43=Projects!$C$11),Assumptions!$B$60,AR115)</f>
        <v>0</v>
      </c>
      <c r="AT111" s="38" t="n">
        <f aca="false">IF(AND(Projects!$G$11="Yes",44=Projects!$C$11),Assumptions!$B$60,AS115)</f>
        <v>0</v>
      </c>
      <c r="AU111" s="38" t="n">
        <f aca="false">IF(AND(Projects!$G$11="Yes",45=Projects!$C$11),Assumptions!$B$60,AT115)</f>
        <v>0</v>
      </c>
      <c r="AV111" s="38" t="n">
        <f aca="false">IF(AND(Projects!$G$11="Yes",46=Projects!$C$11),Assumptions!$B$60,AU115)</f>
        <v>0</v>
      </c>
      <c r="AW111" s="38" t="n">
        <f aca="false">IF(AND(Projects!$G$11="Yes",47=Projects!$C$11),Assumptions!$B$60,AV115)</f>
        <v>0</v>
      </c>
      <c r="AX111" s="38" t="n">
        <f aca="false">IF(AND(Projects!$G$11="Yes",48=Projects!$C$11),Assumptions!$B$60,AW115)</f>
        <v>0</v>
      </c>
      <c r="AY111" s="38" t="n">
        <f aca="false">IF(AND(Projects!$G$11="Yes",49=Projects!$C$11),Assumptions!$B$60,AX115)</f>
        <v>0</v>
      </c>
      <c r="AZ111" s="38" t="n">
        <f aca="false">IF(AND(Projects!$G$11="Yes",50=Projects!$C$11),Assumptions!$B$60,AY115)</f>
        <v>0</v>
      </c>
      <c r="BA111" s="38" t="n">
        <f aca="false">IF(AND(Projects!$G$11="Yes",51=Projects!$C$11),Assumptions!$B$60,AZ115)</f>
        <v>0</v>
      </c>
      <c r="BB111" s="38" t="n">
        <f aca="false">IF(AND(Projects!$G$11="Yes",52=Projects!$C$11),Assumptions!$B$60,BA115)</f>
        <v>0</v>
      </c>
      <c r="BC111" s="38" t="n">
        <f aca="false">IF(AND(Projects!$G$11="Yes",53=Projects!$C$11),Assumptions!$B$60,BB115)</f>
        <v>0</v>
      </c>
      <c r="BD111" s="38" t="n">
        <f aca="false">IF(AND(Projects!$G$11="Yes",54=Projects!$C$11),Assumptions!$B$60,BC115)</f>
        <v>0</v>
      </c>
      <c r="BE111" s="38" t="n">
        <f aca="false">IF(AND(Projects!$G$11="Yes",55=Projects!$C$11),Assumptions!$B$60,BD115)</f>
        <v>0</v>
      </c>
      <c r="BF111" s="38" t="n">
        <f aca="false">IF(AND(Projects!$G$11="Yes",56=Projects!$C$11),Assumptions!$B$60,BE115)</f>
        <v>0</v>
      </c>
      <c r="BG111" s="38" t="n">
        <f aca="false">IF(AND(Projects!$G$11="Yes",57=Projects!$C$11),Assumptions!$B$60,BF115)</f>
        <v>0</v>
      </c>
      <c r="BH111" s="38" t="n">
        <f aca="false">IF(AND(Projects!$G$11="Yes",58=Projects!$C$11),Assumptions!$B$60,BG115)</f>
        <v>0</v>
      </c>
      <c r="BI111" s="38" t="n">
        <f aca="false">IF(AND(Projects!$G$11="Yes",59=Projects!$C$11),Assumptions!$B$60,BH115)</f>
        <v>0</v>
      </c>
      <c r="BJ111" s="38" t="n">
        <f aca="false">IF(AND(Projects!$G$11="Yes",60=Projects!$C$11),Assumptions!$B$60,BI115)</f>
        <v>0</v>
      </c>
      <c r="BK111" s="38" t="n">
        <f aca="false">IF(AND(Projects!$G$11="Yes",61=Projects!$C$11),Assumptions!$B$60,BJ115)</f>
        <v>0</v>
      </c>
      <c r="BL111" s="38" t="n">
        <f aca="false">IF(AND(Projects!$G$11="Yes",62=Projects!$C$11),Assumptions!$B$60,BK115)</f>
        <v>0</v>
      </c>
      <c r="BM111" s="38" t="n">
        <f aca="false">IF(AND(Projects!$G$11="Yes",63=Projects!$C$11),Assumptions!$B$60,BL115)</f>
        <v>0</v>
      </c>
      <c r="BN111" s="38" t="n">
        <f aca="false">IF(AND(Projects!$G$11="Yes",64=Projects!$C$11),Assumptions!$B$60,BM115)</f>
        <v>0</v>
      </c>
      <c r="BO111" s="38" t="n">
        <f aca="false">IF(AND(Projects!$G$11="Yes",65=Projects!$C$11),Assumptions!$B$60,BN115)</f>
        <v>0</v>
      </c>
      <c r="BP111" s="38" t="n">
        <f aca="false">IF(AND(Projects!$G$11="Yes",66=Projects!$C$11),Assumptions!$B$60,BO115)</f>
        <v>0</v>
      </c>
      <c r="BQ111" s="38" t="n">
        <f aca="false">IF(AND(Projects!$G$11="Yes",67=Projects!$C$11),Assumptions!$B$60,BP115)</f>
        <v>0</v>
      </c>
      <c r="BR111" s="38" t="n">
        <f aca="false">IF(AND(Projects!$G$11="Yes",68=Projects!$C$11),Assumptions!$B$60,BQ115)</f>
        <v>0</v>
      </c>
      <c r="BS111" s="38" t="n">
        <f aca="false">IF(AND(Projects!$G$11="Yes",69=Projects!$C$11),Assumptions!$B$60,BR115)</f>
        <v>0</v>
      </c>
      <c r="BT111" s="38" t="n">
        <f aca="false">IF(AND(Projects!$G$11="Yes",70=Projects!$C$11),Assumptions!$B$60,BS115)</f>
        <v>0</v>
      </c>
      <c r="BU111" s="38" t="n">
        <f aca="false">IF(AND(Projects!$G$11="Yes",71=Projects!$C$11),Assumptions!$B$60,BT115)</f>
        <v>0</v>
      </c>
      <c r="BV111" s="38" t="n">
        <f aca="false">IF(AND(Projects!$G$11="Yes",72=Projects!$C$11),Assumptions!$B$60,BU115)</f>
        <v>0</v>
      </c>
      <c r="BW111" s="38" t="n">
        <f aca="false">IF(AND(Projects!$G$11="Yes",73=Projects!$C$11),Assumptions!$B$60,BV115)</f>
        <v>0</v>
      </c>
      <c r="BX111" s="38" t="n">
        <f aca="false">IF(AND(Projects!$G$11="Yes",74=Projects!$C$11),Assumptions!$B$60,BW115)</f>
        <v>0</v>
      </c>
      <c r="BY111" s="38" t="n">
        <f aca="false">IF(AND(Projects!$G$11="Yes",75=Projects!$C$11),Assumptions!$B$60,BX115)</f>
        <v>0</v>
      </c>
      <c r="BZ111" s="38" t="n">
        <f aca="false">IF(AND(Projects!$G$11="Yes",76=Projects!$C$11),Assumptions!$B$60,BY115)</f>
        <v>0</v>
      </c>
      <c r="CA111" s="38" t="n">
        <f aca="false">IF(AND(Projects!$G$11="Yes",77=Projects!$C$11),Assumptions!$B$60,BZ115)</f>
        <v>0</v>
      </c>
      <c r="CB111" s="38" t="n">
        <f aca="false">IF(AND(Projects!$G$11="Yes",78=Projects!$C$11),Assumptions!$B$60,CA115)</f>
        <v>0</v>
      </c>
      <c r="CC111" s="38" t="n">
        <f aca="false">IF(AND(Projects!$G$11="Yes",79=Projects!$C$11),Assumptions!$B$60,CB115)</f>
        <v>0</v>
      </c>
      <c r="CD111" s="38" t="n">
        <f aca="false">IF(AND(Projects!$G$11="Yes",80=Projects!$C$11),Assumptions!$B$60,CC115)</f>
        <v>0</v>
      </c>
      <c r="CE111" s="38" t="n">
        <f aca="false">IF(AND(Projects!$G$11="Yes",81=Projects!$C$11),Assumptions!$B$60,CD115)</f>
        <v>0</v>
      </c>
      <c r="CF111" s="38" t="n">
        <f aca="false">IF(AND(Projects!$G$11="Yes",82=Projects!$C$11),Assumptions!$B$60,CE115)</f>
        <v>0</v>
      </c>
      <c r="CG111" s="38" t="n">
        <f aca="false">IF(AND(Projects!$G$11="Yes",83=Projects!$C$11),Assumptions!$B$60,CF115)</f>
        <v>0</v>
      </c>
      <c r="CH111" s="38" t="n">
        <f aca="false">IF(AND(Projects!$G$11="Yes",84=Projects!$C$11),Assumptions!$B$60,CG115)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f aca="false">IF(AND(MOD(1,3)=0,C111&gt;0),C111*Assumptions!$B$59,0)</f>
        <v>0</v>
      </c>
      <c r="D112" s="38" t="n">
        <f aca="false">IF(AND(MOD(2,3)=0,D111&gt;0),D111*Assumptions!$B$59,0)</f>
        <v>0</v>
      </c>
      <c r="E112" s="38" t="n">
        <f aca="false">IF(AND(MOD(3,3)=0,E111&gt;0),E111*Assumptions!$B$59,0)</f>
        <v>0</v>
      </c>
      <c r="F112" s="38" t="n">
        <f aca="false">IF(AND(MOD(4,3)=0,F111&gt;0),F111*Assumptions!$B$59,0)</f>
        <v>0</v>
      </c>
      <c r="G112" s="38" t="n">
        <f aca="false">IF(AND(MOD(5,3)=0,G111&gt;0),G111*Assumptions!$B$59,0)</f>
        <v>0</v>
      </c>
      <c r="H112" s="38" t="n">
        <f aca="false">IF(AND(MOD(6,3)=0,H111&gt;0),H111*Assumptions!$B$59,0)</f>
        <v>0</v>
      </c>
      <c r="I112" s="38" t="n">
        <f aca="false">IF(AND(MOD(7,3)=0,I111&gt;0),I111*Assumptions!$B$59,0)</f>
        <v>0</v>
      </c>
      <c r="J112" s="38" t="n">
        <f aca="false">IF(AND(MOD(8,3)=0,J111&gt;0),J111*Assumptions!$B$59,0)</f>
        <v>0</v>
      </c>
      <c r="K112" s="38" t="n">
        <f aca="false">IF(AND(MOD(9,3)=0,K111&gt;0),K111*Assumptions!$B$59,0)</f>
        <v>0</v>
      </c>
      <c r="L112" s="38" t="n">
        <f aca="false">IF(AND(MOD(10,3)=0,L111&gt;0),L111*Assumptions!$B$59,0)</f>
        <v>0</v>
      </c>
      <c r="M112" s="38" t="n">
        <f aca="false">IF(AND(MOD(11,3)=0,M111&gt;0),M111*Assumptions!$B$59,0)</f>
        <v>0</v>
      </c>
      <c r="N112" s="38" t="n">
        <f aca="false">IF(AND(MOD(12,3)=0,N111&gt;0),N111*Assumptions!$B$59,0)</f>
        <v>0</v>
      </c>
      <c r="O112" s="38" t="n">
        <f aca="false">IF(AND(MOD(13,3)=0,O111&gt;0),O111*Assumptions!$B$59,0)</f>
        <v>0</v>
      </c>
      <c r="P112" s="38" t="n">
        <f aca="false">IF(AND(MOD(14,3)=0,P111&gt;0),P111*Assumptions!$B$59,0)</f>
        <v>0</v>
      </c>
      <c r="Q112" s="38" t="n">
        <f aca="false">IF(AND(MOD(15,3)=0,Q111&gt;0),Q111*Assumptions!$B$59,0)</f>
        <v>0</v>
      </c>
      <c r="R112" s="38" t="n">
        <f aca="false">IF(AND(MOD(16,3)=0,R111&gt;0),R111*Assumptions!$B$59,0)</f>
        <v>0</v>
      </c>
      <c r="S112" s="38" t="n">
        <f aca="false">IF(AND(MOD(17,3)=0,S111&gt;0),S111*Assumptions!$B$59,0)</f>
        <v>0</v>
      </c>
      <c r="T112" s="38" t="n">
        <f aca="false">IF(AND(MOD(18,3)=0,T111&gt;0),T111*Assumptions!$B$59,0)</f>
        <v>0</v>
      </c>
      <c r="U112" s="38" t="n">
        <f aca="false">IF(AND(MOD(19,3)=0,U111&gt;0),U111*Assumptions!$B$59,0)</f>
        <v>0</v>
      </c>
      <c r="V112" s="38" t="n">
        <f aca="false">IF(AND(MOD(20,3)=0,V111&gt;0),V111*Assumptions!$B$59,0)</f>
        <v>0</v>
      </c>
      <c r="W112" s="38" t="n">
        <f aca="false">IF(AND(MOD(21,3)=0,W111&gt;0),W111*Assumptions!$B$59,0)</f>
        <v>0</v>
      </c>
      <c r="X112" s="38" t="n">
        <f aca="false">IF(AND(MOD(22,3)=0,X111&gt;0),X111*Assumptions!$B$59,0)</f>
        <v>0</v>
      </c>
      <c r="Y112" s="38" t="n">
        <f aca="false">IF(AND(MOD(23,3)=0,Y111&gt;0),Y111*Assumptions!$B$59,0)</f>
        <v>0</v>
      </c>
      <c r="Z112" s="38" t="n">
        <f aca="false">IF(AND(MOD(24,3)=0,Z111&gt;0),Z111*Assumptions!$B$59,0)</f>
        <v>0</v>
      </c>
      <c r="AA112" s="38" t="n">
        <f aca="false">IF(AND(MOD(25,3)=0,AA111&gt;0),AA111*Assumptions!$B$59,0)</f>
        <v>0</v>
      </c>
      <c r="AB112" s="38" t="n">
        <f aca="false">IF(AND(MOD(26,3)=0,AB111&gt;0),AB111*Assumptions!$B$59,0)</f>
        <v>0</v>
      </c>
      <c r="AC112" s="38" t="n">
        <f aca="false">IF(AND(MOD(27,3)=0,AC111&gt;0),AC111*Assumptions!$B$59,0)</f>
        <v>0</v>
      </c>
      <c r="AD112" s="38" t="n">
        <f aca="false">IF(AND(MOD(28,3)=0,AD111&gt;0),AD111*Assumptions!$B$59,0)</f>
        <v>0</v>
      </c>
      <c r="AE112" s="38" t="n">
        <f aca="false">IF(AND(MOD(29,3)=0,AE111&gt;0),AE111*Assumptions!$B$59,0)</f>
        <v>0</v>
      </c>
      <c r="AF112" s="38" t="n">
        <f aca="false">IF(AND(MOD(30,3)=0,AF111&gt;0),AF111*Assumptions!$B$59,0)</f>
        <v>0</v>
      </c>
      <c r="AG112" s="38" t="n">
        <f aca="false">IF(AND(MOD(31,3)=0,AG111&gt;0),AG111*Assumptions!$B$59,0)</f>
        <v>0</v>
      </c>
      <c r="AH112" s="38" t="n">
        <f aca="false">IF(AND(MOD(32,3)=0,AH111&gt;0),AH111*Assumptions!$B$59,0)</f>
        <v>0</v>
      </c>
      <c r="AI112" s="38" t="n">
        <f aca="false">IF(AND(MOD(33,3)=0,AI111&gt;0),AI111*Assumptions!$B$59,0)</f>
        <v>0</v>
      </c>
      <c r="AJ112" s="38" t="n">
        <f aca="false">IF(AND(MOD(34,3)=0,AJ111&gt;0),AJ111*Assumptions!$B$59,0)</f>
        <v>0</v>
      </c>
      <c r="AK112" s="38" t="n">
        <f aca="false">IF(AND(MOD(35,3)=0,AK111&gt;0),AK111*Assumptions!$B$59,0)</f>
        <v>0</v>
      </c>
      <c r="AL112" s="38" t="n">
        <f aca="false">IF(AND(MOD(36,3)=0,AL111&gt;0),AL111*Assumptions!$B$59,0)</f>
        <v>0</v>
      </c>
      <c r="AM112" s="38" t="n">
        <f aca="false">IF(AND(MOD(37,3)=0,AM111&gt;0),AM111*Assumptions!$B$59,0)</f>
        <v>0</v>
      </c>
      <c r="AN112" s="38" t="n">
        <f aca="false">IF(AND(MOD(38,3)=0,AN111&gt;0),AN111*Assumptions!$B$59,0)</f>
        <v>0</v>
      </c>
      <c r="AO112" s="38" t="n">
        <f aca="false">IF(AND(MOD(39,3)=0,AO111&gt;0),AO111*Assumptions!$B$59,0)</f>
        <v>0</v>
      </c>
      <c r="AP112" s="38" t="n">
        <f aca="false">IF(AND(MOD(40,3)=0,AP111&gt;0),AP111*Assumptions!$B$59,0)</f>
        <v>0</v>
      </c>
      <c r="AQ112" s="38" t="n">
        <f aca="false">IF(AND(MOD(41,3)=0,AQ111&gt;0),AQ111*Assumptions!$B$59,0)</f>
        <v>0</v>
      </c>
      <c r="AR112" s="38" t="n">
        <f aca="false">IF(AND(MOD(42,3)=0,AR111&gt;0),AR111*Assumptions!$B$59,0)</f>
        <v>0</v>
      </c>
      <c r="AS112" s="38" t="n">
        <f aca="false">IF(AND(MOD(43,3)=0,AS111&gt;0),AS111*Assumptions!$B$59,0)</f>
        <v>0</v>
      </c>
      <c r="AT112" s="38" t="n">
        <f aca="false">IF(AND(MOD(44,3)=0,AT111&gt;0),AT111*Assumptions!$B$59,0)</f>
        <v>0</v>
      </c>
      <c r="AU112" s="38" t="n">
        <f aca="false">IF(AND(MOD(45,3)=0,AU111&gt;0),AU111*Assumptions!$B$59,0)</f>
        <v>0</v>
      </c>
      <c r="AV112" s="38" t="n">
        <f aca="false">IF(AND(MOD(46,3)=0,AV111&gt;0),AV111*Assumptions!$B$59,0)</f>
        <v>0</v>
      </c>
      <c r="AW112" s="38" t="n">
        <f aca="false">IF(AND(MOD(47,3)=0,AW111&gt;0),AW111*Assumptions!$B$59,0)</f>
        <v>0</v>
      </c>
      <c r="AX112" s="38" t="n">
        <f aca="false">IF(AND(MOD(48,3)=0,AX111&gt;0),AX111*Assumptions!$B$59,0)</f>
        <v>0</v>
      </c>
      <c r="AY112" s="38" t="n">
        <f aca="false">IF(AND(MOD(49,3)=0,AY111&gt;0),AY111*Assumptions!$B$59,0)</f>
        <v>0</v>
      </c>
      <c r="AZ112" s="38" t="n">
        <f aca="false">IF(AND(MOD(50,3)=0,AZ111&gt;0),AZ111*Assumptions!$B$59,0)</f>
        <v>0</v>
      </c>
      <c r="BA112" s="38" t="n">
        <f aca="false">IF(AND(MOD(51,3)=0,BA111&gt;0),BA111*Assumptions!$B$59,0)</f>
        <v>0</v>
      </c>
      <c r="BB112" s="38" t="n">
        <f aca="false">IF(AND(MOD(52,3)=0,BB111&gt;0),BB111*Assumptions!$B$59,0)</f>
        <v>0</v>
      </c>
      <c r="BC112" s="38" t="n">
        <f aca="false">IF(AND(MOD(53,3)=0,BC111&gt;0),BC111*Assumptions!$B$59,0)</f>
        <v>0</v>
      </c>
      <c r="BD112" s="38" t="n">
        <f aca="false">IF(AND(MOD(54,3)=0,BD111&gt;0),BD111*Assumptions!$B$59,0)</f>
        <v>0</v>
      </c>
      <c r="BE112" s="38" t="n">
        <f aca="false">IF(AND(MOD(55,3)=0,BE111&gt;0),BE111*Assumptions!$B$59,0)</f>
        <v>0</v>
      </c>
      <c r="BF112" s="38" t="n">
        <f aca="false">IF(AND(MOD(56,3)=0,BF111&gt;0),BF111*Assumptions!$B$59,0)</f>
        <v>0</v>
      </c>
      <c r="BG112" s="38" t="n">
        <f aca="false">IF(AND(MOD(57,3)=0,BG111&gt;0),BG111*Assumptions!$B$59,0)</f>
        <v>0</v>
      </c>
      <c r="BH112" s="38" t="n">
        <f aca="false">IF(AND(MOD(58,3)=0,BH111&gt;0),BH111*Assumptions!$B$59,0)</f>
        <v>0</v>
      </c>
      <c r="BI112" s="38" t="n">
        <f aca="false">IF(AND(MOD(59,3)=0,BI111&gt;0),BI111*Assumptions!$B$59,0)</f>
        <v>0</v>
      </c>
      <c r="BJ112" s="38" t="n">
        <f aca="false">IF(AND(MOD(60,3)=0,BJ111&gt;0),BJ111*Assumptions!$B$59,0)</f>
        <v>0</v>
      </c>
      <c r="BK112" s="38" t="n">
        <f aca="false">IF(AND(MOD(61,3)=0,BK111&gt;0),BK111*Assumptions!$B$59,0)</f>
        <v>0</v>
      </c>
      <c r="BL112" s="38" t="n">
        <f aca="false">IF(AND(MOD(62,3)=0,BL111&gt;0),BL111*Assumptions!$B$59,0)</f>
        <v>0</v>
      </c>
      <c r="BM112" s="38" t="n">
        <f aca="false">IF(AND(MOD(63,3)=0,BM111&gt;0),BM111*Assumptions!$B$59,0)</f>
        <v>0</v>
      </c>
      <c r="BN112" s="38" t="n">
        <f aca="false">IF(AND(MOD(64,3)=0,BN111&gt;0),BN111*Assumptions!$B$59,0)</f>
        <v>0</v>
      </c>
      <c r="BO112" s="38" t="n">
        <f aca="false">IF(AND(MOD(65,3)=0,BO111&gt;0),BO111*Assumptions!$B$59,0)</f>
        <v>0</v>
      </c>
      <c r="BP112" s="38" t="n">
        <f aca="false">IF(AND(MOD(66,3)=0,BP111&gt;0),BP111*Assumptions!$B$59,0)</f>
        <v>0</v>
      </c>
      <c r="BQ112" s="38" t="n">
        <f aca="false">IF(AND(MOD(67,3)=0,BQ111&gt;0),BQ111*Assumptions!$B$59,0)</f>
        <v>0</v>
      </c>
      <c r="BR112" s="38" t="n">
        <f aca="false">IF(AND(MOD(68,3)=0,BR111&gt;0),BR111*Assumptions!$B$59,0)</f>
        <v>0</v>
      </c>
      <c r="BS112" s="38" t="n">
        <f aca="false">IF(AND(MOD(69,3)=0,BS111&gt;0),BS111*Assumptions!$B$59,0)</f>
        <v>0</v>
      </c>
      <c r="BT112" s="38" t="n">
        <f aca="false">IF(AND(MOD(70,3)=0,BT111&gt;0),BT111*Assumptions!$B$59,0)</f>
        <v>0</v>
      </c>
      <c r="BU112" s="38" t="n">
        <f aca="false">IF(AND(MOD(71,3)=0,BU111&gt;0),BU111*Assumptions!$B$59,0)</f>
        <v>0</v>
      </c>
      <c r="BV112" s="38" t="n">
        <f aca="false">IF(AND(MOD(72,3)=0,BV111&gt;0),BV111*Assumptions!$B$59,0)</f>
        <v>0</v>
      </c>
      <c r="BW112" s="38" t="n">
        <f aca="false">IF(AND(MOD(73,3)=0,BW111&gt;0),BW111*Assumptions!$B$59,0)</f>
        <v>0</v>
      </c>
      <c r="BX112" s="38" t="n">
        <f aca="false">IF(AND(MOD(74,3)=0,BX111&gt;0),BX111*Assumptions!$B$59,0)</f>
        <v>0</v>
      </c>
      <c r="BY112" s="38" t="n">
        <f aca="false">IF(AND(MOD(75,3)=0,BY111&gt;0),BY111*Assumptions!$B$59,0)</f>
        <v>0</v>
      </c>
      <c r="BZ112" s="38" t="n">
        <f aca="false">IF(AND(MOD(76,3)=0,BZ111&gt;0),BZ111*Assumptions!$B$59,0)</f>
        <v>0</v>
      </c>
      <c r="CA112" s="38" t="n">
        <f aca="false">IF(AND(MOD(77,3)=0,CA111&gt;0),CA111*Assumptions!$B$59,0)</f>
        <v>0</v>
      </c>
      <c r="CB112" s="38" t="n">
        <f aca="false">IF(AND(MOD(78,3)=0,CB111&gt;0),CB111*Assumptions!$B$59,0)</f>
        <v>0</v>
      </c>
      <c r="CC112" s="38" t="n">
        <f aca="false">IF(AND(MOD(79,3)=0,CC111&gt;0),CC111*Assumptions!$B$59,0)</f>
        <v>0</v>
      </c>
      <c r="CD112" s="38" t="n">
        <f aca="false">IF(AND(MOD(80,3)=0,CD111&gt;0),CD111*Assumptions!$B$59,0)</f>
        <v>0</v>
      </c>
      <c r="CE112" s="38" t="n">
        <f aca="false">IF(AND(MOD(81,3)=0,CE111&gt;0),CE111*Assumptions!$B$59,0)</f>
        <v>0</v>
      </c>
      <c r="CF112" s="38" t="n">
        <f aca="false">IF(AND(MOD(82,3)=0,CF111&gt;0),CF111*Assumptions!$B$59,0)</f>
        <v>0</v>
      </c>
      <c r="CG112" s="38" t="n">
        <f aca="false">IF(AND(MOD(83,3)=0,CG111&gt;0),CG111*Assumptions!$B$59,0)</f>
        <v>0</v>
      </c>
      <c r="CH112" s="38" t="n">
        <f aca="false">IF(AND(MOD(84,3)=0,CH111&gt;0),CH111*Assumptions!$B$59,0)</f>
        <v>0</v>
      </c>
      <c r="CI112" s="25"/>
    </row>
    <row r="113" customFormat="false" ht="15" hidden="false" customHeight="true" outlineLevel="0" collapsed="false">
      <c r="A113" s="9" t="s">
        <v>138</v>
      </c>
      <c r="B113" s="9"/>
      <c r="C113" s="38" t="n">
        <v>0</v>
      </c>
      <c r="D113" s="38" t="n">
        <v>0</v>
      </c>
      <c r="E113" s="38" t="n">
        <v>0</v>
      </c>
      <c r="F113" s="38" t="n">
        <v>0</v>
      </c>
      <c r="G113" s="38" t="n">
        <v>0</v>
      </c>
      <c r="H113" s="38" t="n">
        <v>0</v>
      </c>
      <c r="I113" s="38" t="n">
        <v>0</v>
      </c>
      <c r="J113" s="38" t="n">
        <v>0</v>
      </c>
      <c r="K113" s="38" t="n">
        <v>0</v>
      </c>
      <c r="L113" s="38" t="n">
        <v>0</v>
      </c>
      <c r="M113" s="38" t="n">
        <v>0</v>
      </c>
      <c r="N113" s="38" t="n">
        <v>0</v>
      </c>
      <c r="O113" s="38" t="n">
        <v>0</v>
      </c>
      <c r="P113" s="38" t="n">
        <v>0</v>
      </c>
      <c r="Q113" s="38" t="n">
        <v>0</v>
      </c>
      <c r="R113" s="38" t="n">
        <v>0</v>
      </c>
      <c r="S113" s="38" t="n">
        <v>0</v>
      </c>
      <c r="T113" s="38" t="n">
        <v>0</v>
      </c>
      <c r="U113" s="38" t="n">
        <v>0</v>
      </c>
      <c r="V113" s="38" t="n">
        <v>0</v>
      </c>
      <c r="W113" s="38" t="n">
        <v>0</v>
      </c>
      <c r="X113" s="38" t="n">
        <v>0</v>
      </c>
      <c r="Y113" s="38" t="n">
        <v>0</v>
      </c>
      <c r="Z113" s="38" t="n">
        <v>0</v>
      </c>
      <c r="AA113" s="38" t="n">
        <v>0</v>
      </c>
      <c r="AB113" s="38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38" t="n">
        <v>0</v>
      </c>
      <c r="AI113" s="38" t="n">
        <v>0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0</v>
      </c>
      <c r="AP113" s="38" t="n">
        <v>0</v>
      </c>
      <c r="AQ113" s="38" t="n">
        <v>0</v>
      </c>
      <c r="AR113" s="38" t="n">
        <v>0</v>
      </c>
      <c r="AS113" s="38" t="n">
        <v>0</v>
      </c>
      <c r="AT113" s="38" t="n">
        <v>0</v>
      </c>
      <c r="AU113" s="38" t="n">
        <v>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  <c r="CC113" s="38" t="n">
        <v>0</v>
      </c>
      <c r="CD113" s="38" t="n">
        <v>0</v>
      </c>
      <c r="CE113" s="38" t="n">
        <v>0</v>
      </c>
      <c r="CF113" s="38" t="n">
        <v>0</v>
      </c>
      <c r="CG113" s="38" t="n">
        <v>0</v>
      </c>
      <c r="CH113" s="38" t="n">
        <v>0</v>
      </c>
      <c r="CI113" s="25"/>
    </row>
    <row r="114" customFormat="false" ht="15" hidden="false" customHeight="true" outlineLevel="0" collapsed="false">
      <c r="A114" s="39" t="s">
        <v>139</v>
      </c>
      <c r="B114" s="39"/>
      <c r="C114" s="40" t="n">
        <v>0</v>
      </c>
      <c r="D114" s="40" t="n">
        <v>0</v>
      </c>
      <c r="E114" s="40" t="n">
        <v>0</v>
      </c>
      <c r="F114" s="40" t="n">
        <v>0</v>
      </c>
      <c r="G114" s="40" t="n">
        <v>0</v>
      </c>
      <c r="H114" s="40" t="n">
        <v>0</v>
      </c>
      <c r="I114" s="40" t="n">
        <v>0</v>
      </c>
      <c r="J114" s="40" t="n">
        <v>0</v>
      </c>
      <c r="K114" s="40" t="n">
        <v>0</v>
      </c>
      <c r="L114" s="40" t="n">
        <v>0</v>
      </c>
      <c r="M114" s="40" t="n">
        <v>0</v>
      </c>
      <c r="N114" s="40" t="n">
        <v>0</v>
      </c>
      <c r="O114" s="40" t="n">
        <v>0</v>
      </c>
      <c r="P114" s="40" t="n">
        <v>0</v>
      </c>
      <c r="Q114" s="40" t="n">
        <v>0</v>
      </c>
      <c r="R114" s="40" t="n">
        <v>0</v>
      </c>
      <c r="S114" s="40" t="n">
        <v>0</v>
      </c>
      <c r="T114" s="40" t="n">
        <v>0</v>
      </c>
      <c r="U114" s="40" t="n">
        <v>0</v>
      </c>
      <c r="V114" s="40" t="n">
        <v>0</v>
      </c>
      <c r="W114" s="40" t="n">
        <v>0</v>
      </c>
      <c r="X114" s="40" t="n">
        <v>0</v>
      </c>
      <c r="Y114" s="40" t="n">
        <v>0</v>
      </c>
      <c r="Z114" s="40" t="n">
        <v>0</v>
      </c>
      <c r="AA114" s="40" t="n">
        <v>0</v>
      </c>
      <c r="AB114" s="40" t="n">
        <v>0</v>
      </c>
      <c r="AC114" s="40" t="n">
        <v>0</v>
      </c>
      <c r="AD114" s="40" t="n">
        <v>0</v>
      </c>
      <c r="AE114" s="40" t="n">
        <v>0</v>
      </c>
      <c r="AF114" s="40" t="n">
        <v>0</v>
      </c>
      <c r="AG114" s="40" t="n">
        <v>0</v>
      </c>
      <c r="AH114" s="40" t="n">
        <v>0</v>
      </c>
      <c r="AI114" s="40" t="n">
        <v>0</v>
      </c>
      <c r="AJ114" s="40" t="n">
        <v>0</v>
      </c>
      <c r="AK114" s="40" t="n">
        <v>0</v>
      </c>
      <c r="AL114" s="40" t="n">
        <v>0</v>
      </c>
      <c r="AM114" s="40" t="n">
        <v>0</v>
      </c>
      <c r="AN114" s="40" t="n">
        <v>0</v>
      </c>
      <c r="AO114" s="40" t="n">
        <v>0</v>
      </c>
      <c r="AP114" s="40" t="n">
        <v>0</v>
      </c>
      <c r="AQ114" s="40" t="n">
        <v>0</v>
      </c>
      <c r="AR114" s="40" t="n">
        <v>0</v>
      </c>
      <c r="AS114" s="40" t="n">
        <v>0</v>
      </c>
      <c r="AT114" s="40" t="n">
        <v>0</v>
      </c>
      <c r="AU114" s="40" t="n">
        <v>0</v>
      </c>
      <c r="AV114" s="40" t="n">
        <v>0</v>
      </c>
      <c r="AW114" s="40" t="n">
        <v>0</v>
      </c>
      <c r="AX114" s="40" t="n">
        <v>0</v>
      </c>
      <c r="AY114" s="40" t="n">
        <v>0</v>
      </c>
      <c r="AZ114" s="40" t="n">
        <v>0</v>
      </c>
      <c r="BA114" s="40" t="n">
        <v>0</v>
      </c>
      <c r="BB114" s="40" t="n">
        <v>0</v>
      </c>
      <c r="BC114" s="40" t="n">
        <v>0</v>
      </c>
      <c r="BD114" s="40" t="n">
        <v>0</v>
      </c>
      <c r="BE114" s="40" t="n">
        <v>0</v>
      </c>
      <c r="BF114" s="40" t="n">
        <v>0</v>
      </c>
      <c r="BG114" s="40" t="n">
        <v>0</v>
      </c>
      <c r="BH114" s="40" t="n">
        <v>0</v>
      </c>
      <c r="BI114" s="40" t="n">
        <v>0</v>
      </c>
      <c r="BJ114" s="40" t="n">
        <v>0</v>
      </c>
      <c r="BK114" s="40" t="n">
        <v>0</v>
      </c>
      <c r="BL114" s="40" t="n">
        <v>0</v>
      </c>
      <c r="BM114" s="40" t="n">
        <v>0</v>
      </c>
      <c r="BN114" s="40" t="n">
        <v>0</v>
      </c>
      <c r="BO114" s="40" t="n">
        <v>0</v>
      </c>
      <c r="BP114" s="40" t="n">
        <v>0</v>
      </c>
      <c r="BQ114" s="40" t="n">
        <v>0</v>
      </c>
      <c r="BR114" s="40" t="n">
        <v>0</v>
      </c>
      <c r="BS114" s="40" t="n">
        <v>0</v>
      </c>
      <c r="BT114" s="40" t="n">
        <v>0</v>
      </c>
      <c r="BU114" s="40" t="n">
        <v>0</v>
      </c>
      <c r="BV114" s="40" t="n">
        <v>0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0</v>
      </c>
      <c r="CB114" s="40" t="n">
        <v>0</v>
      </c>
      <c r="CC114" s="40" t="n">
        <v>0</v>
      </c>
      <c r="CD114" s="40" t="n">
        <v>0</v>
      </c>
      <c r="CE114" s="40" t="n">
        <v>0</v>
      </c>
      <c r="CF114" s="40" t="n">
        <v>0</v>
      </c>
      <c r="CG114" s="40" t="n">
        <v>0</v>
      </c>
      <c r="CH114" s="40" t="n">
        <v>0</v>
      </c>
      <c r="CI114" s="25"/>
    </row>
    <row r="115" customFormat="false" ht="15" hidden="false" customHeight="true" outlineLevel="0" collapsed="false">
      <c r="A115" s="41" t="s">
        <v>140</v>
      </c>
      <c r="B115" s="42"/>
      <c r="C115" s="43" t="n">
        <f aca="false">MAX(0,C111+C112+C113+C114)</f>
        <v>0</v>
      </c>
      <c r="D115" s="43" t="n">
        <f aca="false">MAX(0,D111+D112+D113+D114)</f>
        <v>0</v>
      </c>
      <c r="E115" s="43" t="n">
        <f aca="false">MAX(0,E111+E112+E113+E114)</f>
        <v>0</v>
      </c>
      <c r="F115" s="43" t="n">
        <f aca="false">MAX(0,F111+F112+F113+F114)</f>
        <v>0</v>
      </c>
      <c r="G115" s="43" t="n">
        <f aca="false">MAX(0,G111+G112+G113+G114)</f>
        <v>0</v>
      </c>
      <c r="H115" s="43" t="n">
        <f aca="false">MAX(0,H111+H112+H113+H114)</f>
        <v>0</v>
      </c>
      <c r="I115" s="43" t="n">
        <f aca="false">MAX(0,I111+I112+I113+I114)</f>
        <v>0</v>
      </c>
      <c r="J115" s="43" t="n">
        <f aca="false">MAX(0,J111+J112+J113+J114)</f>
        <v>0</v>
      </c>
      <c r="K115" s="43" t="n">
        <f aca="false">MAX(0,K111+K112+K113+K114)</f>
        <v>0</v>
      </c>
      <c r="L115" s="43" t="n">
        <f aca="false">MAX(0,L111+L112+L113+L114)</f>
        <v>0</v>
      </c>
      <c r="M115" s="43" t="n">
        <f aca="false">MAX(0,M111+M112+M113+M114)</f>
        <v>0</v>
      </c>
      <c r="N115" s="43" t="n">
        <f aca="false">MAX(0,N111+N112+N113+N114)</f>
        <v>0</v>
      </c>
      <c r="O115" s="43" t="n">
        <f aca="false">MAX(0,O111+O112+O113+O114)</f>
        <v>0</v>
      </c>
      <c r="P115" s="43" t="n">
        <f aca="false">MAX(0,P111+P112+P113+P114)</f>
        <v>0</v>
      </c>
      <c r="Q115" s="43" t="n">
        <f aca="false">MAX(0,Q111+Q112+Q113+Q114)</f>
        <v>0</v>
      </c>
      <c r="R115" s="43" t="n">
        <f aca="false">MAX(0,R111+R112+R113+R114)</f>
        <v>0</v>
      </c>
      <c r="S115" s="43" t="n">
        <f aca="false">MAX(0,S111+S112+S113+S114)</f>
        <v>0</v>
      </c>
      <c r="T115" s="43" t="n">
        <f aca="false">MAX(0,T111+T112+T113+T114)</f>
        <v>0</v>
      </c>
      <c r="U115" s="43" t="n">
        <f aca="false">MAX(0,U111+U112+U113+U114)</f>
        <v>0</v>
      </c>
      <c r="V115" s="43" t="n">
        <f aca="false">MAX(0,V111+V112+V113+V114)</f>
        <v>0</v>
      </c>
      <c r="W115" s="43" t="n">
        <f aca="false">MAX(0,W111+W112+W113+W114)</f>
        <v>0</v>
      </c>
      <c r="X115" s="43" t="n">
        <f aca="false">MAX(0,X111+X112+X113+X114)</f>
        <v>0</v>
      </c>
      <c r="Y115" s="43" t="n">
        <f aca="false">MAX(0,Y111+Y112+Y113+Y114)</f>
        <v>0</v>
      </c>
      <c r="Z115" s="43" t="n">
        <f aca="false">MAX(0,Z111+Z112+Z113+Z114)</f>
        <v>0</v>
      </c>
      <c r="AA115" s="43" t="n">
        <f aca="false">MAX(0,AA111+AA112+AA113+AA114)</f>
        <v>0</v>
      </c>
      <c r="AB115" s="43" t="n">
        <f aca="false">MAX(0,AB111+AB112+AB113+AB114)</f>
        <v>0</v>
      </c>
      <c r="AC115" s="43" t="n">
        <f aca="false">MAX(0,AC111+AC112+AC113+AC114)</f>
        <v>0</v>
      </c>
      <c r="AD115" s="43" t="n">
        <f aca="false">MAX(0,AD111+AD112+AD113+AD114)</f>
        <v>0</v>
      </c>
      <c r="AE115" s="43" t="n">
        <f aca="false">MAX(0,AE111+AE112+AE113+AE114)</f>
        <v>0</v>
      </c>
      <c r="AF115" s="43" t="n">
        <f aca="false">MAX(0,AF111+AF112+AF113+AF114)</f>
        <v>0</v>
      </c>
      <c r="AG115" s="43" t="n">
        <f aca="false">MAX(0,AG111+AG112+AG113+AG114)</f>
        <v>0</v>
      </c>
      <c r="AH115" s="43" t="n">
        <f aca="false">MAX(0,AH111+AH112+AH113+AH114)</f>
        <v>0</v>
      </c>
      <c r="AI115" s="43" t="n">
        <f aca="false">MAX(0,AI111+AI112+AI113+AI114)</f>
        <v>0</v>
      </c>
      <c r="AJ115" s="43" t="n">
        <f aca="false">MAX(0,AJ111+AJ112+AJ113+AJ114)</f>
        <v>0</v>
      </c>
      <c r="AK115" s="43" t="n">
        <f aca="false">MAX(0,AK111+AK112+AK113+AK114)</f>
        <v>0</v>
      </c>
      <c r="AL115" s="43" t="n">
        <f aca="false">MAX(0,AL111+AL112+AL113+AL114)</f>
        <v>0</v>
      </c>
      <c r="AM115" s="43" t="n">
        <f aca="false">MAX(0,AM111+AM112+AM113+AM114)</f>
        <v>0</v>
      </c>
      <c r="AN115" s="43" t="n">
        <f aca="false">MAX(0,AN111+AN112+AN113+AN114)</f>
        <v>0</v>
      </c>
      <c r="AO115" s="43" t="n">
        <f aca="false">MAX(0,AO111+AO112+AO113+AO114)</f>
        <v>0</v>
      </c>
      <c r="AP115" s="43" t="n">
        <f aca="false">MAX(0,AP111+AP112+AP113+AP114)</f>
        <v>0</v>
      </c>
      <c r="AQ115" s="43" t="n">
        <f aca="false">MAX(0,AQ111+AQ112+AQ113+AQ114)</f>
        <v>0</v>
      </c>
      <c r="AR115" s="43" t="n">
        <f aca="false">MAX(0,AR111+AR112+AR113+AR114)</f>
        <v>0</v>
      </c>
      <c r="AS115" s="43" t="n">
        <f aca="false">MAX(0,AS111+AS112+AS113+AS114)</f>
        <v>0</v>
      </c>
      <c r="AT115" s="43" t="n">
        <f aca="false">MAX(0,AT111+AT112+AT113+AT114)</f>
        <v>0</v>
      </c>
      <c r="AU115" s="43" t="n">
        <f aca="false">MAX(0,AU111+AU112+AU113+AU114)</f>
        <v>0</v>
      </c>
      <c r="AV115" s="43" t="n">
        <f aca="false">MAX(0,AV111+AV112+AV113+AV114)</f>
        <v>0</v>
      </c>
      <c r="AW115" s="43" t="n">
        <f aca="false">MAX(0,AW111+AW112+AW113+AW114)</f>
        <v>0</v>
      </c>
      <c r="AX115" s="43" t="n">
        <f aca="false">MAX(0,AX111+AX112+AX113+AX114)</f>
        <v>0</v>
      </c>
      <c r="AY115" s="43" t="n">
        <f aca="false">MAX(0,AY111+AY112+AY113+AY114)</f>
        <v>0</v>
      </c>
      <c r="AZ115" s="43" t="n">
        <f aca="false">MAX(0,AZ111+AZ112+AZ113+AZ114)</f>
        <v>0</v>
      </c>
      <c r="BA115" s="43" t="n">
        <f aca="false">MAX(0,BA111+BA112+BA113+BA114)</f>
        <v>0</v>
      </c>
      <c r="BB115" s="43" t="n">
        <f aca="false">MAX(0,BB111+BB112+BB113+BB114)</f>
        <v>0</v>
      </c>
      <c r="BC115" s="43" t="n">
        <f aca="false">MAX(0,BC111+BC112+BC113+BC114)</f>
        <v>0</v>
      </c>
      <c r="BD115" s="43" t="n">
        <f aca="false">MAX(0,BD111+BD112+BD113+BD114)</f>
        <v>0</v>
      </c>
      <c r="BE115" s="43" t="n">
        <f aca="false">MAX(0,BE111+BE112+BE113+BE114)</f>
        <v>0</v>
      </c>
      <c r="BF115" s="43" t="n">
        <f aca="false">MAX(0,BF111+BF112+BF113+BF114)</f>
        <v>0</v>
      </c>
      <c r="BG115" s="43" t="n">
        <f aca="false">MAX(0,BG111+BG112+BG113+BG114)</f>
        <v>0</v>
      </c>
      <c r="BH115" s="43" t="n">
        <f aca="false">MAX(0,BH111+BH112+BH113+BH114)</f>
        <v>0</v>
      </c>
      <c r="BI115" s="43" t="n">
        <f aca="false">MAX(0,BI111+BI112+BI113+BI114)</f>
        <v>0</v>
      </c>
      <c r="BJ115" s="43" t="n">
        <f aca="false">MAX(0,BJ111+BJ112+BJ113+BJ114)</f>
        <v>0</v>
      </c>
      <c r="BK115" s="43" t="n">
        <f aca="false">MAX(0,BK111+BK112+BK113+BK114)</f>
        <v>0</v>
      </c>
      <c r="BL115" s="43" t="n">
        <f aca="false">MAX(0,BL111+BL112+BL113+BL114)</f>
        <v>0</v>
      </c>
      <c r="BM115" s="43" t="n">
        <f aca="false">MAX(0,BM111+BM112+BM113+BM114)</f>
        <v>0</v>
      </c>
      <c r="BN115" s="43" t="n">
        <f aca="false">MAX(0,BN111+BN112+BN113+BN114)</f>
        <v>0</v>
      </c>
      <c r="BO115" s="43" t="n">
        <f aca="false">MAX(0,BO111+BO112+BO113+BO114)</f>
        <v>0</v>
      </c>
      <c r="BP115" s="43" t="n">
        <f aca="false">MAX(0,BP111+BP112+BP113+BP114)</f>
        <v>0</v>
      </c>
      <c r="BQ115" s="43" t="n">
        <f aca="false">MAX(0,BQ111+BQ112+BQ113+BQ114)</f>
        <v>0</v>
      </c>
      <c r="BR115" s="43" t="n">
        <f aca="false">MAX(0,BR111+BR112+BR113+BR114)</f>
        <v>0</v>
      </c>
      <c r="BS115" s="43" t="n">
        <f aca="false">MAX(0,BS111+BS112+BS113+BS114)</f>
        <v>0</v>
      </c>
      <c r="BT115" s="43" t="n">
        <f aca="false">MAX(0,BT111+BT112+BT113+BT114)</f>
        <v>0</v>
      </c>
      <c r="BU115" s="43" t="n">
        <f aca="false">MAX(0,BU111+BU112+BU113+BU114)</f>
        <v>0</v>
      </c>
      <c r="BV115" s="43" t="n">
        <f aca="false">MAX(0,BV111+BV112+BV113+BV114)</f>
        <v>0</v>
      </c>
      <c r="BW115" s="43" t="n">
        <f aca="false">MAX(0,BW111+BW112+BW113+BW114)</f>
        <v>0</v>
      </c>
      <c r="BX115" s="43" t="n">
        <f aca="false">MAX(0,BX111+BX112+BX113+BX114)</f>
        <v>0</v>
      </c>
      <c r="BY115" s="43" t="n">
        <f aca="false">MAX(0,BY111+BY112+BY113+BY114)</f>
        <v>0</v>
      </c>
      <c r="BZ115" s="43" t="n">
        <f aca="false">MAX(0,BZ111+BZ112+BZ113+BZ114)</f>
        <v>0</v>
      </c>
      <c r="CA115" s="43" t="n">
        <f aca="false">MAX(0,CA111+CA112+CA113+CA114)</f>
        <v>0</v>
      </c>
      <c r="CB115" s="43" t="n">
        <f aca="false">MAX(0,CB111+CB112+CB113+CB114)</f>
        <v>0</v>
      </c>
      <c r="CC115" s="43" t="n">
        <f aca="false">MAX(0,CC111+CC112+CC113+CC114)</f>
        <v>0</v>
      </c>
      <c r="CD115" s="43" t="n">
        <f aca="false">MAX(0,CD111+CD112+CD113+CD114)</f>
        <v>0</v>
      </c>
      <c r="CE115" s="43" t="n">
        <f aca="false">MAX(0,CE111+CE112+CE113+CE114)</f>
        <v>0</v>
      </c>
      <c r="CF115" s="43" t="n">
        <f aca="false">MAX(0,CF111+CF112+CF113+CF114)</f>
        <v>0</v>
      </c>
      <c r="CG115" s="43" t="n">
        <f aca="false">MAX(0,CG111+CG112+CG113+CG114)</f>
        <v>0</v>
      </c>
      <c r="CH115" s="43" t="n">
        <f aca="false">MAX(0,CH111+CH112+CH113+CH114)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IF(AND(Projects!$G$12="Yes",Projects!$C$12&lt;=1),Assumptions!$B$61,0)</f>
        <v>0</v>
      </c>
      <c r="D116" s="38" t="n">
        <f aca="false">IF(AND(Projects!$G$12="Yes",2=Projects!$C$12),Assumptions!$B$61,C120)</f>
        <v>0</v>
      </c>
      <c r="E116" s="38" t="n">
        <f aca="false">IF(AND(Projects!$G$12="Yes",3=Projects!$C$12),Assumptions!$B$61,D120)</f>
        <v>0</v>
      </c>
      <c r="F116" s="38" t="n">
        <f aca="false">IF(AND(Projects!$G$12="Yes",4=Projects!$C$12),Assumptions!$B$61,E120)</f>
        <v>0</v>
      </c>
      <c r="G116" s="38" t="n">
        <f aca="false">IF(AND(Projects!$G$12="Yes",5=Projects!$C$12),Assumptions!$B$61,F120)</f>
        <v>0</v>
      </c>
      <c r="H116" s="38" t="n">
        <f aca="false">IF(AND(Projects!$G$12="Yes",6=Projects!$C$12),Assumptions!$B$61,G120)</f>
        <v>0</v>
      </c>
      <c r="I116" s="38" t="n">
        <f aca="false">IF(AND(Projects!$G$12="Yes",7=Projects!$C$12),Assumptions!$B$61,H120)</f>
        <v>0</v>
      </c>
      <c r="J116" s="38" t="n">
        <f aca="false">IF(AND(Projects!$G$12="Yes",8=Projects!$C$12),Assumptions!$B$61,I120)</f>
        <v>0</v>
      </c>
      <c r="K116" s="38" t="n">
        <f aca="false">IF(AND(Projects!$G$12="Yes",9=Projects!$C$12),Assumptions!$B$61,J120)</f>
        <v>0</v>
      </c>
      <c r="L116" s="38" t="n">
        <f aca="false">IF(AND(Projects!$G$12="Yes",10=Projects!$C$12),Assumptions!$B$61,K120)</f>
        <v>0</v>
      </c>
      <c r="M116" s="38" t="n">
        <f aca="false">IF(AND(Projects!$G$12="Yes",11=Projects!$C$12),Assumptions!$B$61,L120)</f>
        <v>0</v>
      </c>
      <c r="N116" s="38" t="n">
        <f aca="false">IF(AND(Projects!$G$12="Yes",12=Projects!$C$12),Assumptions!$B$61,M120)</f>
        <v>0</v>
      </c>
      <c r="O116" s="38" t="n">
        <f aca="false">IF(AND(Projects!$G$12="Yes",13=Projects!$C$12),Assumptions!$B$61,N120)</f>
        <v>0</v>
      </c>
      <c r="P116" s="38" t="n">
        <f aca="false">IF(AND(Projects!$G$12="Yes",14=Projects!$C$12),Assumptions!$B$61,O120)</f>
        <v>0</v>
      </c>
      <c r="Q116" s="38" t="n">
        <f aca="false">IF(AND(Projects!$G$12="Yes",15=Projects!$C$12),Assumptions!$B$61,P120)</f>
        <v>0</v>
      </c>
      <c r="R116" s="38" t="n">
        <f aca="false">IF(AND(Projects!$G$12="Yes",16=Projects!$C$12),Assumptions!$B$61,Q120)</f>
        <v>0</v>
      </c>
      <c r="S116" s="38" t="n">
        <f aca="false">IF(AND(Projects!$G$12="Yes",17=Projects!$C$12),Assumptions!$B$61,R120)</f>
        <v>0</v>
      </c>
      <c r="T116" s="38" t="n">
        <f aca="false">IF(AND(Projects!$G$12="Yes",18=Projects!$C$12),Assumptions!$B$61,S120)</f>
        <v>0</v>
      </c>
      <c r="U116" s="38" t="n">
        <f aca="false">IF(AND(Projects!$G$12="Yes",19=Projects!$C$12),Assumptions!$B$61,T120)</f>
        <v>0</v>
      </c>
      <c r="V116" s="38" t="n">
        <f aca="false">IF(AND(Projects!$G$12="Yes",20=Projects!$C$12),Assumptions!$B$61,U120)</f>
        <v>0</v>
      </c>
      <c r="W116" s="38" t="n">
        <f aca="false">IF(AND(Projects!$G$12="Yes",21=Projects!$C$12),Assumptions!$B$61,V120)</f>
        <v>0</v>
      </c>
      <c r="X116" s="38" t="n">
        <f aca="false">IF(AND(Projects!$G$12="Yes",22=Projects!$C$12),Assumptions!$B$61,W120)</f>
        <v>0</v>
      </c>
      <c r="Y116" s="38" t="n">
        <f aca="false">IF(AND(Projects!$G$12="Yes",23=Projects!$C$12),Assumptions!$B$61,X120)</f>
        <v>0</v>
      </c>
      <c r="Z116" s="38" t="n">
        <f aca="false">IF(AND(Projects!$G$12="Yes",24=Projects!$C$12),Assumptions!$B$61,Y120)</f>
        <v>0</v>
      </c>
      <c r="AA116" s="38" t="n">
        <f aca="false">IF(AND(Projects!$G$12="Yes",25=Projects!$C$12),Assumptions!$B$61,Z120)</f>
        <v>0</v>
      </c>
      <c r="AB116" s="38" t="n">
        <f aca="false">IF(AND(Projects!$G$12="Yes",26=Projects!$C$12),Assumptions!$B$61,AA120)</f>
        <v>0</v>
      </c>
      <c r="AC116" s="38" t="n">
        <f aca="false">IF(AND(Projects!$G$12="Yes",27=Projects!$C$12),Assumptions!$B$61,AB120)</f>
        <v>0</v>
      </c>
      <c r="AD116" s="38" t="n">
        <f aca="false">IF(AND(Projects!$G$12="Yes",28=Projects!$C$12),Assumptions!$B$61,AC120)</f>
        <v>0</v>
      </c>
      <c r="AE116" s="38" t="n">
        <f aca="false">IF(AND(Projects!$G$12="Yes",29=Projects!$C$12),Assumptions!$B$61,AD120)</f>
        <v>0</v>
      </c>
      <c r="AF116" s="38" t="n">
        <f aca="false">IF(AND(Projects!$G$12="Yes",30=Projects!$C$12),Assumptions!$B$61,AE120)</f>
        <v>0</v>
      </c>
      <c r="AG116" s="38" t="n">
        <f aca="false">IF(AND(Projects!$G$12="Yes",31=Projects!$C$12),Assumptions!$B$61,AF120)</f>
        <v>0</v>
      </c>
      <c r="AH116" s="38" t="n">
        <f aca="false">IF(AND(Projects!$G$12="Yes",32=Projects!$C$12),Assumptions!$B$61,AG120)</f>
        <v>0</v>
      </c>
      <c r="AI116" s="38" t="n">
        <f aca="false">IF(AND(Projects!$G$12="Yes",33=Projects!$C$12),Assumptions!$B$61,AH120)</f>
        <v>0</v>
      </c>
      <c r="AJ116" s="38" t="n">
        <f aca="false">IF(AND(Projects!$G$12="Yes",34=Projects!$C$12),Assumptions!$B$61,AI120)</f>
        <v>0</v>
      </c>
      <c r="AK116" s="38" t="n">
        <f aca="false">IF(AND(Projects!$G$12="Yes",35=Projects!$C$12),Assumptions!$B$61,AJ120)</f>
        <v>0</v>
      </c>
      <c r="AL116" s="38" t="n">
        <f aca="false">IF(AND(Projects!$G$12="Yes",36=Projects!$C$12),Assumptions!$B$61,AK120)</f>
        <v>0</v>
      </c>
      <c r="AM116" s="38" t="n">
        <f aca="false">IF(AND(Projects!$G$12="Yes",37=Projects!$C$12),Assumptions!$B$61,AL120)</f>
        <v>0</v>
      </c>
      <c r="AN116" s="38" t="n">
        <f aca="false">IF(AND(Projects!$G$12="Yes",38=Projects!$C$12),Assumptions!$B$61,AM120)</f>
        <v>0</v>
      </c>
      <c r="AO116" s="38" t="n">
        <f aca="false">IF(AND(Projects!$G$12="Yes",39=Projects!$C$12),Assumptions!$B$61,AN120)</f>
        <v>0</v>
      </c>
      <c r="AP116" s="38" t="n">
        <f aca="false">IF(AND(Projects!$G$12="Yes",40=Projects!$C$12),Assumptions!$B$61,AO120)</f>
        <v>0</v>
      </c>
      <c r="AQ116" s="38" t="n">
        <f aca="false">IF(AND(Projects!$G$12="Yes",41=Projects!$C$12),Assumptions!$B$61,AP120)</f>
        <v>0</v>
      </c>
      <c r="AR116" s="38" t="n">
        <f aca="false">IF(AND(Projects!$G$12="Yes",42=Projects!$C$12),Assumptions!$B$61,AQ120)</f>
        <v>0</v>
      </c>
      <c r="AS116" s="38" t="n">
        <f aca="false">IF(AND(Projects!$G$12="Yes",43=Projects!$C$12),Assumptions!$B$61,AR120)</f>
        <v>0</v>
      </c>
      <c r="AT116" s="38" t="n">
        <f aca="false">IF(AND(Projects!$G$12="Yes",44=Projects!$C$12),Assumptions!$B$61,AS120)</f>
        <v>0</v>
      </c>
      <c r="AU116" s="38" t="n">
        <f aca="false">IF(AND(Projects!$G$12="Yes",45=Projects!$C$12),Assumptions!$B$61,AT120)</f>
        <v>0</v>
      </c>
      <c r="AV116" s="38" t="n">
        <f aca="false">IF(AND(Projects!$G$12="Yes",46=Projects!$C$12),Assumptions!$B$61,AU120)</f>
        <v>0</v>
      </c>
      <c r="AW116" s="38" t="n">
        <f aca="false">IF(AND(Projects!$G$12="Yes",47=Projects!$C$12),Assumptions!$B$61,AV120)</f>
        <v>0</v>
      </c>
      <c r="AX116" s="38" t="n">
        <f aca="false">IF(AND(Projects!$G$12="Yes",48=Projects!$C$12),Assumptions!$B$61,AW120)</f>
        <v>0</v>
      </c>
      <c r="AY116" s="38" t="n">
        <f aca="false">IF(AND(Projects!$G$12="Yes",49=Projects!$C$12),Assumptions!$B$61,AX120)</f>
        <v>0</v>
      </c>
      <c r="AZ116" s="38" t="n">
        <f aca="false">IF(AND(Projects!$G$12="Yes",50=Projects!$C$12),Assumptions!$B$61,AY120)</f>
        <v>0</v>
      </c>
      <c r="BA116" s="38" t="n">
        <f aca="false">IF(AND(Projects!$G$12="Yes",51=Projects!$C$12),Assumptions!$B$61,AZ120)</f>
        <v>0</v>
      </c>
      <c r="BB116" s="38" t="n">
        <f aca="false">IF(AND(Projects!$G$12="Yes",52=Projects!$C$12),Assumptions!$B$61,BA120)</f>
        <v>0</v>
      </c>
      <c r="BC116" s="38" t="n">
        <f aca="false">IF(AND(Projects!$G$12="Yes",53=Projects!$C$12),Assumptions!$B$61,BB120)</f>
        <v>0</v>
      </c>
      <c r="BD116" s="38" t="n">
        <f aca="false">IF(AND(Projects!$G$12="Yes",54=Projects!$C$12),Assumptions!$B$61,BC120)</f>
        <v>0</v>
      </c>
      <c r="BE116" s="38" t="n">
        <f aca="false">IF(AND(Projects!$G$12="Yes",55=Projects!$C$12),Assumptions!$B$61,BD120)</f>
        <v>0</v>
      </c>
      <c r="BF116" s="38" t="n">
        <f aca="false">IF(AND(Projects!$G$12="Yes",56=Projects!$C$12),Assumptions!$B$61,BE120)</f>
        <v>0</v>
      </c>
      <c r="BG116" s="38" t="n">
        <f aca="false">IF(AND(Projects!$G$12="Yes",57=Projects!$C$12),Assumptions!$B$61,BF120)</f>
        <v>0</v>
      </c>
      <c r="BH116" s="38" t="n">
        <f aca="false">IF(AND(Projects!$G$12="Yes",58=Projects!$C$12),Assumptions!$B$61,BG120)</f>
        <v>0</v>
      </c>
      <c r="BI116" s="38" t="n">
        <f aca="false">IF(AND(Projects!$G$12="Yes",59=Projects!$C$12),Assumptions!$B$61,BH120)</f>
        <v>0</v>
      </c>
      <c r="BJ116" s="38" t="n">
        <f aca="false">IF(AND(Projects!$G$12="Yes",60=Projects!$C$12),Assumptions!$B$61,BI120)</f>
        <v>0</v>
      </c>
      <c r="BK116" s="38" t="n">
        <f aca="false">IF(AND(Projects!$G$12="Yes",61=Projects!$C$12),Assumptions!$B$61,BJ120)</f>
        <v>0</v>
      </c>
      <c r="BL116" s="38" t="n">
        <f aca="false">IF(AND(Projects!$G$12="Yes",62=Projects!$C$12),Assumptions!$B$61,BK120)</f>
        <v>0</v>
      </c>
      <c r="BM116" s="38" t="n">
        <f aca="false">IF(AND(Projects!$G$12="Yes",63=Projects!$C$12),Assumptions!$B$61,BL120)</f>
        <v>0</v>
      </c>
      <c r="BN116" s="38" t="n">
        <f aca="false">IF(AND(Projects!$G$12="Yes",64=Projects!$C$12),Assumptions!$B$61,BM120)</f>
        <v>0</v>
      </c>
      <c r="BO116" s="38" t="n">
        <f aca="false">IF(AND(Projects!$G$12="Yes",65=Projects!$C$12),Assumptions!$B$61,BN120)</f>
        <v>0</v>
      </c>
      <c r="BP116" s="38" t="n">
        <f aca="false">IF(AND(Projects!$G$12="Yes",66=Projects!$C$12),Assumptions!$B$61,BO120)</f>
        <v>0</v>
      </c>
      <c r="BQ116" s="38" t="n">
        <f aca="false">IF(AND(Projects!$G$12="Yes",67=Projects!$C$12),Assumptions!$B$61,BP120)</f>
        <v>0</v>
      </c>
      <c r="BR116" s="38" t="n">
        <f aca="false">IF(AND(Projects!$G$12="Yes",68=Projects!$C$12),Assumptions!$B$61,BQ120)</f>
        <v>0</v>
      </c>
      <c r="BS116" s="38" t="n">
        <f aca="false">IF(AND(Projects!$G$12="Yes",69=Projects!$C$12),Assumptions!$B$61,BR120)</f>
        <v>0</v>
      </c>
      <c r="BT116" s="38" t="n">
        <f aca="false">IF(AND(Projects!$G$12="Yes",70=Projects!$C$12),Assumptions!$B$61,BS120)</f>
        <v>0</v>
      </c>
      <c r="BU116" s="38" t="n">
        <f aca="false">IF(AND(Projects!$G$12="Yes",71=Projects!$C$12),Assumptions!$B$61,BT120)</f>
        <v>0</v>
      </c>
      <c r="BV116" s="38" t="n">
        <f aca="false">IF(AND(Projects!$G$12="Yes",72=Projects!$C$12),Assumptions!$B$61,BU120)</f>
        <v>0</v>
      </c>
      <c r="BW116" s="38" t="n">
        <f aca="false">IF(AND(Projects!$G$12="Yes",73=Projects!$C$12),Assumptions!$B$61,BV120)</f>
        <v>0</v>
      </c>
      <c r="BX116" s="38" t="n">
        <f aca="false">IF(AND(Projects!$G$12="Yes",74=Projects!$C$12),Assumptions!$B$61,BW120)</f>
        <v>0</v>
      </c>
      <c r="BY116" s="38" t="n">
        <f aca="false">IF(AND(Projects!$G$12="Yes",75=Projects!$C$12),Assumptions!$B$61,BX120)</f>
        <v>0</v>
      </c>
      <c r="BZ116" s="38" t="n">
        <f aca="false">IF(AND(Projects!$G$12="Yes",76=Projects!$C$12),Assumptions!$B$61,BY120)</f>
        <v>0</v>
      </c>
      <c r="CA116" s="38" t="n">
        <f aca="false">IF(AND(Projects!$G$12="Yes",77=Projects!$C$12),Assumptions!$B$61,BZ120)</f>
        <v>0</v>
      </c>
      <c r="CB116" s="38" t="n">
        <f aca="false">IF(AND(Projects!$G$12="Yes",78=Projects!$C$12),Assumptions!$B$61,CA120)</f>
        <v>0</v>
      </c>
      <c r="CC116" s="38" t="n">
        <f aca="false">IF(AND(Projects!$G$12="Yes",79=Projects!$C$12),Assumptions!$B$61,CB120)</f>
        <v>0</v>
      </c>
      <c r="CD116" s="38" t="n">
        <f aca="false">IF(AND(Projects!$G$12="Yes",80=Projects!$C$12),Assumptions!$B$61,CC120)</f>
        <v>0</v>
      </c>
      <c r="CE116" s="38" t="n">
        <f aca="false">IF(AND(Projects!$G$12="Yes",81=Projects!$C$12),Assumptions!$B$61,CD120)</f>
        <v>0</v>
      </c>
      <c r="CF116" s="38" t="n">
        <f aca="false">IF(AND(Projects!$G$12="Yes",82=Projects!$C$12),Assumptions!$B$61,CE120)</f>
        <v>0</v>
      </c>
      <c r="CG116" s="38" t="n">
        <f aca="false">IF(AND(Projects!$G$12="Yes",83=Projects!$C$12),Assumptions!$B$61,CF120)</f>
        <v>0</v>
      </c>
      <c r="CH116" s="38" t="n">
        <f aca="false">IF(AND(Projects!$G$12="Yes",84=Projects!$C$12),Assumptions!$B$61,CG120)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f aca="false">IF(AND(MOD(1,3)=0,C116&gt;0),C116*Assumptions!$B$59,0)</f>
        <v>0</v>
      </c>
      <c r="D117" s="38" t="n">
        <f aca="false">IF(AND(MOD(2,3)=0,D116&gt;0),D116*Assumptions!$B$59,0)</f>
        <v>0</v>
      </c>
      <c r="E117" s="38" t="n">
        <f aca="false">IF(AND(MOD(3,3)=0,E116&gt;0),E116*Assumptions!$B$59,0)</f>
        <v>0</v>
      </c>
      <c r="F117" s="38" t="n">
        <f aca="false">IF(AND(MOD(4,3)=0,F116&gt;0),F116*Assumptions!$B$59,0)</f>
        <v>0</v>
      </c>
      <c r="G117" s="38" t="n">
        <f aca="false">IF(AND(MOD(5,3)=0,G116&gt;0),G116*Assumptions!$B$59,0)</f>
        <v>0</v>
      </c>
      <c r="H117" s="38" t="n">
        <f aca="false">IF(AND(MOD(6,3)=0,H116&gt;0),H116*Assumptions!$B$59,0)</f>
        <v>0</v>
      </c>
      <c r="I117" s="38" t="n">
        <f aca="false">IF(AND(MOD(7,3)=0,I116&gt;0),I116*Assumptions!$B$59,0)</f>
        <v>0</v>
      </c>
      <c r="J117" s="38" t="n">
        <f aca="false">IF(AND(MOD(8,3)=0,J116&gt;0),J116*Assumptions!$B$59,0)</f>
        <v>0</v>
      </c>
      <c r="K117" s="38" t="n">
        <f aca="false">IF(AND(MOD(9,3)=0,K116&gt;0),K116*Assumptions!$B$59,0)</f>
        <v>0</v>
      </c>
      <c r="L117" s="38" t="n">
        <f aca="false">IF(AND(MOD(10,3)=0,L116&gt;0),L116*Assumptions!$B$59,0)</f>
        <v>0</v>
      </c>
      <c r="M117" s="38" t="n">
        <f aca="false">IF(AND(MOD(11,3)=0,M116&gt;0),M116*Assumptions!$B$59,0)</f>
        <v>0</v>
      </c>
      <c r="N117" s="38" t="n">
        <f aca="false">IF(AND(MOD(12,3)=0,N116&gt;0),N116*Assumptions!$B$59,0)</f>
        <v>0</v>
      </c>
      <c r="O117" s="38" t="n">
        <f aca="false">IF(AND(MOD(13,3)=0,O116&gt;0),O116*Assumptions!$B$59,0)</f>
        <v>0</v>
      </c>
      <c r="P117" s="38" t="n">
        <f aca="false">IF(AND(MOD(14,3)=0,P116&gt;0),P116*Assumptions!$B$59,0)</f>
        <v>0</v>
      </c>
      <c r="Q117" s="38" t="n">
        <f aca="false">IF(AND(MOD(15,3)=0,Q116&gt;0),Q116*Assumptions!$B$59,0)</f>
        <v>0</v>
      </c>
      <c r="R117" s="38" t="n">
        <f aca="false">IF(AND(MOD(16,3)=0,R116&gt;0),R116*Assumptions!$B$59,0)</f>
        <v>0</v>
      </c>
      <c r="S117" s="38" t="n">
        <f aca="false">IF(AND(MOD(17,3)=0,S116&gt;0),S116*Assumptions!$B$59,0)</f>
        <v>0</v>
      </c>
      <c r="T117" s="38" t="n">
        <f aca="false">IF(AND(MOD(18,3)=0,T116&gt;0),T116*Assumptions!$B$59,0)</f>
        <v>0</v>
      </c>
      <c r="U117" s="38" t="n">
        <f aca="false">IF(AND(MOD(19,3)=0,U116&gt;0),U116*Assumptions!$B$59,0)</f>
        <v>0</v>
      </c>
      <c r="V117" s="38" t="n">
        <f aca="false">IF(AND(MOD(20,3)=0,V116&gt;0),V116*Assumptions!$B$59,0)</f>
        <v>0</v>
      </c>
      <c r="W117" s="38" t="n">
        <f aca="false">IF(AND(MOD(21,3)=0,W116&gt;0),W116*Assumptions!$B$59,0)</f>
        <v>0</v>
      </c>
      <c r="X117" s="38" t="n">
        <f aca="false">IF(AND(MOD(22,3)=0,X116&gt;0),X116*Assumptions!$B$59,0)</f>
        <v>0</v>
      </c>
      <c r="Y117" s="38" t="n">
        <f aca="false">IF(AND(MOD(23,3)=0,Y116&gt;0),Y116*Assumptions!$B$59,0)</f>
        <v>0</v>
      </c>
      <c r="Z117" s="38" t="n">
        <f aca="false">IF(AND(MOD(24,3)=0,Z116&gt;0),Z116*Assumptions!$B$59,0)</f>
        <v>0</v>
      </c>
      <c r="AA117" s="38" t="n">
        <f aca="false">IF(AND(MOD(25,3)=0,AA116&gt;0),AA116*Assumptions!$B$59,0)</f>
        <v>0</v>
      </c>
      <c r="AB117" s="38" t="n">
        <f aca="false">IF(AND(MOD(26,3)=0,AB116&gt;0),AB116*Assumptions!$B$59,0)</f>
        <v>0</v>
      </c>
      <c r="AC117" s="38" t="n">
        <f aca="false">IF(AND(MOD(27,3)=0,AC116&gt;0),AC116*Assumptions!$B$59,0)</f>
        <v>0</v>
      </c>
      <c r="AD117" s="38" t="n">
        <f aca="false">IF(AND(MOD(28,3)=0,AD116&gt;0),AD116*Assumptions!$B$59,0)</f>
        <v>0</v>
      </c>
      <c r="AE117" s="38" t="n">
        <f aca="false">IF(AND(MOD(29,3)=0,AE116&gt;0),AE116*Assumptions!$B$59,0)</f>
        <v>0</v>
      </c>
      <c r="AF117" s="38" t="n">
        <f aca="false">IF(AND(MOD(30,3)=0,AF116&gt;0),AF116*Assumptions!$B$59,0)</f>
        <v>0</v>
      </c>
      <c r="AG117" s="38" t="n">
        <f aca="false">IF(AND(MOD(31,3)=0,AG116&gt;0),AG116*Assumptions!$B$59,0)</f>
        <v>0</v>
      </c>
      <c r="AH117" s="38" t="n">
        <f aca="false">IF(AND(MOD(32,3)=0,AH116&gt;0),AH116*Assumptions!$B$59,0)</f>
        <v>0</v>
      </c>
      <c r="AI117" s="38" t="n">
        <f aca="false">IF(AND(MOD(33,3)=0,AI116&gt;0),AI116*Assumptions!$B$59,0)</f>
        <v>0</v>
      </c>
      <c r="AJ117" s="38" t="n">
        <f aca="false">IF(AND(MOD(34,3)=0,AJ116&gt;0),AJ116*Assumptions!$B$59,0)</f>
        <v>0</v>
      </c>
      <c r="AK117" s="38" t="n">
        <f aca="false">IF(AND(MOD(35,3)=0,AK116&gt;0),AK116*Assumptions!$B$59,0)</f>
        <v>0</v>
      </c>
      <c r="AL117" s="38" t="n">
        <f aca="false">IF(AND(MOD(36,3)=0,AL116&gt;0),AL116*Assumptions!$B$59,0)</f>
        <v>0</v>
      </c>
      <c r="AM117" s="38" t="n">
        <f aca="false">IF(AND(MOD(37,3)=0,AM116&gt;0),AM116*Assumptions!$B$59,0)</f>
        <v>0</v>
      </c>
      <c r="AN117" s="38" t="n">
        <f aca="false">IF(AND(MOD(38,3)=0,AN116&gt;0),AN116*Assumptions!$B$59,0)</f>
        <v>0</v>
      </c>
      <c r="AO117" s="38" t="n">
        <f aca="false">IF(AND(MOD(39,3)=0,AO116&gt;0),AO116*Assumptions!$B$59,0)</f>
        <v>0</v>
      </c>
      <c r="AP117" s="38" t="n">
        <f aca="false">IF(AND(MOD(40,3)=0,AP116&gt;0),AP116*Assumptions!$B$59,0)</f>
        <v>0</v>
      </c>
      <c r="AQ117" s="38" t="n">
        <f aca="false">IF(AND(MOD(41,3)=0,AQ116&gt;0),AQ116*Assumptions!$B$59,0)</f>
        <v>0</v>
      </c>
      <c r="AR117" s="38" t="n">
        <f aca="false">IF(AND(MOD(42,3)=0,AR116&gt;0),AR116*Assumptions!$B$59,0)</f>
        <v>0</v>
      </c>
      <c r="AS117" s="38" t="n">
        <f aca="false">IF(AND(MOD(43,3)=0,AS116&gt;0),AS116*Assumptions!$B$59,0)</f>
        <v>0</v>
      </c>
      <c r="AT117" s="38" t="n">
        <f aca="false">IF(AND(MOD(44,3)=0,AT116&gt;0),AT116*Assumptions!$B$59,0)</f>
        <v>0</v>
      </c>
      <c r="AU117" s="38" t="n">
        <f aca="false">IF(AND(MOD(45,3)=0,AU116&gt;0),AU116*Assumptions!$B$59,0)</f>
        <v>0</v>
      </c>
      <c r="AV117" s="38" t="n">
        <f aca="false">IF(AND(MOD(46,3)=0,AV116&gt;0),AV116*Assumptions!$B$59,0)</f>
        <v>0</v>
      </c>
      <c r="AW117" s="38" t="n">
        <f aca="false">IF(AND(MOD(47,3)=0,AW116&gt;0),AW116*Assumptions!$B$59,0)</f>
        <v>0</v>
      </c>
      <c r="AX117" s="38" t="n">
        <f aca="false">IF(AND(MOD(48,3)=0,AX116&gt;0),AX116*Assumptions!$B$59,0)</f>
        <v>0</v>
      </c>
      <c r="AY117" s="38" t="n">
        <f aca="false">IF(AND(MOD(49,3)=0,AY116&gt;0),AY116*Assumptions!$B$59,0)</f>
        <v>0</v>
      </c>
      <c r="AZ117" s="38" t="n">
        <f aca="false">IF(AND(MOD(50,3)=0,AZ116&gt;0),AZ116*Assumptions!$B$59,0)</f>
        <v>0</v>
      </c>
      <c r="BA117" s="38" t="n">
        <f aca="false">IF(AND(MOD(51,3)=0,BA116&gt;0),BA116*Assumptions!$B$59,0)</f>
        <v>0</v>
      </c>
      <c r="BB117" s="38" t="n">
        <f aca="false">IF(AND(MOD(52,3)=0,BB116&gt;0),BB116*Assumptions!$B$59,0)</f>
        <v>0</v>
      </c>
      <c r="BC117" s="38" t="n">
        <f aca="false">IF(AND(MOD(53,3)=0,BC116&gt;0),BC116*Assumptions!$B$59,0)</f>
        <v>0</v>
      </c>
      <c r="BD117" s="38" t="n">
        <f aca="false">IF(AND(MOD(54,3)=0,BD116&gt;0),BD116*Assumptions!$B$59,0)</f>
        <v>0</v>
      </c>
      <c r="BE117" s="38" t="n">
        <f aca="false">IF(AND(MOD(55,3)=0,BE116&gt;0),BE116*Assumptions!$B$59,0)</f>
        <v>0</v>
      </c>
      <c r="BF117" s="38" t="n">
        <f aca="false">IF(AND(MOD(56,3)=0,BF116&gt;0),BF116*Assumptions!$B$59,0)</f>
        <v>0</v>
      </c>
      <c r="BG117" s="38" t="n">
        <f aca="false">IF(AND(MOD(57,3)=0,BG116&gt;0),BG116*Assumptions!$B$59,0)</f>
        <v>0</v>
      </c>
      <c r="BH117" s="38" t="n">
        <f aca="false">IF(AND(MOD(58,3)=0,BH116&gt;0),BH116*Assumptions!$B$59,0)</f>
        <v>0</v>
      </c>
      <c r="BI117" s="38" t="n">
        <f aca="false">IF(AND(MOD(59,3)=0,BI116&gt;0),BI116*Assumptions!$B$59,0)</f>
        <v>0</v>
      </c>
      <c r="BJ117" s="38" t="n">
        <f aca="false">IF(AND(MOD(60,3)=0,BJ116&gt;0),BJ116*Assumptions!$B$59,0)</f>
        <v>0</v>
      </c>
      <c r="BK117" s="38" t="n">
        <f aca="false">IF(AND(MOD(61,3)=0,BK116&gt;0),BK116*Assumptions!$B$59,0)</f>
        <v>0</v>
      </c>
      <c r="BL117" s="38" t="n">
        <f aca="false">IF(AND(MOD(62,3)=0,BL116&gt;0),BL116*Assumptions!$B$59,0)</f>
        <v>0</v>
      </c>
      <c r="BM117" s="38" t="n">
        <f aca="false">IF(AND(MOD(63,3)=0,BM116&gt;0),BM116*Assumptions!$B$59,0)</f>
        <v>0</v>
      </c>
      <c r="BN117" s="38" t="n">
        <f aca="false">IF(AND(MOD(64,3)=0,BN116&gt;0),BN116*Assumptions!$B$59,0)</f>
        <v>0</v>
      </c>
      <c r="BO117" s="38" t="n">
        <f aca="false">IF(AND(MOD(65,3)=0,BO116&gt;0),BO116*Assumptions!$B$59,0)</f>
        <v>0</v>
      </c>
      <c r="BP117" s="38" t="n">
        <f aca="false">IF(AND(MOD(66,3)=0,BP116&gt;0),BP116*Assumptions!$B$59,0)</f>
        <v>0</v>
      </c>
      <c r="BQ117" s="38" t="n">
        <f aca="false">IF(AND(MOD(67,3)=0,BQ116&gt;0),BQ116*Assumptions!$B$59,0)</f>
        <v>0</v>
      </c>
      <c r="BR117" s="38" t="n">
        <f aca="false">IF(AND(MOD(68,3)=0,BR116&gt;0),BR116*Assumptions!$B$59,0)</f>
        <v>0</v>
      </c>
      <c r="BS117" s="38" t="n">
        <f aca="false">IF(AND(MOD(69,3)=0,BS116&gt;0),BS116*Assumptions!$B$59,0)</f>
        <v>0</v>
      </c>
      <c r="BT117" s="38" t="n">
        <f aca="false">IF(AND(MOD(70,3)=0,BT116&gt;0),BT116*Assumptions!$B$59,0)</f>
        <v>0</v>
      </c>
      <c r="BU117" s="38" t="n">
        <f aca="false">IF(AND(MOD(71,3)=0,BU116&gt;0),BU116*Assumptions!$B$59,0)</f>
        <v>0</v>
      </c>
      <c r="BV117" s="38" t="n">
        <f aca="false">IF(AND(MOD(72,3)=0,BV116&gt;0),BV116*Assumptions!$B$59,0)</f>
        <v>0</v>
      </c>
      <c r="BW117" s="38" t="n">
        <f aca="false">IF(AND(MOD(73,3)=0,BW116&gt;0),BW116*Assumptions!$B$59,0)</f>
        <v>0</v>
      </c>
      <c r="BX117" s="38" t="n">
        <f aca="false">IF(AND(MOD(74,3)=0,BX116&gt;0),BX116*Assumptions!$B$59,0)</f>
        <v>0</v>
      </c>
      <c r="BY117" s="38" t="n">
        <f aca="false">IF(AND(MOD(75,3)=0,BY116&gt;0),BY116*Assumptions!$B$59,0)</f>
        <v>0</v>
      </c>
      <c r="BZ117" s="38" t="n">
        <f aca="false">IF(AND(MOD(76,3)=0,BZ116&gt;0),BZ116*Assumptions!$B$59,0)</f>
        <v>0</v>
      </c>
      <c r="CA117" s="38" t="n">
        <f aca="false">IF(AND(MOD(77,3)=0,CA116&gt;0),CA116*Assumptions!$B$59,0)</f>
        <v>0</v>
      </c>
      <c r="CB117" s="38" t="n">
        <f aca="false">IF(AND(MOD(78,3)=0,CB116&gt;0),CB116*Assumptions!$B$59,0)</f>
        <v>0</v>
      </c>
      <c r="CC117" s="38" t="n">
        <f aca="false">IF(AND(MOD(79,3)=0,CC116&gt;0),CC116*Assumptions!$B$59,0)</f>
        <v>0</v>
      </c>
      <c r="CD117" s="38" t="n">
        <f aca="false">IF(AND(MOD(80,3)=0,CD116&gt;0),CD116*Assumptions!$B$59,0)</f>
        <v>0</v>
      </c>
      <c r="CE117" s="38" t="n">
        <f aca="false">IF(AND(MOD(81,3)=0,CE116&gt;0),CE116*Assumptions!$B$59,0)</f>
        <v>0</v>
      </c>
      <c r="CF117" s="38" t="n">
        <f aca="false">IF(AND(MOD(82,3)=0,CF116&gt;0),CF116*Assumptions!$B$59,0)</f>
        <v>0</v>
      </c>
      <c r="CG117" s="38" t="n">
        <f aca="false">IF(AND(MOD(83,3)=0,CG116&gt;0),CG116*Assumptions!$B$59,0)</f>
        <v>0</v>
      </c>
      <c r="CH117" s="38" t="n">
        <f aca="false">IF(AND(MOD(84,3)=0,CH116&gt;0),CH116*Assumptions!$B$59,0)</f>
        <v>0</v>
      </c>
      <c r="CI117" s="25"/>
    </row>
    <row r="118" customFormat="false" ht="15" hidden="false" customHeight="true" outlineLevel="0" collapsed="false">
      <c r="A118" s="9" t="s">
        <v>143</v>
      </c>
      <c r="B118" s="9"/>
      <c r="C118" s="38" t="n">
        <v>0</v>
      </c>
      <c r="D118" s="38" t="n">
        <v>0</v>
      </c>
      <c r="E118" s="38" t="n">
        <v>0</v>
      </c>
      <c r="F118" s="38" t="n">
        <v>0</v>
      </c>
      <c r="G118" s="38" t="n">
        <v>0</v>
      </c>
      <c r="H118" s="38" t="n">
        <v>0</v>
      </c>
      <c r="I118" s="38" t="n">
        <v>0</v>
      </c>
      <c r="J118" s="38" t="n">
        <v>0</v>
      </c>
      <c r="K118" s="38" t="n">
        <v>0</v>
      </c>
      <c r="L118" s="38" t="n">
        <v>0</v>
      </c>
      <c r="M118" s="38" t="n">
        <v>0</v>
      </c>
      <c r="N118" s="38" t="n">
        <v>0</v>
      </c>
      <c r="O118" s="38" t="n">
        <v>0</v>
      </c>
      <c r="P118" s="38" t="n">
        <v>0</v>
      </c>
      <c r="Q118" s="38" t="n">
        <v>0</v>
      </c>
      <c r="R118" s="38" t="n">
        <v>0</v>
      </c>
      <c r="S118" s="38" t="n">
        <v>0</v>
      </c>
      <c r="T118" s="38" t="n">
        <v>0</v>
      </c>
      <c r="U118" s="38" t="n">
        <v>0</v>
      </c>
      <c r="V118" s="38" t="n">
        <v>0</v>
      </c>
      <c r="W118" s="38" t="n">
        <v>0</v>
      </c>
      <c r="X118" s="38" t="n">
        <v>0</v>
      </c>
      <c r="Y118" s="38" t="n">
        <v>0</v>
      </c>
      <c r="Z118" s="38" t="n">
        <v>0</v>
      </c>
      <c r="AA118" s="38" t="n">
        <v>0</v>
      </c>
      <c r="AB118" s="38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0</v>
      </c>
      <c r="BX118" s="38" t="n">
        <v>0</v>
      </c>
      <c r="BY118" s="38" t="n">
        <v>0</v>
      </c>
      <c r="BZ118" s="38" t="n">
        <v>0</v>
      </c>
      <c r="CA118" s="38" t="n">
        <v>0</v>
      </c>
      <c r="CB118" s="38" t="n">
        <v>0</v>
      </c>
      <c r="CC118" s="38" t="n">
        <v>0</v>
      </c>
      <c r="CD118" s="38" t="n">
        <v>0</v>
      </c>
      <c r="CE118" s="38" t="n">
        <v>0</v>
      </c>
      <c r="CF118" s="38" t="n">
        <v>0</v>
      </c>
      <c r="CG118" s="38" t="n">
        <v>0</v>
      </c>
      <c r="CH118" s="38" t="n">
        <v>0</v>
      </c>
      <c r="CI118" s="25"/>
    </row>
    <row r="119" customFormat="false" ht="15" hidden="false" customHeight="true" outlineLevel="0" collapsed="false">
      <c r="A119" s="39" t="s">
        <v>144</v>
      </c>
      <c r="B119" s="39"/>
      <c r="C119" s="40" t="n">
        <v>0</v>
      </c>
      <c r="D119" s="40" t="n">
        <v>0</v>
      </c>
      <c r="E119" s="40" t="n">
        <v>0</v>
      </c>
      <c r="F119" s="40" t="n">
        <v>0</v>
      </c>
      <c r="G119" s="40" t="n">
        <v>0</v>
      </c>
      <c r="H119" s="40" t="n">
        <v>0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0</v>
      </c>
      <c r="N119" s="40" t="n">
        <v>0</v>
      </c>
      <c r="O119" s="40" t="n">
        <v>0</v>
      </c>
      <c r="P119" s="40" t="n">
        <v>0</v>
      </c>
      <c r="Q119" s="40" t="n">
        <v>0</v>
      </c>
      <c r="R119" s="40" t="n">
        <v>0</v>
      </c>
      <c r="S119" s="40" t="n">
        <v>0</v>
      </c>
      <c r="T119" s="40" t="n">
        <v>0</v>
      </c>
      <c r="U119" s="40" t="n">
        <v>0</v>
      </c>
      <c r="V119" s="40" t="n">
        <v>0</v>
      </c>
      <c r="W119" s="40" t="n">
        <v>0</v>
      </c>
      <c r="X119" s="40" t="n">
        <v>0</v>
      </c>
      <c r="Y119" s="40" t="n">
        <v>0</v>
      </c>
      <c r="Z119" s="40" t="n">
        <v>0</v>
      </c>
      <c r="AA119" s="40" t="n">
        <v>0</v>
      </c>
      <c r="AB119" s="40" t="n">
        <v>0</v>
      </c>
      <c r="AC119" s="40" t="n">
        <v>0</v>
      </c>
      <c r="AD119" s="40" t="n">
        <v>0</v>
      </c>
      <c r="AE119" s="40" t="n">
        <v>0</v>
      </c>
      <c r="AF119" s="40" t="n">
        <v>0</v>
      </c>
      <c r="AG119" s="40" t="n">
        <v>0</v>
      </c>
      <c r="AH119" s="40" t="n">
        <v>0</v>
      </c>
      <c r="AI119" s="40" t="n">
        <v>0</v>
      </c>
      <c r="AJ119" s="40" t="n">
        <v>0</v>
      </c>
      <c r="AK119" s="40" t="n">
        <v>0</v>
      </c>
      <c r="AL119" s="40" t="n">
        <v>0</v>
      </c>
      <c r="AM119" s="40" t="n">
        <v>0</v>
      </c>
      <c r="AN119" s="40" t="n">
        <v>0</v>
      </c>
      <c r="AO119" s="40" t="n">
        <v>0</v>
      </c>
      <c r="AP119" s="40" t="n">
        <v>0</v>
      </c>
      <c r="AQ119" s="40" t="n">
        <v>0</v>
      </c>
      <c r="AR119" s="40" t="n">
        <v>0</v>
      </c>
      <c r="AS119" s="40" t="n">
        <v>0</v>
      </c>
      <c r="AT119" s="40" t="n">
        <v>0</v>
      </c>
      <c r="AU119" s="40" t="n">
        <v>0</v>
      </c>
      <c r="AV119" s="40" t="n">
        <v>0</v>
      </c>
      <c r="AW119" s="40" t="n">
        <v>0</v>
      </c>
      <c r="AX119" s="40" t="n">
        <v>0</v>
      </c>
      <c r="AY119" s="40" t="n">
        <v>0</v>
      </c>
      <c r="AZ119" s="40" t="n">
        <v>0</v>
      </c>
      <c r="BA119" s="40" t="n">
        <v>0</v>
      </c>
      <c r="BB119" s="40" t="n">
        <v>0</v>
      </c>
      <c r="BC119" s="40" t="n">
        <v>0</v>
      </c>
      <c r="BD119" s="40" t="n">
        <v>0</v>
      </c>
      <c r="BE119" s="40" t="n">
        <v>0</v>
      </c>
      <c r="BF119" s="40" t="n">
        <v>0</v>
      </c>
      <c r="BG119" s="40" t="n">
        <v>0</v>
      </c>
      <c r="BH119" s="40" t="n">
        <v>0</v>
      </c>
      <c r="BI119" s="40" t="n">
        <v>0</v>
      </c>
      <c r="BJ119" s="40" t="n">
        <v>0</v>
      </c>
      <c r="BK119" s="40" t="n">
        <v>0</v>
      </c>
      <c r="BL119" s="40" t="n">
        <v>0</v>
      </c>
      <c r="BM119" s="40" t="n">
        <v>0</v>
      </c>
      <c r="BN119" s="40" t="n">
        <v>0</v>
      </c>
      <c r="BO119" s="40" t="n">
        <v>0</v>
      </c>
      <c r="BP119" s="40" t="n">
        <v>0</v>
      </c>
      <c r="BQ119" s="40" t="n">
        <v>0</v>
      </c>
      <c r="BR119" s="40" t="n">
        <v>0</v>
      </c>
      <c r="BS119" s="40" t="n">
        <v>0</v>
      </c>
      <c r="BT119" s="40" t="n">
        <v>0</v>
      </c>
      <c r="BU119" s="40" t="n">
        <v>0</v>
      </c>
      <c r="BV119" s="40" t="n">
        <v>0</v>
      </c>
      <c r="BW119" s="40" t="n">
        <v>0</v>
      </c>
      <c r="BX119" s="40" t="n">
        <v>0</v>
      </c>
      <c r="BY119" s="40" t="n">
        <v>0</v>
      </c>
      <c r="BZ119" s="40" t="n">
        <v>0</v>
      </c>
      <c r="CA119" s="40" t="n">
        <v>0</v>
      </c>
      <c r="CB119" s="40" t="n">
        <v>0</v>
      </c>
      <c r="CC119" s="40" t="n">
        <v>0</v>
      </c>
      <c r="CD119" s="40" t="n">
        <v>0</v>
      </c>
      <c r="CE119" s="40" t="n">
        <v>0</v>
      </c>
      <c r="CF119" s="40" t="n">
        <v>0</v>
      </c>
      <c r="CG119" s="40" t="n">
        <v>0</v>
      </c>
      <c r="CH119" s="40" t="n">
        <v>0</v>
      </c>
      <c r="CI119" s="25"/>
    </row>
    <row r="120" customFormat="false" ht="15" hidden="false" customHeight="true" outlineLevel="0" collapsed="false">
      <c r="A120" s="41" t="s">
        <v>145</v>
      </c>
      <c r="B120" s="42"/>
      <c r="C120" s="43" t="n">
        <f aca="false">MAX(0,C116+C117+C118+C119)</f>
        <v>0</v>
      </c>
      <c r="D120" s="43" t="n">
        <f aca="false">MAX(0,D116+D117+D118+D119)</f>
        <v>0</v>
      </c>
      <c r="E120" s="43" t="n">
        <f aca="false">MAX(0,E116+E117+E118+E119)</f>
        <v>0</v>
      </c>
      <c r="F120" s="43" t="n">
        <f aca="false">MAX(0,F116+F117+F118+F119)</f>
        <v>0</v>
      </c>
      <c r="G120" s="43" t="n">
        <f aca="false">MAX(0,G116+G117+G118+G119)</f>
        <v>0</v>
      </c>
      <c r="H120" s="43" t="n">
        <f aca="false">MAX(0,H116+H117+H118+H119)</f>
        <v>0</v>
      </c>
      <c r="I120" s="43" t="n">
        <f aca="false">MAX(0,I116+I117+I118+I119)</f>
        <v>0</v>
      </c>
      <c r="J120" s="43" t="n">
        <f aca="false">MAX(0,J116+J117+J118+J119)</f>
        <v>0</v>
      </c>
      <c r="K120" s="43" t="n">
        <f aca="false">MAX(0,K116+K117+K118+K119)</f>
        <v>0</v>
      </c>
      <c r="L120" s="43" t="n">
        <f aca="false">MAX(0,L116+L117+L118+L119)</f>
        <v>0</v>
      </c>
      <c r="M120" s="43" t="n">
        <f aca="false">MAX(0,M116+M117+M118+M119)</f>
        <v>0</v>
      </c>
      <c r="N120" s="43" t="n">
        <f aca="false">MAX(0,N116+N117+N118+N119)</f>
        <v>0</v>
      </c>
      <c r="O120" s="43" t="n">
        <f aca="false">MAX(0,O116+O117+O118+O119)</f>
        <v>0</v>
      </c>
      <c r="P120" s="43" t="n">
        <f aca="false">MAX(0,P116+P117+P118+P119)</f>
        <v>0</v>
      </c>
      <c r="Q120" s="43" t="n">
        <f aca="false">MAX(0,Q116+Q117+Q118+Q119)</f>
        <v>0</v>
      </c>
      <c r="R120" s="43" t="n">
        <f aca="false">MAX(0,R116+R117+R118+R119)</f>
        <v>0</v>
      </c>
      <c r="S120" s="43" t="n">
        <f aca="false">MAX(0,S116+S117+S118+S119)</f>
        <v>0</v>
      </c>
      <c r="T120" s="43" t="n">
        <f aca="false">MAX(0,T116+T117+T118+T119)</f>
        <v>0</v>
      </c>
      <c r="U120" s="43" t="n">
        <f aca="false">MAX(0,U116+U117+U118+U119)</f>
        <v>0</v>
      </c>
      <c r="V120" s="43" t="n">
        <f aca="false">MAX(0,V116+V117+V118+V119)</f>
        <v>0</v>
      </c>
      <c r="W120" s="43" t="n">
        <f aca="false">MAX(0,W116+W117+W118+W119)</f>
        <v>0</v>
      </c>
      <c r="X120" s="43" t="n">
        <f aca="false">MAX(0,X116+X117+X118+X119)</f>
        <v>0</v>
      </c>
      <c r="Y120" s="43" t="n">
        <f aca="false">MAX(0,Y116+Y117+Y118+Y119)</f>
        <v>0</v>
      </c>
      <c r="Z120" s="43" t="n">
        <f aca="false">MAX(0,Z116+Z117+Z118+Z119)</f>
        <v>0</v>
      </c>
      <c r="AA120" s="43" t="n">
        <f aca="false">MAX(0,AA116+AA117+AA118+AA119)</f>
        <v>0</v>
      </c>
      <c r="AB120" s="43" t="n">
        <f aca="false">MAX(0,AB116+AB117+AB118+AB119)</f>
        <v>0</v>
      </c>
      <c r="AC120" s="43" t="n">
        <f aca="false">MAX(0,AC116+AC117+AC118+AC119)</f>
        <v>0</v>
      </c>
      <c r="AD120" s="43" t="n">
        <f aca="false">MAX(0,AD116+AD117+AD118+AD119)</f>
        <v>0</v>
      </c>
      <c r="AE120" s="43" t="n">
        <f aca="false">MAX(0,AE116+AE117+AE118+AE119)</f>
        <v>0</v>
      </c>
      <c r="AF120" s="43" t="n">
        <f aca="false">MAX(0,AF116+AF117+AF118+AF119)</f>
        <v>0</v>
      </c>
      <c r="AG120" s="43" t="n">
        <f aca="false">MAX(0,AG116+AG117+AG118+AG119)</f>
        <v>0</v>
      </c>
      <c r="AH120" s="43" t="n">
        <f aca="false">MAX(0,AH116+AH117+AH118+AH119)</f>
        <v>0</v>
      </c>
      <c r="AI120" s="43" t="n">
        <f aca="false">MAX(0,AI116+AI117+AI118+AI119)</f>
        <v>0</v>
      </c>
      <c r="AJ120" s="43" t="n">
        <f aca="false">MAX(0,AJ116+AJ117+AJ118+AJ119)</f>
        <v>0</v>
      </c>
      <c r="AK120" s="43" t="n">
        <f aca="false">MAX(0,AK116+AK117+AK118+AK119)</f>
        <v>0</v>
      </c>
      <c r="AL120" s="43" t="n">
        <f aca="false">MAX(0,AL116+AL117+AL118+AL119)</f>
        <v>0</v>
      </c>
      <c r="AM120" s="43" t="n">
        <f aca="false">MAX(0,AM116+AM117+AM118+AM119)</f>
        <v>0</v>
      </c>
      <c r="AN120" s="43" t="n">
        <f aca="false">MAX(0,AN116+AN117+AN118+AN119)</f>
        <v>0</v>
      </c>
      <c r="AO120" s="43" t="n">
        <f aca="false">MAX(0,AO116+AO117+AO118+AO119)</f>
        <v>0</v>
      </c>
      <c r="AP120" s="43" t="n">
        <f aca="false">MAX(0,AP116+AP117+AP118+AP119)</f>
        <v>0</v>
      </c>
      <c r="AQ120" s="43" t="n">
        <f aca="false">MAX(0,AQ116+AQ117+AQ118+AQ119)</f>
        <v>0</v>
      </c>
      <c r="AR120" s="43" t="n">
        <f aca="false">MAX(0,AR116+AR117+AR118+AR119)</f>
        <v>0</v>
      </c>
      <c r="AS120" s="43" t="n">
        <f aca="false">MAX(0,AS116+AS117+AS118+AS119)</f>
        <v>0</v>
      </c>
      <c r="AT120" s="43" t="n">
        <f aca="false">MAX(0,AT116+AT117+AT118+AT119)</f>
        <v>0</v>
      </c>
      <c r="AU120" s="43" t="n">
        <f aca="false">MAX(0,AU116+AU117+AU118+AU119)</f>
        <v>0</v>
      </c>
      <c r="AV120" s="43" t="n">
        <f aca="false">MAX(0,AV116+AV117+AV118+AV119)</f>
        <v>0</v>
      </c>
      <c r="AW120" s="43" t="n">
        <f aca="false">MAX(0,AW116+AW117+AW118+AW119)</f>
        <v>0</v>
      </c>
      <c r="AX120" s="43" t="n">
        <f aca="false">MAX(0,AX116+AX117+AX118+AX119)</f>
        <v>0</v>
      </c>
      <c r="AY120" s="43" t="n">
        <f aca="false">MAX(0,AY116+AY117+AY118+AY119)</f>
        <v>0</v>
      </c>
      <c r="AZ120" s="43" t="n">
        <f aca="false">MAX(0,AZ116+AZ117+AZ118+AZ119)</f>
        <v>0</v>
      </c>
      <c r="BA120" s="43" t="n">
        <f aca="false">MAX(0,BA116+BA117+BA118+BA119)</f>
        <v>0</v>
      </c>
      <c r="BB120" s="43" t="n">
        <f aca="false">MAX(0,BB116+BB117+BB118+BB119)</f>
        <v>0</v>
      </c>
      <c r="BC120" s="43" t="n">
        <f aca="false">MAX(0,BC116+BC117+BC118+BC119)</f>
        <v>0</v>
      </c>
      <c r="BD120" s="43" t="n">
        <f aca="false">MAX(0,BD116+BD117+BD118+BD119)</f>
        <v>0</v>
      </c>
      <c r="BE120" s="43" t="n">
        <f aca="false">MAX(0,BE116+BE117+BE118+BE119)</f>
        <v>0</v>
      </c>
      <c r="BF120" s="43" t="n">
        <f aca="false">MAX(0,BF116+BF117+BF118+BF119)</f>
        <v>0</v>
      </c>
      <c r="BG120" s="43" t="n">
        <f aca="false">MAX(0,BG116+BG117+BG118+BG119)</f>
        <v>0</v>
      </c>
      <c r="BH120" s="43" t="n">
        <f aca="false">MAX(0,BH116+BH117+BH118+BH119)</f>
        <v>0</v>
      </c>
      <c r="BI120" s="43" t="n">
        <f aca="false">MAX(0,BI116+BI117+BI118+BI119)</f>
        <v>0</v>
      </c>
      <c r="BJ120" s="43" t="n">
        <f aca="false">MAX(0,BJ116+BJ117+BJ118+BJ119)</f>
        <v>0</v>
      </c>
      <c r="BK120" s="43" t="n">
        <f aca="false">MAX(0,BK116+BK117+BK118+BK119)</f>
        <v>0</v>
      </c>
      <c r="BL120" s="43" t="n">
        <f aca="false">MAX(0,BL116+BL117+BL118+BL119)</f>
        <v>0</v>
      </c>
      <c r="BM120" s="43" t="n">
        <f aca="false">MAX(0,BM116+BM117+BM118+BM119)</f>
        <v>0</v>
      </c>
      <c r="BN120" s="43" t="n">
        <f aca="false">MAX(0,BN116+BN117+BN118+BN119)</f>
        <v>0</v>
      </c>
      <c r="BO120" s="43" t="n">
        <f aca="false">MAX(0,BO116+BO117+BO118+BO119)</f>
        <v>0</v>
      </c>
      <c r="BP120" s="43" t="n">
        <f aca="false">MAX(0,BP116+BP117+BP118+BP119)</f>
        <v>0</v>
      </c>
      <c r="BQ120" s="43" t="n">
        <f aca="false">MAX(0,BQ116+BQ117+BQ118+BQ119)</f>
        <v>0</v>
      </c>
      <c r="BR120" s="43" t="n">
        <f aca="false">MAX(0,BR116+BR117+BR118+BR119)</f>
        <v>0</v>
      </c>
      <c r="BS120" s="43" t="n">
        <f aca="false">MAX(0,BS116+BS117+BS118+BS119)</f>
        <v>0</v>
      </c>
      <c r="BT120" s="43" t="n">
        <f aca="false">MAX(0,BT116+BT117+BT118+BT119)</f>
        <v>0</v>
      </c>
      <c r="BU120" s="43" t="n">
        <f aca="false">MAX(0,BU116+BU117+BU118+BU119)</f>
        <v>0</v>
      </c>
      <c r="BV120" s="43" t="n">
        <f aca="false">MAX(0,BV116+BV117+BV118+BV119)</f>
        <v>0</v>
      </c>
      <c r="BW120" s="43" t="n">
        <f aca="false">MAX(0,BW116+BW117+BW118+BW119)</f>
        <v>0</v>
      </c>
      <c r="BX120" s="43" t="n">
        <f aca="false">MAX(0,BX116+BX117+BX118+BX119)</f>
        <v>0</v>
      </c>
      <c r="BY120" s="43" t="n">
        <f aca="false">MAX(0,BY116+BY117+BY118+BY119)</f>
        <v>0</v>
      </c>
      <c r="BZ120" s="43" t="n">
        <f aca="false">MAX(0,BZ116+BZ117+BZ118+BZ119)</f>
        <v>0</v>
      </c>
      <c r="CA120" s="43" t="n">
        <f aca="false">MAX(0,CA116+CA117+CA118+CA119)</f>
        <v>0</v>
      </c>
      <c r="CB120" s="43" t="n">
        <f aca="false">MAX(0,CB116+CB117+CB118+CB119)</f>
        <v>0</v>
      </c>
      <c r="CC120" s="43" t="n">
        <f aca="false">MAX(0,CC116+CC117+CC118+CC119)</f>
        <v>0</v>
      </c>
      <c r="CD120" s="43" t="n">
        <f aca="false">MAX(0,CD116+CD117+CD118+CD119)</f>
        <v>0</v>
      </c>
      <c r="CE120" s="43" t="n">
        <f aca="false">MAX(0,CE116+CE117+CE118+CE119)</f>
        <v>0</v>
      </c>
      <c r="CF120" s="43" t="n">
        <f aca="false">MAX(0,CF116+CF117+CF118+CF119)</f>
        <v>0</v>
      </c>
      <c r="CG120" s="43" t="n">
        <f aca="false">MAX(0,CG116+CG117+CG118+CG119)</f>
        <v>0</v>
      </c>
      <c r="CH120" s="43" t="n">
        <f aca="false">MAX(0,CH116+CH117+CH118+CH119)</f>
        <v>0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IF(Projects!$G$14="Yes",Assumptions!$B$75,0)</f>
        <v>264927.15</v>
      </c>
      <c r="D121" s="45" t="n">
        <f aca="false">C125</f>
        <v>264927.15</v>
      </c>
      <c r="E121" s="45" t="n">
        <f aca="false">IF(Projects!$G$14="Yes",D125+176618.1,D125)</f>
        <v>441545.25</v>
      </c>
      <c r="F121" s="45" t="n">
        <f aca="false">E125</f>
        <v>458103.196875</v>
      </c>
      <c r="G121" s="45" t="n">
        <f aca="false">F125</f>
        <v>458103.196875</v>
      </c>
      <c r="H121" s="45" t="n">
        <f aca="false">IF(Projects!$G$14="Yes",G125+176618.1,G125)</f>
        <v>634721.296875</v>
      </c>
      <c r="I121" s="45" t="n">
        <f aca="false">H125</f>
        <v>658523.345507813</v>
      </c>
      <c r="J121" s="45" t="n">
        <f aca="false">I125</f>
        <v>658523.345507813</v>
      </c>
      <c r="K121" s="45" t="n">
        <f aca="false">J125</f>
        <v>658523.345507813</v>
      </c>
      <c r="L121" s="45" t="n">
        <f aca="false">IF(Projects!$G$14="Yes",K125+88309.05,K125)</f>
        <v>771527.020964355</v>
      </c>
      <c r="M121" s="45" t="n">
        <f aca="false">L125</f>
        <v>771527.020964355</v>
      </c>
      <c r="N121" s="45" t="n">
        <f aca="false">M125</f>
        <v>771527.020964355</v>
      </c>
      <c r="O121" s="45" t="n">
        <f aca="false">N125</f>
        <v>800459.284250519</v>
      </c>
      <c r="P121" s="45" t="n">
        <f aca="false">O125</f>
        <v>800459.284250519</v>
      </c>
      <c r="Q121" s="45" t="n">
        <f aca="false">IF(Projects!$G$14="Yes",P125+88309.05,P125)</f>
        <v>888768.334250519</v>
      </c>
      <c r="R121" s="45" t="n">
        <f aca="false">Q125</f>
        <v>922097.146784913</v>
      </c>
      <c r="S121" s="45" t="n">
        <f aca="false">R125</f>
        <v>922097.146784913</v>
      </c>
      <c r="T121" s="45" t="n">
        <f aca="false">S125</f>
        <v>922097.146784913</v>
      </c>
      <c r="U121" s="45" t="n">
        <f aca="false">T125</f>
        <v>956675.789789348</v>
      </c>
      <c r="V121" s="45" t="n">
        <f aca="false">U125</f>
        <v>956675.789789348</v>
      </c>
      <c r="W121" s="45" t="n">
        <f aca="false">IF(Projects!$G$14="Yes",V125+88309.05,V125)</f>
        <v>1044984.83978935</v>
      </c>
      <c r="X121" s="45" t="n">
        <f aca="false">W125</f>
        <v>1084171.77128145</v>
      </c>
      <c r="Y121" s="45" t="n">
        <f aca="false">X125</f>
        <v>1084171.77128145</v>
      </c>
      <c r="Z121" s="45" t="n">
        <f aca="false">Y125</f>
        <v>1084171.77128145</v>
      </c>
      <c r="AA121" s="45" t="n">
        <f aca="false">Z125</f>
        <v>1124828.2127045</v>
      </c>
      <c r="AB121" s="45" t="n">
        <f aca="false">AA125</f>
        <v>1124828.2127045</v>
      </c>
      <c r="AC121" s="45" t="n">
        <f aca="false">IF(Projects!$G$14="Yes",AB125+Assumptions!$B$76,AB125)</f>
        <v>2007918.7127045</v>
      </c>
      <c r="AD121" s="45" t="n">
        <f aca="false">AC125</f>
        <v>283215.664430921</v>
      </c>
      <c r="AE121" s="45" t="n">
        <f aca="false">AD125</f>
        <v>283215.664430921</v>
      </c>
      <c r="AF121" s="45" t="n">
        <f aca="false">AE125</f>
        <v>283215.664430921</v>
      </c>
      <c r="AG121" s="45" t="n">
        <f aca="false">AF125</f>
        <v>293836.251847081</v>
      </c>
      <c r="AH121" s="45" t="n">
        <f aca="false">AG125</f>
        <v>293836.251847081</v>
      </c>
      <c r="AI121" s="45" t="n">
        <f aca="false">AH125</f>
        <v>293836.251847081</v>
      </c>
      <c r="AJ121" s="45" t="n">
        <f aca="false">AI125</f>
        <v>304855.111291347</v>
      </c>
      <c r="AK121" s="45" t="n">
        <f aca="false">AJ125</f>
        <v>304855.111291347</v>
      </c>
      <c r="AL121" s="45" t="n">
        <f aca="false">AK125</f>
        <v>304855.111291347</v>
      </c>
      <c r="AM121" s="45" t="n">
        <f aca="false">AL125</f>
        <v>316287.177964772</v>
      </c>
      <c r="AN121" s="45" t="n">
        <f aca="false">AM125</f>
        <v>316287.177964772</v>
      </c>
      <c r="AO121" s="45" t="n">
        <f aca="false">AN125</f>
        <v>316287.177964772</v>
      </c>
      <c r="AP121" s="45" t="n">
        <f aca="false">AO125</f>
        <v>328147.947138451</v>
      </c>
      <c r="AQ121" s="45" t="n">
        <f aca="false">AP125</f>
        <v>328147.947138451</v>
      </c>
      <c r="AR121" s="45" t="n">
        <f aca="false">AQ125</f>
        <v>328147.947138451</v>
      </c>
      <c r="AS121" s="45" t="n">
        <f aca="false">AR125</f>
        <v>340453.495156143</v>
      </c>
      <c r="AT121" s="45" t="n">
        <f aca="false">AS125</f>
        <v>340453.495156143</v>
      </c>
      <c r="AU121" s="45" t="n">
        <f aca="false">AT125</f>
        <v>340453.495156143</v>
      </c>
      <c r="AV121" s="45" t="n">
        <f aca="false">AU125</f>
        <v>353220.501224498</v>
      </c>
      <c r="AW121" s="45" t="n">
        <f aca="false">AV125</f>
        <v>353220.501224498</v>
      </c>
      <c r="AX121" s="45" t="n">
        <f aca="false">AW125</f>
        <v>353220.501224498</v>
      </c>
      <c r="AY121" s="45" t="n">
        <f aca="false">AX125</f>
        <v>366466.270020417</v>
      </c>
      <c r="AZ121" s="45" t="n">
        <f aca="false">AY125</f>
        <v>366466.270020417</v>
      </c>
      <c r="BA121" s="45" t="n">
        <f aca="false">AZ125</f>
        <v>366466.270020417</v>
      </c>
      <c r="BB121" s="45" t="n">
        <f aca="false">BA125</f>
        <v>380208.755146183</v>
      </c>
      <c r="BC121" s="45" t="n">
        <f aca="false">BB125</f>
        <v>380208.755146183</v>
      </c>
      <c r="BD121" s="45" t="n">
        <f aca="false">BC125</f>
        <v>380208.755146183</v>
      </c>
      <c r="BE121" s="45" t="n">
        <f aca="false">BD125</f>
        <v>394466.583464164</v>
      </c>
      <c r="BF121" s="45" t="n">
        <f aca="false">BE125</f>
        <v>394466.583464164</v>
      </c>
      <c r="BG121" s="45" t="n">
        <f aca="false">BF125</f>
        <v>394466.583464164</v>
      </c>
      <c r="BH121" s="45" t="n">
        <f aca="false">BG125</f>
        <v>409259.080344071</v>
      </c>
      <c r="BI121" s="45" t="n">
        <f aca="false">BH125</f>
        <v>409259.080344071</v>
      </c>
      <c r="BJ121" s="45" t="n">
        <f aca="false">BI125</f>
        <v>409259.080344071</v>
      </c>
      <c r="BK121" s="45" t="n">
        <f aca="false">BJ125</f>
        <v>424606.295856973</v>
      </c>
      <c r="BL121" s="45" t="n">
        <f aca="false">BK125</f>
        <v>424606.295856973</v>
      </c>
      <c r="BM121" s="45" t="n">
        <f aca="false">BL125</f>
        <v>424606.295856973</v>
      </c>
      <c r="BN121" s="45" t="n">
        <f aca="false">BM125</f>
        <v>440529.03195161</v>
      </c>
      <c r="BO121" s="45" t="n">
        <f aca="false">BN125</f>
        <v>440529.03195161</v>
      </c>
      <c r="BP121" s="45" t="n">
        <f aca="false">BO125</f>
        <v>440529.03195161</v>
      </c>
      <c r="BQ121" s="45" t="n">
        <f aca="false">BP125</f>
        <v>457048.870649795</v>
      </c>
      <c r="BR121" s="45" t="n">
        <f aca="false">BQ125</f>
        <v>457048.870649795</v>
      </c>
      <c r="BS121" s="45" t="n">
        <f aca="false">BR125</f>
        <v>457048.870649795</v>
      </c>
      <c r="BT121" s="45" t="n">
        <f aca="false">BS125</f>
        <v>474188.203299162</v>
      </c>
      <c r="BU121" s="45" t="n">
        <f aca="false">BT125</f>
        <v>474188.203299162</v>
      </c>
      <c r="BV121" s="45" t="n">
        <f aca="false">BU125</f>
        <v>474188.203299162</v>
      </c>
      <c r="BW121" s="45" t="n">
        <f aca="false">BV125</f>
        <v>491970.260922881</v>
      </c>
      <c r="BX121" s="45" t="n">
        <f aca="false">BW125</f>
        <v>491970.260922881</v>
      </c>
      <c r="BY121" s="45" t="n">
        <f aca="false">BX125</f>
        <v>491970.260922881</v>
      </c>
      <c r="BZ121" s="45" t="n">
        <f aca="false">BY125</f>
        <v>510419.145707489</v>
      </c>
      <c r="CA121" s="45" t="n">
        <f aca="false">BZ125</f>
        <v>510419.145707489</v>
      </c>
      <c r="CB121" s="45" t="n">
        <f aca="false">CA125</f>
        <v>510419.145707489</v>
      </c>
      <c r="CC121" s="45" t="n">
        <f aca="false">CB125</f>
        <v>529559.86367152</v>
      </c>
      <c r="CD121" s="45" t="n">
        <f aca="false">CC125</f>
        <v>529559.86367152</v>
      </c>
      <c r="CE121" s="45" t="n">
        <f aca="false">CD125</f>
        <v>529559.86367152</v>
      </c>
      <c r="CF121" s="45" t="n">
        <f aca="false">CE125</f>
        <v>549418.358559202</v>
      </c>
      <c r="CG121" s="45" t="n">
        <f aca="false">CF125</f>
        <v>549418.358559202</v>
      </c>
      <c r="CH121" s="45" t="n">
        <f aca="false">CG125</f>
        <v>549418.358559202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f aca="false">IF(AND(MOD(1,3)=0,C121&gt;0),C121*Assumptions!$B$59,0)</f>
        <v>0</v>
      </c>
      <c r="D122" s="45" t="n">
        <f aca="false">IF(AND(MOD(2,3)=0,D121&gt;0),D121*Assumptions!$B$59,0)</f>
        <v>0</v>
      </c>
      <c r="E122" s="45" t="n">
        <f aca="false">IF(AND(MOD(3,3)=0,E121&gt;0),E121*Assumptions!$B$59,0)</f>
        <v>16557.946875</v>
      </c>
      <c r="F122" s="45" t="n">
        <f aca="false">IF(AND(MOD(4,3)=0,F121&gt;0),F121*Assumptions!$B$59,0)</f>
        <v>0</v>
      </c>
      <c r="G122" s="45" t="n">
        <f aca="false">IF(AND(MOD(5,3)=0,G121&gt;0),G121*Assumptions!$B$59,0)</f>
        <v>0</v>
      </c>
      <c r="H122" s="45" t="n">
        <f aca="false">IF(AND(MOD(6,3)=0,H121&gt;0),H121*Assumptions!$B$59,0)</f>
        <v>23802.0486328125</v>
      </c>
      <c r="I122" s="45" t="n">
        <f aca="false">IF(AND(MOD(7,3)=0,I121&gt;0),I121*Assumptions!$B$59,0)</f>
        <v>0</v>
      </c>
      <c r="J122" s="45" t="n">
        <f aca="false">IF(AND(MOD(8,3)=0,J121&gt;0),J121*Assumptions!$B$59,0)</f>
        <v>0</v>
      </c>
      <c r="K122" s="45" t="n">
        <f aca="false">IF(AND(MOD(9,3)=0,K121&gt;0),K121*Assumptions!$B$59,0)</f>
        <v>24694.625456543</v>
      </c>
      <c r="L122" s="45" t="n">
        <f aca="false">IF(AND(MOD(10,3)=0,L121&gt;0),L121*Assumptions!$B$59,0)</f>
        <v>0</v>
      </c>
      <c r="M122" s="45" t="n">
        <f aca="false">IF(AND(MOD(11,3)=0,M121&gt;0),M121*Assumptions!$B$59,0)</f>
        <v>0</v>
      </c>
      <c r="N122" s="45" t="n">
        <f aca="false">IF(AND(MOD(12,3)=0,N121&gt;0),N121*Assumptions!$B$59,0)</f>
        <v>28932.2632861633</v>
      </c>
      <c r="O122" s="45" t="n">
        <f aca="false">IF(AND(MOD(13,3)=0,O121&gt;0),O121*Assumptions!$B$59,0)</f>
        <v>0</v>
      </c>
      <c r="P122" s="45" t="n">
        <f aca="false">IF(AND(MOD(14,3)=0,P121&gt;0),P121*Assumptions!$B$59,0)</f>
        <v>0</v>
      </c>
      <c r="Q122" s="45" t="n">
        <f aca="false">IF(AND(MOD(15,3)=0,Q121&gt;0),Q121*Assumptions!$B$59,0)</f>
        <v>33328.8125343945</v>
      </c>
      <c r="R122" s="45" t="n">
        <f aca="false">IF(AND(MOD(16,3)=0,R121&gt;0),R121*Assumptions!$B$59,0)</f>
        <v>0</v>
      </c>
      <c r="S122" s="45" t="n">
        <f aca="false">IF(AND(MOD(17,3)=0,S121&gt;0),S121*Assumptions!$B$59,0)</f>
        <v>0</v>
      </c>
      <c r="T122" s="45" t="n">
        <f aca="false">IF(AND(MOD(18,3)=0,T121&gt;0),T121*Assumptions!$B$59,0)</f>
        <v>34578.6430044343</v>
      </c>
      <c r="U122" s="45" t="n">
        <f aca="false">IF(AND(MOD(19,3)=0,U121&gt;0),U121*Assumptions!$B$59,0)</f>
        <v>0</v>
      </c>
      <c r="V122" s="45" t="n">
        <f aca="false">IF(AND(MOD(20,3)=0,V121&gt;0),V121*Assumptions!$B$59,0)</f>
        <v>0</v>
      </c>
      <c r="W122" s="45" t="n">
        <f aca="false">IF(AND(MOD(21,3)=0,W121&gt;0),W121*Assumptions!$B$59,0)</f>
        <v>39186.9314921005</v>
      </c>
      <c r="X122" s="45" t="n">
        <f aca="false">IF(AND(MOD(22,3)=0,X121&gt;0),X121*Assumptions!$B$59,0)</f>
        <v>0</v>
      </c>
      <c r="Y122" s="45" t="n">
        <f aca="false">IF(AND(MOD(23,3)=0,Y121&gt;0),Y121*Assumptions!$B$59,0)</f>
        <v>0</v>
      </c>
      <c r="Z122" s="45" t="n">
        <f aca="false">IF(AND(MOD(24,3)=0,Z121&gt;0),Z121*Assumptions!$B$59,0)</f>
        <v>40656.4414230543</v>
      </c>
      <c r="AA122" s="45" t="n">
        <f aca="false">IF(AND(MOD(25,3)=0,AA121&gt;0),AA121*Assumptions!$B$59,0)</f>
        <v>0</v>
      </c>
      <c r="AB122" s="45" t="n">
        <f aca="false">IF(AND(MOD(26,3)=0,AB121&gt;0),AB121*Assumptions!$B$59,0)</f>
        <v>0</v>
      </c>
      <c r="AC122" s="45" t="n">
        <f aca="false">IF(AND(MOD(27,3)=0,AC121&gt;0),AC121*Assumptions!$B$59,0)</f>
        <v>75296.9517264189</v>
      </c>
      <c r="AD122" s="45" t="n">
        <f aca="false">IF(AND(MOD(28,3)=0,AD121&gt;0),AD121*Assumptions!$B$59,0)</f>
        <v>0</v>
      </c>
      <c r="AE122" s="45" t="n">
        <f aca="false">IF(AND(MOD(29,3)=0,AE121&gt;0),AE121*Assumptions!$B$59,0)</f>
        <v>0</v>
      </c>
      <c r="AF122" s="45" t="n">
        <f aca="false">IF(AND(MOD(30,3)=0,AF121&gt;0),AF121*Assumptions!$B$59,0)</f>
        <v>10620.5874161596</v>
      </c>
      <c r="AG122" s="45" t="n">
        <f aca="false">IF(AND(MOD(31,3)=0,AG121&gt;0),AG121*Assumptions!$B$59,0)</f>
        <v>0</v>
      </c>
      <c r="AH122" s="45" t="n">
        <f aca="false">IF(AND(MOD(32,3)=0,AH121&gt;0),AH121*Assumptions!$B$59,0)</f>
        <v>0</v>
      </c>
      <c r="AI122" s="45" t="n">
        <f aca="false">IF(AND(MOD(33,3)=0,AI121&gt;0),AI121*Assumptions!$B$59,0)</f>
        <v>11018.8594442655</v>
      </c>
      <c r="AJ122" s="45" t="n">
        <f aca="false">IF(AND(MOD(34,3)=0,AJ121&gt;0),AJ121*Assumptions!$B$59,0)</f>
        <v>0</v>
      </c>
      <c r="AK122" s="45" t="n">
        <f aca="false">IF(AND(MOD(35,3)=0,AK121&gt;0),AK121*Assumptions!$B$59,0)</f>
        <v>0</v>
      </c>
      <c r="AL122" s="45" t="n">
        <f aca="false">IF(AND(MOD(36,3)=0,AL121&gt;0),AL121*Assumptions!$B$59,0)</f>
        <v>11432.0666734255</v>
      </c>
      <c r="AM122" s="45" t="n">
        <f aca="false">IF(AND(MOD(37,3)=0,AM121&gt;0),AM121*Assumptions!$B$59,0)</f>
        <v>0</v>
      </c>
      <c r="AN122" s="45" t="n">
        <f aca="false">IF(AND(MOD(38,3)=0,AN121&gt;0),AN121*Assumptions!$B$59,0)</f>
        <v>0</v>
      </c>
      <c r="AO122" s="45" t="n">
        <f aca="false">IF(AND(MOD(39,3)=0,AO121&gt;0),AO121*Assumptions!$B$59,0)</f>
        <v>11860.769173679</v>
      </c>
      <c r="AP122" s="45" t="n">
        <f aca="false">IF(AND(MOD(40,3)=0,AP121&gt;0),AP121*Assumptions!$B$59,0)</f>
        <v>0</v>
      </c>
      <c r="AQ122" s="45" t="n">
        <f aca="false">IF(AND(MOD(41,3)=0,AQ121&gt;0),AQ121*Assumptions!$B$59,0)</f>
        <v>0</v>
      </c>
      <c r="AR122" s="45" t="n">
        <f aca="false">IF(AND(MOD(42,3)=0,AR121&gt;0),AR121*Assumptions!$B$59,0)</f>
        <v>12305.5480176919</v>
      </c>
      <c r="AS122" s="45" t="n">
        <f aca="false">IF(AND(MOD(43,3)=0,AS121&gt;0),AS121*Assumptions!$B$59,0)</f>
        <v>0</v>
      </c>
      <c r="AT122" s="45" t="n">
        <f aca="false">IF(AND(MOD(44,3)=0,AT121&gt;0),AT121*Assumptions!$B$59,0)</f>
        <v>0</v>
      </c>
      <c r="AU122" s="45" t="n">
        <f aca="false">IF(AND(MOD(45,3)=0,AU121&gt;0),AU121*Assumptions!$B$59,0)</f>
        <v>12767.0060683554</v>
      </c>
      <c r="AV122" s="45" t="n">
        <f aca="false">IF(AND(MOD(46,3)=0,AV121&gt;0),AV121*Assumptions!$B$59,0)</f>
        <v>0</v>
      </c>
      <c r="AW122" s="45" t="n">
        <f aca="false">IF(AND(MOD(47,3)=0,AW121&gt;0),AW121*Assumptions!$B$59,0)</f>
        <v>0</v>
      </c>
      <c r="AX122" s="45" t="n">
        <f aca="false">IF(AND(MOD(48,3)=0,AX121&gt;0),AX121*Assumptions!$B$59,0)</f>
        <v>13245.7687959187</v>
      </c>
      <c r="AY122" s="45" t="n">
        <f aca="false">IF(AND(MOD(49,3)=0,AY121&gt;0),AY121*Assumptions!$B$59,0)</f>
        <v>0</v>
      </c>
      <c r="AZ122" s="45" t="n">
        <f aca="false">IF(AND(MOD(50,3)=0,AZ121&gt;0),AZ121*Assumptions!$B$59,0)</f>
        <v>0</v>
      </c>
      <c r="BA122" s="45" t="n">
        <f aca="false">IF(AND(MOD(51,3)=0,BA121&gt;0),BA121*Assumptions!$B$59,0)</f>
        <v>13742.4851257656</v>
      </c>
      <c r="BB122" s="45" t="n">
        <f aca="false">IF(AND(MOD(52,3)=0,BB121&gt;0),BB121*Assumptions!$B$59,0)</f>
        <v>0</v>
      </c>
      <c r="BC122" s="45" t="n">
        <f aca="false">IF(AND(MOD(53,3)=0,BC121&gt;0),BC121*Assumptions!$B$59,0)</f>
        <v>0</v>
      </c>
      <c r="BD122" s="45" t="n">
        <f aca="false">IF(AND(MOD(54,3)=0,BD121&gt;0),BD121*Assumptions!$B$59,0)</f>
        <v>14257.8283179818</v>
      </c>
      <c r="BE122" s="45" t="n">
        <f aca="false">IF(AND(MOD(55,3)=0,BE121&gt;0),BE121*Assumptions!$B$59,0)</f>
        <v>0</v>
      </c>
      <c r="BF122" s="45" t="n">
        <f aca="false">IF(AND(MOD(56,3)=0,BF121&gt;0),BF121*Assumptions!$B$59,0)</f>
        <v>0</v>
      </c>
      <c r="BG122" s="45" t="n">
        <f aca="false">IF(AND(MOD(57,3)=0,BG121&gt;0),BG121*Assumptions!$B$59,0)</f>
        <v>14792.4968799062</v>
      </c>
      <c r="BH122" s="45" t="n">
        <f aca="false">IF(AND(MOD(58,3)=0,BH121&gt;0),BH121*Assumptions!$B$59,0)</f>
        <v>0</v>
      </c>
      <c r="BI122" s="45" t="n">
        <f aca="false">IF(AND(MOD(59,3)=0,BI121&gt;0),BI121*Assumptions!$B$59,0)</f>
        <v>0</v>
      </c>
      <c r="BJ122" s="45" t="n">
        <f aca="false">IF(AND(MOD(60,3)=0,BJ121&gt;0),BJ121*Assumptions!$B$59,0)</f>
        <v>15347.2155129026</v>
      </c>
      <c r="BK122" s="45" t="n">
        <f aca="false">IF(AND(MOD(61,3)=0,BK121&gt;0),BK121*Assumptions!$B$59,0)</f>
        <v>0</v>
      </c>
      <c r="BL122" s="45" t="n">
        <f aca="false">IF(AND(MOD(62,3)=0,BL121&gt;0),BL121*Assumptions!$B$59,0)</f>
        <v>0</v>
      </c>
      <c r="BM122" s="45" t="n">
        <f aca="false">IF(AND(MOD(63,3)=0,BM121&gt;0),BM121*Assumptions!$B$59,0)</f>
        <v>15922.7360946365</v>
      </c>
      <c r="BN122" s="45" t="n">
        <f aca="false">IF(AND(MOD(64,3)=0,BN121&gt;0),BN121*Assumptions!$B$59,0)</f>
        <v>0</v>
      </c>
      <c r="BO122" s="45" t="n">
        <f aca="false">IF(AND(MOD(65,3)=0,BO121&gt;0),BO121*Assumptions!$B$59,0)</f>
        <v>0</v>
      </c>
      <c r="BP122" s="45" t="n">
        <f aca="false">IF(AND(MOD(66,3)=0,BP121&gt;0),BP121*Assumptions!$B$59,0)</f>
        <v>16519.8386981854</v>
      </c>
      <c r="BQ122" s="45" t="n">
        <f aca="false">IF(AND(MOD(67,3)=0,BQ121&gt;0),BQ121*Assumptions!$B$59,0)</f>
        <v>0</v>
      </c>
      <c r="BR122" s="45" t="n">
        <f aca="false">IF(AND(MOD(68,3)=0,BR121&gt;0),BR121*Assumptions!$B$59,0)</f>
        <v>0</v>
      </c>
      <c r="BS122" s="45" t="n">
        <f aca="false">IF(AND(MOD(69,3)=0,BS121&gt;0),BS121*Assumptions!$B$59,0)</f>
        <v>17139.3326493673</v>
      </c>
      <c r="BT122" s="45" t="n">
        <f aca="false">IF(AND(MOD(70,3)=0,BT121&gt;0),BT121*Assumptions!$B$59,0)</f>
        <v>0</v>
      </c>
      <c r="BU122" s="45" t="n">
        <f aca="false">IF(AND(MOD(71,3)=0,BU121&gt;0),BU121*Assumptions!$B$59,0)</f>
        <v>0</v>
      </c>
      <c r="BV122" s="45" t="n">
        <f aca="false">IF(AND(MOD(72,3)=0,BV121&gt;0),BV121*Assumptions!$B$59,0)</f>
        <v>17782.0576237186</v>
      </c>
      <c r="BW122" s="45" t="n">
        <f aca="false">IF(AND(MOD(73,3)=0,BW121&gt;0),BW121*Assumptions!$B$59,0)</f>
        <v>0</v>
      </c>
      <c r="BX122" s="45" t="n">
        <f aca="false">IF(AND(MOD(74,3)=0,BX121&gt;0),BX121*Assumptions!$B$59,0)</f>
        <v>0</v>
      </c>
      <c r="BY122" s="45" t="n">
        <f aca="false">IF(AND(MOD(75,3)=0,BY121&gt;0),BY121*Assumptions!$B$59,0)</f>
        <v>18448.884784608</v>
      </c>
      <c r="BZ122" s="45" t="n">
        <f aca="false">IF(AND(MOD(76,3)=0,BZ121&gt;0),BZ121*Assumptions!$B$59,0)</f>
        <v>0</v>
      </c>
      <c r="CA122" s="45" t="n">
        <f aca="false">IF(AND(MOD(77,3)=0,CA121&gt;0),CA121*Assumptions!$B$59,0)</f>
        <v>0</v>
      </c>
      <c r="CB122" s="45" t="n">
        <f aca="false">IF(AND(MOD(78,3)=0,CB121&gt;0),CB121*Assumptions!$B$59,0)</f>
        <v>19140.7179640308</v>
      </c>
      <c r="CC122" s="45" t="n">
        <f aca="false">IF(AND(MOD(79,3)=0,CC121&gt;0),CC121*Assumptions!$B$59,0)</f>
        <v>0</v>
      </c>
      <c r="CD122" s="45" t="n">
        <f aca="false">IF(AND(MOD(80,3)=0,CD121&gt;0),CD121*Assumptions!$B$59,0)</f>
        <v>0</v>
      </c>
      <c r="CE122" s="45" t="n">
        <f aca="false">IF(AND(MOD(81,3)=0,CE121&gt;0),CE121*Assumptions!$B$59,0)</f>
        <v>19858.494887682</v>
      </c>
      <c r="CF122" s="45" t="n">
        <f aca="false">IF(AND(MOD(82,3)=0,CF121&gt;0),CF121*Assumptions!$B$59,0)</f>
        <v>0</v>
      </c>
      <c r="CG122" s="45" t="n">
        <f aca="false">IF(AND(MOD(83,3)=0,CG121&gt;0),CG121*Assumptions!$B$59,0)</f>
        <v>0</v>
      </c>
      <c r="CH122" s="45" t="n">
        <f aca="false">IF(AND(MOD(84,3)=0,CH121&gt;0),CH121*Assumptions!$B$59,0)</f>
        <v>20603.1884459701</v>
      </c>
      <c r="CI122" s="25"/>
    </row>
    <row r="123" customFormat="false" ht="15" hidden="false" customHeight="true" outlineLevel="0" collapsed="false">
      <c r="A123" s="44" t="s">
        <v>148</v>
      </c>
      <c r="B123" s="44"/>
      <c r="C123" s="45" t="n">
        <v>0</v>
      </c>
      <c r="D123" s="45" t="n">
        <v>0</v>
      </c>
      <c r="E123" s="45" t="n">
        <v>0</v>
      </c>
      <c r="F123" s="45" t="n">
        <v>0</v>
      </c>
      <c r="G123" s="45" t="n">
        <v>0</v>
      </c>
      <c r="H123" s="45" t="n">
        <v>0</v>
      </c>
      <c r="I123" s="45" t="n">
        <v>0</v>
      </c>
      <c r="J123" s="45" t="n">
        <v>0</v>
      </c>
      <c r="K123" s="45" t="n">
        <v>0</v>
      </c>
      <c r="L123" s="45" t="n">
        <v>0</v>
      </c>
      <c r="M123" s="45" t="n">
        <v>0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f aca="false">IF(Projects!$G$14="Yes",Assumptions!$B$77,0)</f>
        <v>-1800000</v>
      </c>
      <c r="AD123" s="45" t="n">
        <v>0</v>
      </c>
      <c r="AE123" s="45" t="n">
        <v>0</v>
      </c>
      <c r="AF123" s="45" t="n">
        <v>0</v>
      </c>
      <c r="AG123" s="45" t="n">
        <v>0</v>
      </c>
      <c r="AH123" s="45" t="n">
        <v>0</v>
      </c>
      <c r="AI123" s="45" t="n">
        <v>0</v>
      </c>
      <c r="AJ123" s="45" t="n">
        <v>0</v>
      </c>
      <c r="AK123" s="45" t="n">
        <v>0</v>
      </c>
      <c r="AL123" s="45" t="n">
        <v>0</v>
      </c>
      <c r="AM123" s="45" t="n">
        <v>0</v>
      </c>
      <c r="AN123" s="45" t="n">
        <v>0</v>
      </c>
      <c r="AO123" s="45" t="n">
        <v>0</v>
      </c>
      <c r="AP123" s="45" t="n">
        <v>0</v>
      </c>
      <c r="AQ123" s="45" t="n">
        <v>0</v>
      </c>
      <c r="AR123" s="45" t="n">
        <v>0</v>
      </c>
      <c r="AS123" s="45" t="n">
        <v>0</v>
      </c>
      <c r="AT123" s="45" t="n">
        <v>0</v>
      </c>
      <c r="AU123" s="45" t="n">
        <v>0</v>
      </c>
      <c r="AV123" s="45" t="n">
        <v>0</v>
      </c>
      <c r="AW123" s="45" t="n">
        <v>0</v>
      </c>
      <c r="AX123" s="45" t="n">
        <v>0</v>
      </c>
      <c r="AY123" s="45" t="n">
        <v>0</v>
      </c>
      <c r="AZ123" s="45" t="n">
        <v>0</v>
      </c>
      <c r="BA123" s="45" t="n">
        <v>0</v>
      </c>
      <c r="BB123" s="45" t="n">
        <v>0</v>
      </c>
      <c r="BC123" s="45" t="n">
        <v>0</v>
      </c>
      <c r="BD123" s="45" t="n">
        <v>0</v>
      </c>
      <c r="BE123" s="45" t="n">
        <v>0</v>
      </c>
      <c r="BF123" s="45" t="n">
        <v>0</v>
      </c>
      <c r="BG123" s="45" t="n">
        <v>0</v>
      </c>
      <c r="BH123" s="45" t="n">
        <v>0</v>
      </c>
      <c r="BI123" s="45" t="n">
        <v>0</v>
      </c>
      <c r="BJ123" s="45" t="n">
        <v>0</v>
      </c>
      <c r="BK123" s="45" t="n">
        <v>0</v>
      </c>
      <c r="BL123" s="45" t="n">
        <v>0</v>
      </c>
      <c r="BM123" s="45" t="n">
        <v>0</v>
      </c>
      <c r="BN123" s="45" t="n">
        <v>0</v>
      </c>
      <c r="BO123" s="45" t="n">
        <v>0</v>
      </c>
      <c r="BP123" s="45" t="n">
        <v>0</v>
      </c>
      <c r="BQ123" s="45" t="n">
        <v>0</v>
      </c>
      <c r="BR123" s="45" t="n">
        <v>0</v>
      </c>
      <c r="BS123" s="45" t="n">
        <v>0</v>
      </c>
      <c r="BT123" s="45" t="n">
        <v>0</v>
      </c>
      <c r="BU123" s="45" t="n">
        <v>0</v>
      </c>
      <c r="BV123" s="45" t="n">
        <v>0</v>
      </c>
      <c r="BW123" s="45" t="n">
        <v>0</v>
      </c>
      <c r="BX123" s="45" t="n">
        <v>0</v>
      </c>
      <c r="BY123" s="45" t="n">
        <v>0</v>
      </c>
      <c r="BZ123" s="45" t="n">
        <v>0</v>
      </c>
      <c r="CA123" s="45" t="n">
        <v>0</v>
      </c>
      <c r="CB123" s="45" t="n">
        <v>0</v>
      </c>
      <c r="CC123" s="45" t="n">
        <v>0</v>
      </c>
      <c r="CD123" s="45" t="n">
        <v>0</v>
      </c>
      <c r="CE123" s="45" t="n">
        <v>0</v>
      </c>
      <c r="CF123" s="45" t="n">
        <v>0</v>
      </c>
      <c r="CG123" s="45" t="n">
        <v>0</v>
      </c>
      <c r="CH123" s="45" t="n">
        <v>0</v>
      </c>
      <c r="CI123" s="25"/>
    </row>
    <row r="124" customFormat="false" ht="15" hidden="false" customHeight="true" outlineLevel="0" collapsed="false">
      <c r="A124" s="46" t="s">
        <v>149</v>
      </c>
      <c r="B124" s="46"/>
      <c r="C124" s="47" t="n">
        <f aca="false">-MIN(C121+C122+C123,MAX(0,C62-Helpers!C26))</f>
        <v>-0</v>
      </c>
      <c r="D124" s="47" t="n">
        <f aca="false">-MIN(D121+D122+D123,MAX(0,D62-Helpers!D26))</f>
        <v>-0</v>
      </c>
      <c r="E124" s="47" t="n">
        <f aca="false">-MIN(E121+E122+E123,MAX(0,E62-Helpers!E26))</f>
        <v>-0</v>
      </c>
      <c r="F124" s="47" t="n">
        <f aca="false">-MIN(F121+F122+F123,MAX(0,F62-Helpers!F26))</f>
        <v>-0</v>
      </c>
      <c r="G124" s="47" t="n">
        <f aca="false">-MIN(G121+G122+G123,MAX(0,G62-Helpers!G26))</f>
        <v>-0</v>
      </c>
      <c r="H124" s="47" t="n">
        <f aca="false">-MIN(H121+H122+H123,MAX(0,H62-Helpers!H26))</f>
        <v>-0</v>
      </c>
      <c r="I124" s="47" t="n">
        <f aca="false">-MIN(I121+I122+I123,MAX(0,I62-Helpers!I26))</f>
        <v>-0</v>
      </c>
      <c r="J124" s="47" t="n">
        <f aca="false">-MIN(J121+J122+J123,MAX(0,J62-Helpers!J26))</f>
        <v>-0</v>
      </c>
      <c r="K124" s="47" t="n">
        <f aca="false">-MIN(K121+K122+K123,MAX(0,K62-Helpers!K26))</f>
        <v>-0</v>
      </c>
      <c r="L124" s="47" t="n">
        <f aca="false">-MIN(L121+L122+L123,MAX(0,L62-Helpers!L26))</f>
        <v>-0</v>
      </c>
      <c r="M124" s="47" t="n">
        <f aca="false">-MIN(M121+M122+M123,MAX(0,M62-Helpers!M26))</f>
        <v>-0</v>
      </c>
      <c r="N124" s="47" t="n">
        <f aca="false">-MIN(N121+N122+N123,MAX(0,N62-Helpers!N26))</f>
        <v>-0</v>
      </c>
      <c r="O124" s="47" t="n">
        <f aca="false">-MIN(O121+O122+O123,MAX(0,O62-Helpers!O26))</f>
        <v>-0</v>
      </c>
      <c r="P124" s="47" t="n">
        <f aca="false">-MIN(P121+P122+P123,MAX(0,P62-Helpers!P26))</f>
        <v>-0</v>
      </c>
      <c r="Q124" s="47" t="n">
        <f aca="false">-MIN(Q121+Q122+Q123,MAX(0,Q62-Helpers!Q26))</f>
        <v>-0</v>
      </c>
      <c r="R124" s="47" t="n">
        <f aca="false">-MIN(R121+R122+R123,MAX(0,R62-Helpers!R26))</f>
        <v>-0</v>
      </c>
      <c r="S124" s="47" t="n">
        <f aca="false">-MIN(S121+S122+S123,MAX(0,S62-Helpers!S26))</f>
        <v>-0</v>
      </c>
      <c r="T124" s="47" t="n">
        <f aca="false">-MIN(T121+T122+T123,MAX(0,T62-Helpers!T26))</f>
        <v>-0</v>
      </c>
      <c r="U124" s="47" t="n">
        <f aca="false">-MIN(U121+U122+U123,MAX(0,U62-Helpers!U26))</f>
        <v>-0</v>
      </c>
      <c r="V124" s="47" t="n">
        <f aca="false">-MIN(V121+V122+V123,MAX(0,V62-Helpers!V26))</f>
        <v>-0</v>
      </c>
      <c r="W124" s="47" t="n">
        <f aca="false">-MIN(W121+W122+W123,MAX(0,W62-Helpers!W26))</f>
        <v>-0</v>
      </c>
      <c r="X124" s="47" t="n">
        <f aca="false">-MIN(X121+X122+X123,MAX(0,X62-Helpers!X26))</f>
        <v>-0</v>
      </c>
      <c r="Y124" s="47" t="n">
        <f aca="false">-MIN(Y121+Y122+Y123,MAX(0,Y62-Helpers!Y26))</f>
        <v>-0</v>
      </c>
      <c r="Z124" s="47" t="n">
        <f aca="false">-MIN(Z121+Z122+Z123,MAX(0,Z62-Helpers!Z26))</f>
        <v>-0</v>
      </c>
      <c r="AA124" s="47" t="n">
        <f aca="false">-MIN(AA121+AA122+AA123,MAX(0,AA62-Helpers!AA26))</f>
        <v>-0</v>
      </c>
      <c r="AB124" s="47" t="n">
        <f aca="false">-MIN(AB121+AB122+AB123,MAX(0,AB62-Helpers!AB26))</f>
        <v>-0</v>
      </c>
      <c r="AC124" s="47" t="n">
        <f aca="false">-MIN(AC121+AC122+AC123,MAX(0,AC62-Helpers!AC26))</f>
        <v>-0</v>
      </c>
      <c r="AD124" s="47" t="n">
        <f aca="false">-MIN(AD121+AD122+AD123,MAX(0,AD62-Helpers!AD26))</f>
        <v>-0</v>
      </c>
      <c r="AE124" s="47" t="n">
        <f aca="false">-MIN(AE121+AE122+AE123,MAX(0,AE62-Helpers!AE26))</f>
        <v>-0</v>
      </c>
      <c r="AF124" s="47" t="n">
        <f aca="false">-MIN(AF121+AF122+AF123,MAX(0,AF62-Helpers!AF26))</f>
        <v>-0</v>
      </c>
      <c r="AG124" s="47" t="n">
        <f aca="false">-MIN(AG121+AG122+AG123,MAX(0,AG62-Helpers!AG26))</f>
        <v>-0</v>
      </c>
      <c r="AH124" s="47" t="n">
        <f aca="false">-MIN(AH121+AH122+AH123,MAX(0,AH62-Helpers!AH26))</f>
        <v>-0</v>
      </c>
      <c r="AI124" s="47" t="n">
        <f aca="false">-MIN(AI121+AI122+AI123,MAX(0,AI62-Helpers!AI26))</f>
        <v>-0</v>
      </c>
      <c r="AJ124" s="47" t="n">
        <f aca="false">-MIN(AJ121+AJ122+AJ123,MAX(0,AJ62-Helpers!AJ26))</f>
        <v>-0</v>
      </c>
      <c r="AK124" s="47" t="n">
        <f aca="false">-MIN(AK121+AK122+AK123,MAX(0,AK62-Helpers!AK26))</f>
        <v>-0</v>
      </c>
      <c r="AL124" s="47" t="n">
        <f aca="false">-MIN(AL121+AL122+AL123,MAX(0,AL62-Helpers!AL26))</f>
        <v>-0</v>
      </c>
      <c r="AM124" s="47" t="n">
        <f aca="false">-MIN(AM121+AM122+AM123,MAX(0,AM62-Helpers!AM26))</f>
        <v>-0</v>
      </c>
      <c r="AN124" s="47" t="n">
        <f aca="false">-MIN(AN121+AN122+AN123,MAX(0,AN62-Helpers!AN26))</f>
        <v>-0</v>
      </c>
      <c r="AO124" s="47" t="n">
        <f aca="false">-MIN(AO121+AO122+AO123,MAX(0,AO62-Helpers!AO26))</f>
        <v>-0</v>
      </c>
      <c r="AP124" s="47" t="n">
        <f aca="false">-MIN(AP121+AP122+AP123,MAX(0,AP62-Helpers!AP26))</f>
        <v>-0</v>
      </c>
      <c r="AQ124" s="47" t="n">
        <f aca="false">-MIN(AQ121+AQ122+AQ123,MAX(0,AQ62-Helpers!AQ26))</f>
        <v>-0</v>
      </c>
      <c r="AR124" s="47" t="n">
        <f aca="false">-MIN(AR121+AR122+AR123,MAX(0,AR62-Helpers!AR26))</f>
        <v>-0</v>
      </c>
      <c r="AS124" s="47" t="n">
        <f aca="false">-MIN(AS121+AS122+AS123,MAX(0,AS62-Helpers!AS26))</f>
        <v>-0</v>
      </c>
      <c r="AT124" s="47" t="n">
        <f aca="false">-MIN(AT121+AT122+AT123,MAX(0,AT62-Helpers!AT26))</f>
        <v>-0</v>
      </c>
      <c r="AU124" s="47" t="n">
        <f aca="false">-MIN(AU121+AU122+AU123,MAX(0,AU62-Helpers!AU26))</f>
        <v>-0</v>
      </c>
      <c r="AV124" s="47" t="n">
        <f aca="false">-MIN(AV121+AV122+AV123,MAX(0,AV62-Helpers!AV26))</f>
        <v>-0</v>
      </c>
      <c r="AW124" s="47" t="n">
        <f aca="false">-MIN(AW121+AW122+AW123,MAX(0,AW62-Helpers!AW26))</f>
        <v>-0</v>
      </c>
      <c r="AX124" s="47" t="n">
        <f aca="false">-MIN(AX121+AX122+AX123,MAX(0,AX62-Helpers!AX26))</f>
        <v>-0</v>
      </c>
      <c r="AY124" s="47" t="n">
        <f aca="false">-MIN(AY121+AY122+AY123,MAX(0,AY62-Helpers!AY26))</f>
        <v>-0</v>
      </c>
      <c r="AZ124" s="47" t="n">
        <f aca="false">-MIN(AZ121+AZ122+AZ123,MAX(0,AZ62-Helpers!AZ26))</f>
        <v>-0</v>
      </c>
      <c r="BA124" s="47" t="n">
        <f aca="false">-MIN(BA121+BA122+BA123,MAX(0,BA62-Helpers!BA26))</f>
        <v>-0</v>
      </c>
      <c r="BB124" s="47" t="n">
        <f aca="false">-MIN(BB121+BB122+BB123,MAX(0,BB62-Helpers!BB26))</f>
        <v>-0</v>
      </c>
      <c r="BC124" s="47" t="n">
        <f aca="false">-MIN(BC121+BC122+BC123,MAX(0,BC62-Helpers!BC26))</f>
        <v>-0</v>
      </c>
      <c r="BD124" s="47" t="n">
        <f aca="false">-MIN(BD121+BD122+BD123,MAX(0,BD62-Helpers!BD26))</f>
        <v>-0</v>
      </c>
      <c r="BE124" s="47" t="n">
        <f aca="false">-MIN(BE121+BE122+BE123,MAX(0,BE62-Helpers!BE26))</f>
        <v>-0</v>
      </c>
      <c r="BF124" s="47" t="n">
        <f aca="false">-MIN(BF121+BF122+BF123,MAX(0,BF62-Helpers!BF26))</f>
        <v>-0</v>
      </c>
      <c r="BG124" s="47" t="n">
        <f aca="false">-MIN(BG121+BG122+BG123,MAX(0,BG62-Helpers!BG26))</f>
        <v>-0</v>
      </c>
      <c r="BH124" s="47" t="n">
        <f aca="false">-MIN(BH121+BH122+BH123,MAX(0,BH62-Helpers!BH26))</f>
        <v>-0</v>
      </c>
      <c r="BI124" s="47" t="n">
        <f aca="false">-MIN(BI121+BI122+BI123,MAX(0,BI62-Helpers!BI26))</f>
        <v>-0</v>
      </c>
      <c r="BJ124" s="47" t="n">
        <f aca="false">-MIN(BJ121+BJ122+BJ123,MAX(0,BJ62-Helpers!BJ26))</f>
        <v>-0</v>
      </c>
      <c r="BK124" s="47" t="n">
        <f aca="false">-MIN(BK121+BK122+BK123,MAX(0,BK62-Helpers!BK26))</f>
        <v>-0</v>
      </c>
      <c r="BL124" s="47" t="n">
        <f aca="false">-MIN(BL121+BL122+BL123,MAX(0,BL62-Helpers!BL26))</f>
        <v>-0</v>
      </c>
      <c r="BM124" s="47" t="n">
        <f aca="false">-MIN(BM121+BM122+BM123,MAX(0,BM62-Helpers!BM26))</f>
        <v>-0</v>
      </c>
      <c r="BN124" s="47" t="n">
        <f aca="false">-MIN(BN121+BN122+BN123,MAX(0,BN62-Helpers!BN26))</f>
        <v>-0</v>
      </c>
      <c r="BO124" s="47" t="n">
        <f aca="false">-MIN(BO121+BO122+BO123,MAX(0,BO62-Helpers!BO26))</f>
        <v>-0</v>
      </c>
      <c r="BP124" s="47" t="n">
        <f aca="false">-MIN(BP121+BP122+BP123,MAX(0,BP62-Helpers!BP26))</f>
        <v>-0</v>
      </c>
      <c r="BQ124" s="47" t="n">
        <f aca="false">-MIN(BQ121+BQ122+BQ123,MAX(0,BQ62-Helpers!BQ26))</f>
        <v>-0</v>
      </c>
      <c r="BR124" s="47" t="n">
        <f aca="false">-MIN(BR121+BR122+BR123,MAX(0,BR62-Helpers!BR26))</f>
        <v>-0</v>
      </c>
      <c r="BS124" s="47" t="n">
        <f aca="false">-MIN(BS121+BS122+BS123,MAX(0,BS62-Helpers!BS26))</f>
        <v>-0</v>
      </c>
      <c r="BT124" s="47" t="n">
        <f aca="false">-MIN(BT121+BT122+BT123,MAX(0,BT62-Helpers!BT26))</f>
        <v>-0</v>
      </c>
      <c r="BU124" s="47" t="n">
        <f aca="false">-MIN(BU121+BU122+BU123,MAX(0,BU62-Helpers!BU26))</f>
        <v>-0</v>
      </c>
      <c r="BV124" s="47" t="n">
        <f aca="false">-MIN(BV121+BV122+BV123,MAX(0,BV62-Helpers!BV26))</f>
        <v>-0</v>
      </c>
      <c r="BW124" s="47" t="n">
        <f aca="false">-MIN(BW121+BW122+BW123,MAX(0,BW62-Helpers!BW26))</f>
        <v>-0</v>
      </c>
      <c r="BX124" s="47" t="n">
        <f aca="false">-MIN(BX121+BX122+BX123,MAX(0,BX62-Helpers!BX26))</f>
        <v>-0</v>
      </c>
      <c r="BY124" s="47" t="n">
        <f aca="false">-MIN(BY121+BY122+BY123,MAX(0,BY62-Helpers!BY26))</f>
        <v>-0</v>
      </c>
      <c r="BZ124" s="47" t="n">
        <f aca="false">-MIN(BZ121+BZ122+BZ123,MAX(0,BZ62-Helpers!BZ26))</f>
        <v>-0</v>
      </c>
      <c r="CA124" s="47" t="n">
        <f aca="false">-MIN(CA121+CA122+CA123,MAX(0,CA62-Helpers!CA26))</f>
        <v>-0</v>
      </c>
      <c r="CB124" s="47" t="n">
        <f aca="false">-MIN(CB121+CB122+CB123,MAX(0,CB62-Helpers!CB26))</f>
        <v>-0</v>
      </c>
      <c r="CC124" s="47" t="n">
        <f aca="false">-MIN(CC121+CC122+CC123,MAX(0,CC62-Helpers!CC26))</f>
        <v>-0</v>
      </c>
      <c r="CD124" s="47" t="n">
        <f aca="false">-MIN(CD121+CD122+CD123,MAX(0,CD62-Helpers!CD26))</f>
        <v>-0</v>
      </c>
      <c r="CE124" s="47" t="n">
        <f aca="false">-MIN(CE121+CE122+CE123,MAX(0,CE62-Helpers!CE26))</f>
        <v>-0</v>
      </c>
      <c r="CF124" s="47" t="n">
        <f aca="false">-MIN(CF121+CF122+CF123,MAX(0,CF62-Helpers!CF26))</f>
        <v>-0</v>
      </c>
      <c r="CG124" s="47" t="n">
        <f aca="false">-MIN(CG121+CG122+CG123,MAX(0,CG62-Helpers!CG26))</f>
        <v>-0</v>
      </c>
      <c r="CH124" s="47" t="n">
        <f aca="false">-MIN(CH121+CH122+CH123,MAX(0,CH62-Helpers!CH26))</f>
        <v>-0</v>
      </c>
      <c r="CI124" s="25"/>
    </row>
    <row r="125" customFormat="false" ht="15" hidden="false" customHeight="true" outlineLevel="0" collapsed="false">
      <c r="A125" s="41" t="s">
        <v>150</v>
      </c>
      <c r="B125" s="42"/>
      <c r="C125" s="43" t="n">
        <f aca="false">MAX(0,C121+C122+C123+C124)</f>
        <v>264927.15</v>
      </c>
      <c r="D125" s="43" t="n">
        <f aca="false">MAX(0,D121+D122+D123+D124)</f>
        <v>264927.15</v>
      </c>
      <c r="E125" s="43" t="n">
        <f aca="false">MAX(0,E121+E122+E123+E124)</f>
        <v>458103.196875</v>
      </c>
      <c r="F125" s="43" t="n">
        <f aca="false">MAX(0,F121+F122+F123+F124)</f>
        <v>458103.196875</v>
      </c>
      <c r="G125" s="43" t="n">
        <f aca="false">MAX(0,G121+G122+G123+G124)</f>
        <v>458103.196875</v>
      </c>
      <c r="H125" s="43" t="n">
        <f aca="false">MAX(0,H121+H122+H123+H124)</f>
        <v>658523.345507813</v>
      </c>
      <c r="I125" s="43" t="n">
        <f aca="false">MAX(0,I121+I122+I123+I124)</f>
        <v>658523.345507813</v>
      </c>
      <c r="J125" s="43" t="n">
        <f aca="false">MAX(0,J121+J122+J123+J124)</f>
        <v>658523.345507813</v>
      </c>
      <c r="K125" s="43" t="n">
        <f aca="false">MAX(0,K121+K122+K123+K124)</f>
        <v>683217.970964355</v>
      </c>
      <c r="L125" s="43" t="n">
        <f aca="false">MAX(0,L121+L122+L123+L124)</f>
        <v>771527.020964355</v>
      </c>
      <c r="M125" s="43" t="n">
        <f aca="false">MAX(0,M121+M122+M123+M124)</f>
        <v>771527.020964355</v>
      </c>
      <c r="N125" s="43" t="n">
        <f aca="false">MAX(0,N121+N122+N123+N124)</f>
        <v>800459.284250519</v>
      </c>
      <c r="O125" s="43" t="n">
        <f aca="false">MAX(0,O121+O122+O123+O124)</f>
        <v>800459.284250519</v>
      </c>
      <c r="P125" s="43" t="n">
        <f aca="false">MAX(0,P121+P122+P123+P124)</f>
        <v>800459.284250519</v>
      </c>
      <c r="Q125" s="43" t="n">
        <f aca="false">MAX(0,Q121+Q122+Q123+Q124)</f>
        <v>922097.146784913</v>
      </c>
      <c r="R125" s="43" t="n">
        <f aca="false">MAX(0,R121+R122+R123+R124)</f>
        <v>922097.146784913</v>
      </c>
      <c r="S125" s="43" t="n">
        <f aca="false">MAX(0,S121+S122+S123+S124)</f>
        <v>922097.146784913</v>
      </c>
      <c r="T125" s="43" t="n">
        <f aca="false">MAX(0,T121+T122+T123+T124)</f>
        <v>956675.789789348</v>
      </c>
      <c r="U125" s="43" t="n">
        <f aca="false">MAX(0,U121+U122+U123+U124)</f>
        <v>956675.789789348</v>
      </c>
      <c r="V125" s="43" t="n">
        <f aca="false">MAX(0,V121+V122+V123+V124)</f>
        <v>956675.789789348</v>
      </c>
      <c r="W125" s="43" t="n">
        <f aca="false">MAX(0,W121+W122+W123+W124)</f>
        <v>1084171.77128145</v>
      </c>
      <c r="X125" s="43" t="n">
        <f aca="false">MAX(0,X121+X122+X123+X124)</f>
        <v>1084171.77128145</v>
      </c>
      <c r="Y125" s="43" t="n">
        <f aca="false">MAX(0,Y121+Y122+Y123+Y124)</f>
        <v>1084171.77128145</v>
      </c>
      <c r="Z125" s="43" t="n">
        <f aca="false">MAX(0,Z121+Z122+Z123+Z124)</f>
        <v>1124828.2127045</v>
      </c>
      <c r="AA125" s="43" t="n">
        <f aca="false">MAX(0,AA121+AA122+AA123+AA124)</f>
        <v>1124828.2127045</v>
      </c>
      <c r="AB125" s="43" t="n">
        <f aca="false">MAX(0,AB121+AB122+AB123+AB124)</f>
        <v>1124828.2127045</v>
      </c>
      <c r="AC125" s="43" t="n">
        <f aca="false">MAX(0,AC121+AC122+AC123+AC124)</f>
        <v>283215.664430921</v>
      </c>
      <c r="AD125" s="43" t="n">
        <f aca="false">MAX(0,AD121+AD122+AD123+AD124)</f>
        <v>283215.664430921</v>
      </c>
      <c r="AE125" s="43" t="n">
        <f aca="false">MAX(0,AE121+AE122+AE123+AE124)</f>
        <v>283215.664430921</v>
      </c>
      <c r="AF125" s="43" t="n">
        <f aca="false">MAX(0,AF121+AF122+AF123+AF124)</f>
        <v>293836.251847081</v>
      </c>
      <c r="AG125" s="43" t="n">
        <f aca="false">MAX(0,AG121+AG122+AG123+AG124)</f>
        <v>293836.251847081</v>
      </c>
      <c r="AH125" s="43" t="n">
        <f aca="false">MAX(0,AH121+AH122+AH123+AH124)</f>
        <v>293836.251847081</v>
      </c>
      <c r="AI125" s="43" t="n">
        <f aca="false">MAX(0,AI121+AI122+AI123+AI124)</f>
        <v>304855.111291347</v>
      </c>
      <c r="AJ125" s="43" t="n">
        <f aca="false">MAX(0,AJ121+AJ122+AJ123+AJ124)</f>
        <v>304855.111291347</v>
      </c>
      <c r="AK125" s="43" t="n">
        <f aca="false">MAX(0,AK121+AK122+AK123+AK124)</f>
        <v>304855.111291347</v>
      </c>
      <c r="AL125" s="43" t="n">
        <f aca="false">MAX(0,AL121+AL122+AL123+AL124)</f>
        <v>316287.177964772</v>
      </c>
      <c r="AM125" s="43" t="n">
        <f aca="false">MAX(0,AM121+AM122+AM123+AM124)</f>
        <v>316287.177964772</v>
      </c>
      <c r="AN125" s="43" t="n">
        <f aca="false">MAX(0,AN121+AN122+AN123+AN124)</f>
        <v>316287.177964772</v>
      </c>
      <c r="AO125" s="43" t="n">
        <f aca="false">MAX(0,AO121+AO122+AO123+AO124)</f>
        <v>328147.947138451</v>
      </c>
      <c r="AP125" s="43" t="n">
        <f aca="false">MAX(0,AP121+AP122+AP123+AP124)</f>
        <v>328147.947138451</v>
      </c>
      <c r="AQ125" s="43" t="n">
        <f aca="false">MAX(0,AQ121+AQ122+AQ123+AQ124)</f>
        <v>328147.947138451</v>
      </c>
      <c r="AR125" s="43" t="n">
        <f aca="false">MAX(0,AR121+AR122+AR123+AR124)</f>
        <v>340453.495156143</v>
      </c>
      <c r="AS125" s="43" t="n">
        <f aca="false">MAX(0,AS121+AS122+AS123+AS124)</f>
        <v>340453.495156143</v>
      </c>
      <c r="AT125" s="43" t="n">
        <f aca="false">MAX(0,AT121+AT122+AT123+AT124)</f>
        <v>340453.495156143</v>
      </c>
      <c r="AU125" s="43" t="n">
        <f aca="false">MAX(0,AU121+AU122+AU123+AU124)</f>
        <v>353220.501224498</v>
      </c>
      <c r="AV125" s="43" t="n">
        <f aca="false">MAX(0,AV121+AV122+AV123+AV124)</f>
        <v>353220.501224498</v>
      </c>
      <c r="AW125" s="43" t="n">
        <f aca="false">MAX(0,AW121+AW122+AW123+AW124)</f>
        <v>353220.501224498</v>
      </c>
      <c r="AX125" s="43" t="n">
        <f aca="false">MAX(0,AX121+AX122+AX123+AX124)</f>
        <v>366466.270020417</v>
      </c>
      <c r="AY125" s="43" t="n">
        <f aca="false">MAX(0,AY121+AY122+AY123+AY124)</f>
        <v>366466.270020417</v>
      </c>
      <c r="AZ125" s="43" t="n">
        <f aca="false">MAX(0,AZ121+AZ122+AZ123+AZ124)</f>
        <v>366466.270020417</v>
      </c>
      <c r="BA125" s="43" t="n">
        <f aca="false">MAX(0,BA121+BA122+BA123+BA124)</f>
        <v>380208.755146183</v>
      </c>
      <c r="BB125" s="43" t="n">
        <f aca="false">MAX(0,BB121+BB122+BB123+BB124)</f>
        <v>380208.755146183</v>
      </c>
      <c r="BC125" s="43" t="n">
        <f aca="false">MAX(0,BC121+BC122+BC123+BC124)</f>
        <v>380208.755146183</v>
      </c>
      <c r="BD125" s="43" t="n">
        <f aca="false">MAX(0,BD121+BD122+BD123+BD124)</f>
        <v>394466.583464164</v>
      </c>
      <c r="BE125" s="43" t="n">
        <f aca="false">MAX(0,BE121+BE122+BE123+BE124)</f>
        <v>394466.583464164</v>
      </c>
      <c r="BF125" s="43" t="n">
        <f aca="false">MAX(0,BF121+BF122+BF123+BF124)</f>
        <v>394466.583464164</v>
      </c>
      <c r="BG125" s="43" t="n">
        <f aca="false">MAX(0,BG121+BG122+BG123+BG124)</f>
        <v>409259.080344071</v>
      </c>
      <c r="BH125" s="43" t="n">
        <f aca="false">MAX(0,BH121+BH122+BH123+BH124)</f>
        <v>409259.080344071</v>
      </c>
      <c r="BI125" s="43" t="n">
        <f aca="false">MAX(0,BI121+BI122+BI123+BI124)</f>
        <v>409259.080344071</v>
      </c>
      <c r="BJ125" s="43" t="n">
        <f aca="false">MAX(0,BJ121+BJ122+BJ123+BJ124)</f>
        <v>424606.295856973</v>
      </c>
      <c r="BK125" s="43" t="n">
        <f aca="false">MAX(0,BK121+BK122+BK123+BK124)</f>
        <v>424606.295856973</v>
      </c>
      <c r="BL125" s="43" t="n">
        <f aca="false">MAX(0,BL121+BL122+BL123+BL124)</f>
        <v>424606.295856973</v>
      </c>
      <c r="BM125" s="43" t="n">
        <f aca="false">MAX(0,BM121+BM122+BM123+BM124)</f>
        <v>440529.03195161</v>
      </c>
      <c r="BN125" s="43" t="n">
        <f aca="false">MAX(0,BN121+BN122+BN123+BN124)</f>
        <v>440529.03195161</v>
      </c>
      <c r="BO125" s="43" t="n">
        <f aca="false">MAX(0,BO121+BO122+BO123+BO124)</f>
        <v>440529.03195161</v>
      </c>
      <c r="BP125" s="43" t="n">
        <f aca="false">MAX(0,BP121+BP122+BP123+BP124)</f>
        <v>457048.870649795</v>
      </c>
      <c r="BQ125" s="43" t="n">
        <f aca="false">MAX(0,BQ121+BQ122+BQ123+BQ124)</f>
        <v>457048.870649795</v>
      </c>
      <c r="BR125" s="43" t="n">
        <f aca="false">MAX(0,BR121+BR122+BR123+BR124)</f>
        <v>457048.870649795</v>
      </c>
      <c r="BS125" s="43" t="n">
        <f aca="false">MAX(0,BS121+BS122+BS123+BS124)</f>
        <v>474188.203299162</v>
      </c>
      <c r="BT125" s="43" t="n">
        <f aca="false">MAX(0,BT121+BT122+BT123+BT124)</f>
        <v>474188.203299162</v>
      </c>
      <c r="BU125" s="43" t="n">
        <f aca="false">MAX(0,BU121+BU122+BU123+BU124)</f>
        <v>474188.203299162</v>
      </c>
      <c r="BV125" s="43" t="n">
        <f aca="false">MAX(0,BV121+BV122+BV123+BV124)</f>
        <v>491970.260922881</v>
      </c>
      <c r="BW125" s="43" t="n">
        <f aca="false">MAX(0,BW121+BW122+BW123+BW124)</f>
        <v>491970.260922881</v>
      </c>
      <c r="BX125" s="43" t="n">
        <f aca="false">MAX(0,BX121+BX122+BX123+BX124)</f>
        <v>491970.260922881</v>
      </c>
      <c r="BY125" s="43" t="n">
        <f aca="false">MAX(0,BY121+BY122+BY123+BY124)</f>
        <v>510419.145707489</v>
      </c>
      <c r="BZ125" s="43" t="n">
        <f aca="false">MAX(0,BZ121+BZ122+BZ123+BZ124)</f>
        <v>510419.145707489</v>
      </c>
      <c r="CA125" s="43" t="n">
        <f aca="false">MAX(0,CA121+CA122+CA123+CA124)</f>
        <v>510419.145707489</v>
      </c>
      <c r="CB125" s="43" t="n">
        <f aca="false">MAX(0,CB121+CB122+CB123+CB124)</f>
        <v>529559.86367152</v>
      </c>
      <c r="CC125" s="43" t="n">
        <f aca="false">MAX(0,CC121+CC122+CC123+CC124)</f>
        <v>529559.86367152</v>
      </c>
      <c r="CD125" s="43" t="n">
        <f aca="false">MAX(0,CD121+CD122+CD123+CD124)</f>
        <v>529559.86367152</v>
      </c>
      <c r="CE125" s="43" t="n">
        <f aca="false">MAX(0,CE121+CE122+CE123+CE124)</f>
        <v>549418.358559202</v>
      </c>
      <c r="CF125" s="43" t="n">
        <f aca="false">MAX(0,CF121+CF122+CF123+CF124)</f>
        <v>549418.358559202</v>
      </c>
      <c r="CG125" s="43" t="n">
        <f aca="false">MAX(0,CG121+CG122+CG123+CG124)</f>
        <v>549418.358559202</v>
      </c>
      <c r="CH125" s="43" t="n">
        <f aca="false">MAX(0,CH121+CH122+CH123+CH124)</f>
        <v>570021.547005172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IF(Projects!$G$13="Yes",Assumptions!$B$71,0)</f>
        <v>1134000</v>
      </c>
      <c r="D126" s="45" t="n">
        <f aca="false">C130+IF(AND(Projects!$G$13="Yes",2&lt;=Assumptions!$B$73),Assumptions!$B$72,0)</f>
        <v>1184000</v>
      </c>
      <c r="E126" s="45" t="n">
        <f aca="false">D130+IF(AND(Projects!$G$13="Yes",3&lt;=Assumptions!$B$73),Assumptions!$B$72,0)</f>
        <v>1234000</v>
      </c>
      <c r="F126" s="45" t="n">
        <f aca="false">E130+IF(AND(Projects!$G$13="Yes",4&lt;=Assumptions!$B$73),Assumptions!$B$72,0)</f>
        <v>1330275</v>
      </c>
      <c r="G126" s="45" t="n">
        <f aca="false">F130+IF(AND(Projects!$G$13="Yes",5&lt;=Assumptions!$B$73),Assumptions!$B$72,0)</f>
        <v>1380275</v>
      </c>
      <c r="H126" s="45" t="n">
        <f aca="false">G130+IF(AND(Projects!$G$13="Yes",6&lt;=Assumptions!$B$73),Assumptions!$B$72,0)</f>
        <v>1430275</v>
      </c>
      <c r="I126" s="45" t="n">
        <f aca="false">H130+IF(AND(Projects!$G$13="Yes",7&lt;=Assumptions!$B$73),Assumptions!$B$72,0)</f>
        <v>1533910.3125</v>
      </c>
      <c r="J126" s="45" t="n">
        <f aca="false">I130+IF(AND(Projects!$G$13="Yes",8&lt;=Assumptions!$B$73),Assumptions!$B$72,0)</f>
        <v>1583910.3125</v>
      </c>
      <c r="K126" s="45" t="n">
        <f aca="false">J130+IF(AND(Projects!$G$13="Yes",9&lt;=Assumptions!$B$73),Assumptions!$B$72,0)</f>
        <v>1633910.3125</v>
      </c>
      <c r="L126" s="45" t="n">
        <f aca="false">K130+IF(AND(Projects!$G$13="Yes",10&lt;=Assumptions!$B$73),Assumptions!$B$72,0)</f>
        <v>1745181.94921875</v>
      </c>
      <c r="M126" s="45" t="n">
        <f aca="false">L130+IF(AND(Projects!$G$13="Yes",11&lt;=Assumptions!$B$73),Assumptions!$B$72,0)</f>
        <v>1795181.94921875</v>
      </c>
      <c r="N126" s="45" t="n">
        <f aca="false">M130+IF(AND(Projects!$G$13="Yes",12&lt;=Assumptions!$B$73),Assumptions!$B$72,0)</f>
        <v>1845181.94921875</v>
      </c>
      <c r="O126" s="45" t="n">
        <f aca="false">N130+IF(AND(Projects!$G$13="Yes",13&lt;=Assumptions!$B$73),Assumptions!$B$72,0)</f>
        <v>1964376.27231445</v>
      </c>
      <c r="P126" s="45" t="n">
        <f aca="false">O130+IF(AND(Projects!$G$13="Yes",14&lt;=Assumptions!$B$73),Assumptions!$B$72,0)</f>
        <v>564376.272314453</v>
      </c>
      <c r="Q126" s="45" t="n">
        <f aca="false">P130+IF(AND(Projects!$G$13="Yes",15&lt;=Assumptions!$B$73),Assumptions!$B$72,0)</f>
        <v>564376.272314453</v>
      </c>
      <c r="R126" s="45" t="n">
        <f aca="false">Q130+IF(AND(Projects!$G$13="Yes",16&lt;=Assumptions!$B$73),Assumptions!$B$72,0)</f>
        <v>585540.382526245</v>
      </c>
      <c r="S126" s="45" t="n">
        <f aca="false">R130+IF(AND(Projects!$G$13="Yes",17&lt;=Assumptions!$B$73),Assumptions!$B$72,0)</f>
        <v>585540.382526245</v>
      </c>
      <c r="T126" s="45" t="n">
        <f aca="false">S130+IF(AND(Projects!$G$13="Yes",18&lt;=Assumptions!$B$73),Assumptions!$B$72,0)</f>
        <v>585540.382526245</v>
      </c>
      <c r="U126" s="45" t="n">
        <f aca="false">T130+IF(AND(Projects!$G$13="Yes",19&lt;=Assumptions!$B$73),Assumptions!$B$72,0)</f>
        <v>607498.146870979</v>
      </c>
      <c r="V126" s="45" t="n">
        <f aca="false">U130+IF(AND(Projects!$G$13="Yes",20&lt;=Assumptions!$B$73),Assumptions!$B$72,0)</f>
        <v>607498.146870979</v>
      </c>
      <c r="W126" s="45" t="n">
        <f aca="false">V130+IF(AND(Projects!$G$13="Yes",21&lt;=Assumptions!$B$73),Assumptions!$B$72,0)</f>
        <v>607498.146870979</v>
      </c>
      <c r="X126" s="45" t="n">
        <f aca="false">W130+IF(AND(Projects!$G$13="Yes",22&lt;=Assumptions!$B$73),Assumptions!$B$72,0)</f>
        <v>630279.327378641</v>
      </c>
      <c r="Y126" s="45" t="n">
        <f aca="false">X130+IF(AND(Projects!$G$13="Yes",23&lt;=Assumptions!$B$73),Assumptions!$B$72,0)</f>
        <v>630279.327378641</v>
      </c>
      <c r="Z126" s="45" t="n">
        <f aca="false">Y130+IF(AND(Projects!$G$13="Yes",24&lt;=Assumptions!$B$73),Assumptions!$B$72,0)</f>
        <v>630279.327378641</v>
      </c>
      <c r="AA126" s="45" t="n">
        <f aca="false">Z130+IF(AND(Projects!$G$13="Yes",25&lt;=Assumptions!$B$73),Assumptions!$B$72,0)</f>
        <v>653914.80215534</v>
      </c>
      <c r="AB126" s="45" t="n">
        <f aca="false">AA130+IF(AND(Projects!$G$13="Yes",26&lt;=Assumptions!$B$73),Assumptions!$B$72,0)</f>
        <v>653914.80215534</v>
      </c>
      <c r="AC126" s="45" t="n">
        <f aca="false">AB130+IF(AND(Projects!$G$13="Yes",27&lt;=Assumptions!$B$73),Assumptions!$B$72,0)</f>
        <v>653914.80215534</v>
      </c>
      <c r="AD126" s="45" t="n">
        <f aca="false">AC130+IF(AND(Projects!$G$13="Yes",28&lt;=Assumptions!$B$73),Assumptions!$B$72,0)</f>
        <v>678436.607236165</v>
      </c>
      <c r="AE126" s="45" t="n">
        <f aca="false">AD130+IF(AND(Projects!$G$13="Yes",29&lt;=Assumptions!$B$73),Assumptions!$B$72,0)</f>
        <v>678436.607236165</v>
      </c>
      <c r="AF126" s="45" t="n">
        <f aca="false">AE130+IF(AND(Projects!$G$13="Yes",30&lt;=Assumptions!$B$73),Assumptions!$B$72,0)</f>
        <v>678436.607236165</v>
      </c>
      <c r="AG126" s="45" t="n">
        <f aca="false">AF130+IF(AND(Projects!$G$13="Yes",31&lt;=Assumptions!$B$73),Assumptions!$B$72,0)</f>
        <v>703877.980007521</v>
      </c>
      <c r="AH126" s="45" t="n">
        <f aca="false">AG130+IF(AND(Projects!$G$13="Yes",32&lt;=Assumptions!$B$73),Assumptions!$B$72,0)</f>
        <v>703877.980007521</v>
      </c>
      <c r="AI126" s="45" t="n">
        <f aca="false">AH130+IF(AND(Projects!$G$13="Yes",33&lt;=Assumptions!$B$73),Assumptions!$B$72,0)</f>
        <v>703877.980007521</v>
      </c>
      <c r="AJ126" s="45" t="n">
        <f aca="false">AI130+IF(AND(Projects!$G$13="Yes",34&lt;=Assumptions!$B$73),Assumptions!$B$72,0)</f>
        <v>730273.404257803</v>
      </c>
      <c r="AK126" s="45" t="n">
        <f aca="false">AJ130+IF(AND(Projects!$G$13="Yes",35&lt;=Assumptions!$B$73),Assumptions!$B$72,0)</f>
        <v>730273.404257803</v>
      </c>
      <c r="AL126" s="45" t="n">
        <f aca="false">AK130+IF(AND(Projects!$G$13="Yes",36&lt;=Assumptions!$B$73),Assumptions!$B$72,0)</f>
        <v>730273.404257803</v>
      </c>
      <c r="AM126" s="45" t="n">
        <f aca="false">AL130+IF(AND(Projects!$G$13="Yes",37&lt;=Assumptions!$B$73),Assumptions!$B$72,0)</f>
        <v>757658.656917471</v>
      </c>
      <c r="AN126" s="45" t="n">
        <f aca="false">AM130+IF(AND(Projects!$G$13="Yes",38&lt;=Assumptions!$B$73),Assumptions!$B$72,0)</f>
        <v>757658.656917471</v>
      </c>
      <c r="AO126" s="45" t="n">
        <f aca="false">AN130+IF(AND(Projects!$G$13="Yes",39&lt;=Assumptions!$B$73),Assumptions!$B$72,0)</f>
        <v>757658.656917471</v>
      </c>
      <c r="AP126" s="45" t="n">
        <f aca="false">AO130+IF(AND(Projects!$G$13="Yes",40&lt;=Assumptions!$B$73),Assumptions!$B$72,0)</f>
        <v>786070.856551876</v>
      </c>
      <c r="AQ126" s="45" t="n">
        <f aca="false">AP130+IF(AND(Projects!$G$13="Yes",41&lt;=Assumptions!$B$73),Assumptions!$B$72,0)</f>
        <v>786070.856551876</v>
      </c>
      <c r="AR126" s="45" t="n">
        <f aca="false">AQ130+IF(AND(Projects!$G$13="Yes",42&lt;=Assumptions!$B$73),Assumptions!$B$72,0)</f>
        <v>786070.856551876</v>
      </c>
      <c r="AS126" s="45" t="n">
        <f aca="false">AR130+IF(AND(Projects!$G$13="Yes",43&lt;=Assumptions!$B$73),Assumptions!$B$72,0)</f>
        <v>815548.513672571</v>
      </c>
      <c r="AT126" s="45" t="n">
        <f aca="false">AS130+IF(AND(Projects!$G$13="Yes",44&lt;=Assumptions!$B$73),Assumptions!$B$72,0)</f>
        <v>815548.513672571</v>
      </c>
      <c r="AU126" s="45" t="n">
        <f aca="false">AT130+IF(AND(Projects!$G$13="Yes",45&lt;=Assumptions!$B$73),Assumptions!$B$72,0)</f>
        <v>815548.513672571</v>
      </c>
      <c r="AV126" s="45" t="n">
        <f aca="false">AU130+IF(AND(Projects!$G$13="Yes",46&lt;=Assumptions!$B$73),Assumptions!$B$72,0)</f>
        <v>846131.582935293</v>
      </c>
      <c r="AW126" s="45" t="n">
        <f aca="false">AV130+IF(AND(Projects!$G$13="Yes",47&lt;=Assumptions!$B$73),Assumptions!$B$72,0)</f>
        <v>846131.582935293</v>
      </c>
      <c r="AX126" s="45" t="n">
        <f aca="false">AW130+IF(AND(Projects!$G$13="Yes",48&lt;=Assumptions!$B$73),Assumptions!$B$72,0)</f>
        <v>846131.582935293</v>
      </c>
      <c r="AY126" s="45" t="n">
        <f aca="false">AX130+IF(AND(Projects!$G$13="Yes",49&lt;=Assumptions!$B$73),Assumptions!$B$72,0)</f>
        <v>877861.517295366</v>
      </c>
      <c r="AZ126" s="45" t="n">
        <f aca="false">AY130+IF(AND(Projects!$G$13="Yes",50&lt;=Assumptions!$B$73),Assumptions!$B$72,0)</f>
        <v>877861.517295366</v>
      </c>
      <c r="BA126" s="45" t="n">
        <f aca="false">AZ130+IF(AND(Projects!$G$13="Yes",51&lt;=Assumptions!$B$73),Assumptions!$B$72,0)</f>
        <v>877861.517295366</v>
      </c>
      <c r="BB126" s="45" t="n">
        <f aca="false">BA130+IF(AND(Projects!$G$13="Yes",52&lt;=Assumptions!$B$73),Assumptions!$B$72,0)</f>
        <v>661610.024193943</v>
      </c>
      <c r="BC126" s="45" t="n">
        <f aca="false">BB130+IF(AND(Projects!$G$13="Yes",53&lt;=Assumptions!$B$73),Assumptions!$B$72,0)</f>
        <v>661610.024193943</v>
      </c>
      <c r="BD126" s="45" t="n">
        <f aca="false">BC130+IF(AND(Projects!$G$13="Yes",54&lt;=Assumptions!$B$73),Assumptions!$B$72,0)</f>
        <v>661610.024193943</v>
      </c>
      <c r="BE126" s="45" t="n">
        <f aca="false">BD130+IF(AND(Projects!$G$13="Yes",55&lt;=Assumptions!$B$73),Assumptions!$B$72,0)</f>
        <v>614720.400101215</v>
      </c>
      <c r="BF126" s="45" t="n">
        <f aca="false">BE130+IF(AND(Projects!$G$13="Yes",56&lt;=Assumptions!$B$73),Assumptions!$B$72,0)</f>
        <v>614720.400101215</v>
      </c>
      <c r="BG126" s="45" t="n">
        <f aca="false">BF130+IF(AND(Projects!$G$13="Yes",57&lt;=Assumptions!$B$73),Assumptions!$B$72,0)</f>
        <v>614720.400101215</v>
      </c>
      <c r="BH126" s="45" t="n">
        <f aca="false">BG130+IF(AND(Projects!$G$13="Yes",58&lt;=Assumptions!$B$73),Assumptions!$B$72,0)</f>
        <v>566072.415105011</v>
      </c>
      <c r="BI126" s="45" t="n">
        <f aca="false">BH130+IF(AND(Projects!$G$13="Yes",59&lt;=Assumptions!$B$73),Assumptions!$B$72,0)</f>
        <v>566072.415105011</v>
      </c>
      <c r="BJ126" s="45" t="n">
        <f aca="false">BI130+IF(AND(Projects!$G$13="Yes",60&lt;=Assumptions!$B$73),Assumptions!$B$72,0)</f>
        <v>566072.415105011</v>
      </c>
      <c r="BK126" s="45" t="n">
        <f aca="false">BJ130+IF(AND(Projects!$G$13="Yes",61&lt;=Assumptions!$B$73),Assumptions!$B$72,0)</f>
        <v>515600.130671449</v>
      </c>
      <c r="BL126" s="45" t="n">
        <f aca="false">BK130+IF(AND(Projects!$G$13="Yes",62&lt;=Assumptions!$B$73),Assumptions!$B$72,0)</f>
        <v>515600.130671449</v>
      </c>
      <c r="BM126" s="45" t="n">
        <f aca="false">BL130+IF(AND(Projects!$G$13="Yes",63&lt;=Assumptions!$B$73),Assumptions!$B$72,0)</f>
        <v>515600.130671449</v>
      </c>
      <c r="BN126" s="45" t="n">
        <f aca="false">BM130+IF(AND(Projects!$G$13="Yes",64&lt;=Assumptions!$B$73),Assumptions!$B$72,0)</f>
        <v>463235.135571628</v>
      </c>
      <c r="BO126" s="45" t="n">
        <f aca="false">BN130+IF(AND(Projects!$G$13="Yes",65&lt;=Assumptions!$B$73),Assumptions!$B$72,0)</f>
        <v>463235.135571628</v>
      </c>
      <c r="BP126" s="45" t="n">
        <f aca="false">BO130+IF(AND(Projects!$G$13="Yes",66&lt;=Assumptions!$B$73),Assumptions!$B$72,0)</f>
        <v>463235.135571628</v>
      </c>
      <c r="BQ126" s="45" t="n">
        <f aca="false">BP130+IF(AND(Projects!$G$13="Yes",67&lt;=Assumptions!$B$73),Assumptions!$B$72,0)</f>
        <v>405963.453155564</v>
      </c>
      <c r="BR126" s="45" t="n">
        <f aca="false">BQ130+IF(AND(Projects!$G$13="Yes",68&lt;=Assumptions!$B$73),Assumptions!$B$72,0)</f>
        <v>405963.453155564</v>
      </c>
      <c r="BS126" s="45" t="n">
        <f aca="false">BR130+IF(AND(Projects!$G$13="Yes",69&lt;=Assumptions!$B$73),Assumptions!$B$72,0)</f>
        <v>405963.453155564</v>
      </c>
      <c r="BT126" s="45" t="n">
        <f aca="false">BS130+IF(AND(Projects!$G$13="Yes",70&lt;=Assumptions!$B$73),Assumptions!$B$72,0)</f>
        <v>346547.082648898</v>
      </c>
      <c r="BU126" s="45" t="n">
        <f aca="false">BT130+IF(AND(Projects!$G$13="Yes",71&lt;=Assumptions!$B$73),Assumptions!$B$72,0)</f>
        <v>346547.082648898</v>
      </c>
      <c r="BV126" s="45" t="n">
        <f aca="false">BU130+IF(AND(Projects!$G$13="Yes",72&lt;=Assumptions!$B$73),Assumptions!$B$72,0)</f>
        <v>346547.082648898</v>
      </c>
      <c r="BW126" s="45" t="n">
        <f aca="false">BV130+IF(AND(Projects!$G$13="Yes",73&lt;=Assumptions!$B$73),Assumptions!$B$72,0)</f>
        <v>284902.598248232</v>
      </c>
      <c r="BX126" s="45" t="n">
        <f aca="false">BW130+IF(AND(Projects!$G$13="Yes",74&lt;=Assumptions!$B$73),Assumptions!$B$72,0)</f>
        <v>284902.598248232</v>
      </c>
      <c r="BY126" s="45" t="n">
        <f aca="false">BX130+IF(AND(Projects!$G$13="Yes",75&lt;=Assumptions!$B$73),Assumptions!$B$72,0)</f>
        <v>284902.598248232</v>
      </c>
      <c r="BZ126" s="45" t="n">
        <f aca="false">BY130+IF(AND(Projects!$G$13="Yes",76&lt;=Assumptions!$B$73),Assumptions!$B$72,0)</f>
        <v>220946.44568254</v>
      </c>
      <c r="CA126" s="45" t="n">
        <f aca="false">BZ130+IF(AND(Projects!$G$13="Yes",77&lt;=Assumptions!$B$73),Assumptions!$B$72,0)</f>
        <v>220946.44568254</v>
      </c>
      <c r="CB126" s="45" t="n">
        <f aca="false">CA130+IF(AND(Projects!$G$13="Yes",78&lt;=Assumptions!$B$73),Assumptions!$B$72,0)</f>
        <v>220946.44568254</v>
      </c>
      <c r="CC126" s="45" t="n">
        <f aca="false">CB130+IF(AND(Projects!$G$13="Yes",79&lt;=Assumptions!$B$73),Assumptions!$B$72,0)</f>
        <v>147868.937395636</v>
      </c>
      <c r="CD126" s="45" t="n">
        <f aca="false">CC130+IF(AND(Projects!$G$13="Yes",80&lt;=Assumptions!$B$73),Assumptions!$B$72,0)</f>
        <v>147868.937395636</v>
      </c>
      <c r="CE126" s="45" t="n">
        <f aca="false">CD130+IF(AND(Projects!$G$13="Yes",81&lt;=Assumptions!$B$73),Assumptions!$B$72,0)</f>
        <v>147868.937395636</v>
      </c>
      <c r="CF126" s="45" t="n">
        <f aca="false">CE130+IF(AND(Projects!$G$13="Yes",82&lt;=Assumptions!$B$73),Assumptions!$B$72,0)</f>
        <v>72052.0225479718</v>
      </c>
      <c r="CG126" s="45" t="n">
        <f aca="false">CF130+IF(AND(Projects!$G$13="Yes",83&lt;=Assumptions!$B$73),Assumptions!$B$72,0)</f>
        <v>72052.0225479718</v>
      </c>
      <c r="CH126" s="45" t="n">
        <f aca="false">CG130+IF(AND(Projects!$G$13="Yes",84&lt;=Assumptions!$B$73),Assumptions!$B$72,0)</f>
        <v>72052.0225479718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f aca="false">IF(AND(MOD(1,3)=0,C126&gt;0),C126*Assumptions!$B$59,0)</f>
        <v>0</v>
      </c>
      <c r="D127" s="45" t="n">
        <f aca="false">IF(AND(MOD(2,3)=0,D126&gt;0),D126*Assumptions!$B$59,0)</f>
        <v>0</v>
      </c>
      <c r="E127" s="45" t="n">
        <f aca="false">IF(AND(MOD(3,3)=0,E126&gt;0),E126*Assumptions!$B$59,0)</f>
        <v>46275</v>
      </c>
      <c r="F127" s="45" t="n">
        <f aca="false">IF(AND(MOD(4,3)=0,F126&gt;0),F126*Assumptions!$B$59,0)</f>
        <v>0</v>
      </c>
      <c r="G127" s="45" t="n">
        <f aca="false">IF(AND(MOD(5,3)=0,G126&gt;0),G126*Assumptions!$B$59,0)</f>
        <v>0</v>
      </c>
      <c r="H127" s="45" t="n">
        <f aca="false">IF(AND(MOD(6,3)=0,H126&gt;0),H126*Assumptions!$B$59,0)</f>
        <v>53635.3125</v>
      </c>
      <c r="I127" s="45" t="n">
        <f aca="false">IF(AND(MOD(7,3)=0,I126&gt;0),I126*Assumptions!$B$59,0)</f>
        <v>0</v>
      </c>
      <c r="J127" s="45" t="n">
        <f aca="false">IF(AND(MOD(8,3)=0,J126&gt;0),J126*Assumptions!$B$59,0)</f>
        <v>0</v>
      </c>
      <c r="K127" s="45" t="n">
        <f aca="false">IF(AND(MOD(9,3)=0,K126&gt;0),K126*Assumptions!$B$59,0)</f>
        <v>61271.63671875</v>
      </c>
      <c r="L127" s="45" t="n">
        <f aca="false">IF(AND(MOD(10,3)=0,L126&gt;0),L126*Assumptions!$B$59,0)</f>
        <v>0</v>
      </c>
      <c r="M127" s="45" t="n">
        <f aca="false">IF(AND(MOD(11,3)=0,M126&gt;0),M126*Assumptions!$B$59,0)</f>
        <v>0</v>
      </c>
      <c r="N127" s="45" t="n">
        <f aca="false">IF(AND(MOD(12,3)=0,N126&gt;0),N126*Assumptions!$B$59,0)</f>
        <v>69194.3230957031</v>
      </c>
      <c r="O127" s="45" t="n">
        <f aca="false">IF(AND(MOD(13,3)=0,O126&gt;0),O126*Assumptions!$B$59,0)</f>
        <v>0</v>
      </c>
      <c r="P127" s="45" t="n">
        <f aca="false">IF(AND(MOD(14,3)=0,P126&gt;0),P126*Assumptions!$B$59,0)</f>
        <v>0</v>
      </c>
      <c r="Q127" s="45" t="n">
        <f aca="false">IF(AND(MOD(15,3)=0,Q126&gt;0),Q126*Assumptions!$B$59,0)</f>
        <v>21164.110211792</v>
      </c>
      <c r="R127" s="45" t="n">
        <f aca="false">IF(AND(MOD(16,3)=0,R126&gt;0),R126*Assumptions!$B$59,0)</f>
        <v>0</v>
      </c>
      <c r="S127" s="45" t="n">
        <f aca="false">IF(AND(MOD(17,3)=0,S126&gt;0),S126*Assumptions!$B$59,0)</f>
        <v>0</v>
      </c>
      <c r="T127" s="45" t="n">
        <f aca="false">IF(AND(MOD(18,3)=0,T126&gt;0),T126*Assumptions!$B$59,0)</f>
        <v>21957.7643447342</v>
      </c>
      <c r="U127" s="45" t="n">
        <f aca="false">IF(AND(MOD(19,3)=0,U126&gt;0),U126*Assumptions!$B$59,0)</f>
        <v>0</v>
      </c>
      <c r="V127" s="45" t="n">
        <f aca="false">IF(AND(MOD(20,3)=0,V126&gt;0),V126*Assumptions!$B$59,0)</f>
        <v>0</v>
      </c>
      <c r="W127" s="45" t="n">
        <f aca="false">IF(AND(MOD(21,3)=0,W126&gt;0),W126*Assumptions!$B$59,0)</f>
        <v>22781.1805076617</v>
      </c>
      <c r="X127" s="45" t="n">
        <f aca="false">IF(AND(MOD(22,3)=0,X126&gt;0),X126*Assumptions!$B$59,0)</f>
        <v>0</v>
      </c>
      <c r="Y127" s="45" t="n">
        <f aca="false">IF(AND(MOD(23,3)=0,Y126&gt;0),Y126*Assumptions!$B$59,0)</f>
        <v>0</v>
      </c>
      <c r="Z127" s="45" t="n">
        <f aca="false">IF(AND(MOD(24,3)=0,Z126&gt;0),Z126*Assumptions!$B$59,0)</f>
        <v>23635.474776699</v>
      </c>
      <c r="AA127" s="45" t="n">
        <f aca="false">IF(AND(MOD(25,3)=0,AA126&gt;0),AA126*Assumptions!$B$59,0)</f>
        <v>0</v>
      </c>
      <c r="AB127" s="45" t="n">
        <f aca="false">IF(AND(MOD(26,3)=0,AB126&gt;0),AB126*Assumptions!$B$59,0)</f>
        <v>0</v>
      </c>
      <c r="AC127" s="45" t="n">
        <f aca="false">IF(AND(MOD(27,3)=0,AC126&gt;0),AC126*Assumptions!$B$59,0)</f>
        <v>24521.8050808252</v>
      </c>
      <c r="AD127" s="45" t="n">
        <f aca="false">IF(AND(MOD(28,3)=0,AD126&gt;0),AD126*Assumptions!$B$59,0)</f>
        <v>0</v>
      </c>
      <c r="AE127" s="45" t="n">
        <f aca="false">IF(AND(MOD(29,3)=0,AE126&gt;0),AE126*Assumptions!$B$59,0)</f>
        <v>0</v>
      </c>
      <c r="AF127" s="45" t="n">
        <f aca="false">IF(AND(MOD(30,3)=0,AF126&gt;0),AF126*Assumptions!$B$59,0)</f>
        <v>25441.3727713562</v>
      </c>
      <c r="AG127" s="45" t="n">
        <f aca="false">IF(AND(MOD(31,3)=0,AG126&gt;0),AG126*Assumptions!$B$59,0)</f>
        <v>0</v>
      </c>
      <c r="AH127" s="45" t="n">
        <f aca="false">IF(AND(MOD(32,3)=0,AH126&gt;0),AH126*Assumptions!$B$59,0)</f>
        <v>0</v>
      </c>
      <c r="AI127" s="45" t="n">
        <f aca="false">IF(AND(MOD(33,3)=0,AI126&gt;0),AI126*Assumptions!$B$59,0)</f>
        <v>26395.424250282</v>
      </c>
      <c r="AJ127" s="45" t="n">
        <f aca="false">IF(AND(MOD(34,3)=0,AJ126&gt;0),AJ126*Assumptions!$B$59,0)</f>
        <v>0</v>
      </c>
      <c r="AK127" s="45" t="n">
        <f aca="false">IF(AND(MOD(35,3)=0,AK126&gt;0),AK126*Assumptions!$B$59,0)</f>
        <v>0</v>
      </c>
      <c r="AL127" s="45" t="n">
        <f aca="false">IF(AND(MOD(36,3)=0,AL126&gt;0),AL126*Assumptions!$B$59,0)</f>
        <v>27385.2526596676</v>
      </c>
      <c r="AM127" s="45" t="n">
        <f aca="false">IF(AND(MOD(37,3)=0,AM126&gt;0),AM126*Assumptions!$B$59,0)</f>
        <v>0</v>
      </c>
      <c r="AN127" s="45" t="n">
        <f aca="false">IF(AND(MOD(38,3)=0,AN126&gt;0),AN126*Assumptions!$B$59,0)</f>
        <v>0</v>
      </c>
      <c r="AO127" s="45" t="n">
        <f aca="false">IF(AND(MOD(39,3)=0,AO126&gt;0),AO126*Assumptions!$B$59,0)</f>
        <v>28412.1996344052</v>
      </c>
      <c r="AP127" s="45" t="n">
        <f aca="false">IF(AND(MOD(40,3)=0,AP126&gt;0),AP126*Assumptions!$B$59,0)</f>
        <v>0</v>
      </c>
      <c r="AQ127" s="45" t="n">
        <f aca="false">IF(AND(MOD(41,3)=0,AQ126&gt;0),AQ126*Assumptions!$B$59,0)</f>
        <v>0</v>
      </c>
      <c r="AR127" s="45" t="n">
        <f aca="false">IF(AND(MOD(42,3)=0,AR126&gt;0),AR126*Assumptions!$B$59,0)</f>
        <v>29477.6571206954</v>
      </c>
      <c r="AS127" s="45" t="n">
        <f aca="false">IF(AND(MOD(43,3)=0,AS126&gt;0),AS126*Assumptions!$B$59,0)</f>
        <v>0</v>
      </c>
      <c r="AT127" s="45" t="n">
        <f aca="false">IF(AND(MOD(44,3)=0,AT126&gt;0),AT126*Assumptions!$B$59,0)</f>
        <v>0</v>
      </c>
      <c r="AU127" s="45" t="n">
        <f aca="false">IF(AND(MOD(45,3)=0,AU126&gt;0),AU126*Assumptions!$B$59,0)</f>
        <v>30583.0692627214</v>
      </c>
      <c r="AV127" s="45" t="n">
        <f aca="false">IF(AND(MOD(46,3)=0,AV126&gt;0),AV126*Assumptions!$B$59,0)</f>
        <v>0</v>
      </c>
      <c r="AW127" s="45" t="n">
        <f aca="false">IF(AND(MOD(47,3)=0,AW126&gt;0),AW126*Assumptions!$B$59,0)</f>
        <v>0</v>
      </c>
      <c r="AX127" s="45" t="n">
        <f aca="false">IF(AND(MOD(48,3)=0,AX126&gt;0),AX126*Assumptions!$B$59,0)</f>
        <v>31729.9343600735</v>
      </c>
      <c r="AY127" s="45" t="n">
        <f aca="false">IF(AND(MOD(49,3)=0,AY126&gt;0),AY126*Assumptions!$B$59,0)</f>
        <v>0</v>
      </c>
      <c r="AZ127" s="45" t="n">
        <f aca="false">IF(AND(MOD(50,3)=0,AZ126&gt;0),AZ126*Assumptions!$B$59,0)</f>
        <v>0</v>
      </c>
      <c r="BA127" s="45" t="n">
        <f aca="false">IF(AND(MOD(51,3)=0,BA126&gt;0),BA126*Assumptions!$B$59,0)</f>
        <v>32919.8068985762</v>
      </c>
      <c r="BB127" s="45" t="n">
        <f aca="false">IF(AND(MOD(52,3)=0,BB126&gt;0),BB126*Assumptions!$B$59,0)</f>
        <v>0</v>
      </c>
      <c r="BC127" s="45" t="n">
        <f aca="false">IF(AND(MOD(53,3)=0,BC126&gt;0),BC126*Assumptions!$B$59,0)</f>
        <v>0</v>
      </c>
      <c r="BD127" s="45" t="n">
        <f aca="false">IF(AND(MOD(54,3)=0,BD126&gt;0),BD126*Assumptions!$B$59,0)</f>
        <v>24810.3759072728</v>
      </c>
      <c r="BE127" s="45" t="n">
        <f aca="false">IF(AND(MOD(55,3)=0,BE126&gt;0),BE126*Assumptions!$B$59,0)</f>
        <v>0</v>
      </c>
      <c r="BF127" s="45" t="n">
        <f aca="false">IF(AND(MOD(56,3)=0,BF126&gt;0),BF126*Assumptions!$B$59,0)</f>
        <v>0</v>
      </c>
      <c r="BG127" s="45" t="n">
        <f aca="false">IF(AND(MOD(57,3)=0,BG126&gt;0),BG126*Assumptions!$B$59,0)</f>
        <v>23052.0150037956</v>
      </c>
      <c r="BH127" s="45" t="n">
        <f aca="false">IF(AND(MOD(58,3)=0,BH126&gt;0),BH126*Assumptions!$B$59,0)</f>
        <v>0</v>
      </c>
      <c r="BI127" s="45" t="n">
        <f aca="false">IF(AND(MOD(59,3)=0,BI126&gt;0),BI126*Assumptions!$B$59,0)</f>
        <v>0</v>
      </c>
      <c r="BJ127" s="45" t="n">
        <f aca="false">IF(AND(MOD(60,3)=0,BJ126&gt;0),BJ126*Assumptions!$B$59,0)</f>
        <v>21227.7155664379</v>
      </c>
      <c r="BK127" s="45" t="n">
        <f aca="false">IF(AND(MOD(61,3)=0,BK126&gt;0),BK126*Assumptions!$B$59,0)</f>
        <v>0</v>
      </c>
      <c r="BL127" s="45" t="n">
        <f aca="false">IF(AND(MOD(62,3)=0,BL126&gt;0),BL126*Assumptions!$B$59,0)</f>
        <v>0</v>
      </c>
      <c r="BM127" s="45" t="n">
        <f aca="false">IF(AND(MOD(63,3)=0,BM126&gt;0),BM126*Assumptions!$B$59,0)</f>
        <v>19335.0049001793</v>
      </c>
      <c r="BN127" s="45" t="n">
        <f aca="false">IF(AND(MOD(64,3)=0,BN126&gt;0),BN126*Assumptions!$B$59,0)</f>
        <v>0</v>
      </c>
      <c r="BO127" s="45" t="n">
        <f aca="false">IF(AND(MOD(65,3)=0,BO126&gt;0),BO126*Assumptions!$B$59,0)</f>
        <v>0</v>
      </c>
      <c r="BP127" s="45" t="n">
        <f aca="false">IF(AND(MOD(66,3)=0,BP126&gt;0),BP126*Assumptions!$B$59,0)</f>
        <v>17371.3175839361</v>
      </c>
      <c r="BQ127" s="45" t="n">
        <f aca="false">IF(AND(MOD(67,3)=0,BQ126&gt;0),BQ126*Assumptions!$B$59,0)</f>
        <v>0</v>
      </c>
      <c r="BR127" s="45" t="n">
        <f aca="false">IF(AND(MOD(68,3)=0,BR126&gt;0),BR126*Assumptions!$B$59,0)</f>
        <v>0</v>
      </c>
      <c r="BS127" s="45" t="n">
        <f aca="false">IF(AND(MOD(69,3)=0,BS126&gt;0),BS126*Assumptions!$B$59,0)</f>
        <v>15223.6294933337</v>
      </c>
      <c r="BT127" s="45" t="n">
        <f aca="false">IF(AND(MOD(70,3)=0,BT126&gt;0),BT126*Assumptions!$B$59,0)</f>
        <v>0</v>
      </c>
      <c r="BU127" s="45" t="n">
        <f aca="false">IF(AND(MOD(71,3)=0,BU126&gt;0),BU126*Assumptions!$B$59,0)</f>
        <v>0</v>
      </c>
      <c r="BV127" s="45" t="n">
        <f aca="false">IF(AND(MOD(72,3)=0,BV126&gt;0),BV126*Assumptions!$B$59,0)</f>
        <v>12995.5155993337</v>
      </c>
      <c r="BW127" s="45" t="n">
        <f aca="false">IF(AND(MOD(73,3)=0,BW126&gt;0),BW126*Assumptions!$B$59,0)</f>
        <v>0</v>
      </c>
      <c r="BX127" s="45" t="n">
        <f aca="false">IF(AND(MOD(74,3)=0,BX126&gt;0),BX126*Assumptions!$B$59,0)</f>
        <v>0</v>
      </c>
      <c r="BY127" s="45" t="n">
        <f aca="false">IF(AND(MOD(75,3)=0,BY126&gt;0),BY126*Assumptions!$B$59,0)</f>
        <v>10683.8474343087</v>
      </c>
      <c r="BZ127" s="45" t="n">
        <f aca="false">IF(AND(MOD(76,3)=0,BZ126&gt;0),BZ126*Assumptions!$B$59,0)</f>
        <v>0</v>
      </c>
      <c r="CA127" s="45" t="n">
        <f aca="false">IF(AND(MOD(77,3)=0,CA126&gt;0),CA126*Assumptions!$B$59,0)</f>
        <v>0</v>
      </c>
      <c r="CB127" s="45" t="n">
        <f aca="false">IF(AND(MOD(78,3)=0,CB126&gt;0),CB126*Assumptions!$B$59,0)</f>
        <v>8285.49171309526</v>
      </c>
      <c r="CC127" s="45" t="n">
        <f aca="false">IF(AND(MOD(79,3)=0,CC126&gt;0),CC126*Assumptions!$B$59,0)</f>
        <v>0</v>
      </c>
      <c r="CD127" s="45" t="n">
        <f aca="false">IF(AND(MOD(80,3)=0,CD126&gt;0),CD126*Assumptions!$B$59,0)</f>
        <v>0</v>
      </c>
      <c r="CE127" s="45" t="n">
        <f aca="false">IF(AND(MOD(81,3)=0,CE126&gt;0),CE126*Assumptions!$B$59,0)</f>
        <v>5545.08515233633</v>
      </c>
      <c r="CF127" s="45" t="n">
        <f aca="false">IF(AND(MOD(82,3)=0,CF126&gt;0),CF126*Assumptions!$B$59,0)</f>
        <v>0</v>
      </c>
      <c r="CG127" s="45" t="n">
        <f aca="false">IF(AND(MOD(83,3)=0,CG126&gt;0),CG126*Assumptions!$B$59,0)</f>
        <v>0</v>
      </c>
      <c r="CH127" s="45" t="n">
        <f aca="false">IF(AND(MOD(84,3)=0,CH126&gt;0),CH126*Assumptions!$B$59,0)</f>
        <v>2701.95084554894</v>
      </c>
      <c r="CI127" s="25"/>
    </row>
    <row r="128" customFormat="false" ht="15" hidden="false" customHeight="true" outlineLevel="0" collapsed="false">
      <c r="A128" s="44" t="s">
        <v>153</v>
      </c>
      <c r="B128" s="44"/>
      <c r="C128" s="45" t="n">
        <v>0</v>
      </c>
      <c r="D128" s="45" t="n">
        <v>0</v>
      </c>
      <c r="E128" s="45" t="n">
        <v>0</v>
      </c>
      <c r="F128" s="45" t="n">
        <v>0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5" t="n">
        <v>0</v>
      </c>
      <c r="M128" s="45" t="n">
        <v>0</v>
      </c>
      <c r="N128" s="45" t="n">
        <v>0</v>
      </c>
      <c r="O128" s="45" t="n">
        <f aca="false">IF(Projects!$G$13="Yes",Assumptions!$B$74,0)</f>
        <v>-1450000</v>
      </c>
      <c r="P128" s="45" t="n">
        <v>0</v>
      </c>
      <c r="Q128" s="45" t="n">
        <v>0</v>
      </c>
      <c r="R128" s="45" t="n">
        <v>0</v>
      </c>
      <c r="S128" s="45" t="n">
        <v>0</v>
      </c>
      <c r="T128" s="45" t="n">
        <v>0</v>
      </c>
      <c r="U128" s="45" t="n">
        <v>0</v>
      </c>
      <c r="V128" s="45" t="n">
        <v>0</v>
      </c>
      <c r="W128" s="45" t="n">
        <v>0</v>
      </c>
      <c r="X128" s="45" t="n">
        <v>0</v>
      </c>
      <c r="Y128" s="45" t="n">
        <v>0</v>
      </c>
      <c r="Z128" s="45" t="n">
        <v>0</v>
      </c>
      <c r="AA128" s="45" t="n">
        <v>0</v>
      </c>
      <c r="AB128" s="45" t="n">
        <v>0</v>
      </c>
      <c r="AC128" s="45" t="n">
        <v>0</v>
      </c>
      <c r="AD128" s="45" t="n">
        <v>0</v>
      </c>
      <c r="AE128" s="45" t="n">
        <v>0</v>
      </c>
      <c r="AF128" s="45" t="n">
        <v>0</v>
      </c>
      <c r="AG128" s="45" t="n">
        <v>0</v>
      </c>
      <c r="AH128" s="45" t="n">
        <v>0</v>
      </c>
      <c r="AI128" s="45" t="n">
        <v>0</v>
      </c>
      <c r="AJ128" s="45" t="n">
        <v>0</v>
      </c>
      <c r="AK128" s="45" t="n">
        <v>0</v>
      </c>
      <c r="AL128" s="45" t="n">
        <v>0</v>
      </c>
      <c r="AM128" s="45" t="n">
        <v>0</v>
      </c>
      <c r="AN128" s="45" t="n">
        <v>0</v>
      </c>
      <c r="AO128" s="45" t="n">
        <v>0</v>
      </c>
      <c r="AP128" s="45" t="n">
        <v>0</v>
      </c>
      <c r="AQ128" s="45" t="n">
        <v>0</v>
      </c>
      <c r="AR128" s="45" t="n">
        <v>0</v>
      </c>
      <c r="AS128" s="45" t="n">
        <v>0</v>
      </c>
      <c r="AT128" s="45" t="n">
        <v>0</v>
      </c>
      <c r="AU128" s="45" t="n">
        <v>0</v>
      </c>
      <c r="AV128" s="45" t="n">
        <v>0</v>
      </c>
      <c r="AW128" s="45" t="n">
        <v>0</v>
      </c>
      <c r="AX128" s="45" t="n">
        <v>0</v>
      </c>
      <c r="AY128" s="45" t="n">
        <v>0</v>
      </c>
      <c r="AZ128" s="45" t="n">
        <v>0</v>
      </c>
      <c r="BA128" s="45" t="n">
        <v>0</v>
      </c>
      <c r="BB128" s="45" t="n">
        <v>0</v>
      </c>
      <c r="BC128" s="45" t="n">
        <v>0</v>
      </c>
      <c r="BD128" s="45" t="n">
        <v>0</v>
      </c>
      <c r="BE128" s="45" t="n">
        <v>0</v>
      </c>
      <c r="BF128" s="45" t="n">
        <v>0</v>
      </c>
      <c r="BG128" s="45" t="n">
        <v>0</v>
      </c>
      <c r="BH128" s="45" t="n">
        <v>0</v>
      </c>
      <c r="BI128" s="45" t="n">
        <v>0</v>
      </c>
      <c r="BJ128" s="45" t="n">
        <v>0</v>
      </c>
      <c r="BK128" s="45" t="n">
        <v>0</v>
      </c>
      <c r="BL128" s="45" t="n">
        <v>0</v>
      </c>
      <c r="BM128" s="45" t="n">
        <v>0</v>
      </c>
      <c r="BN128" s="45" t="n">
        <v>0</v>
      </c>
      <c r="BO128" s="45" t="n">
        <v>0</v>
      </c>
      <c r="BP128" s="45" t="n">
        <v>0</v>
      </c>
      <c r="BQ128" s="45" t="n">
        <v>0</v>
      </c>
      <c r="BR128" s="45" t="n">
        <v>0</v>
      </c>
      <c r="BS128" s="45" t="n">
        <v>0</v>
      </c>
      <c r="BT128" s="45" t="n">
        <v>0</v>
      </c>
      <c r="BU128" s="45" t="n">
        <v>0</v>
      </c>
      <c r="BV128" s="45" t="n">
        <v>0</v>
      </c>
      <c r="BW128" s="45" t="n">
        <v>0</v>
      </c>
      <c r="BX128" s="45" t="n">
        <v>0</v>
      </c>
      <c r="BY128" s="45" t="n">
        <v>0</v>
      </c>
      <c r="BZ128" s="45" t="n">
        <v>0</v>
      </c>
      <c r="CA128" s="45" t="n">
        <v>0</v>
      </c>
      <c r="CB128" s="45" t="n">
        <v>0</v>
      </c>
      <c r="CC128" s="45" t="n">
        <v>0</v>
      </c>
      <c r="CD128" s="45" t="n">
        <v>0</v>
      </c>
      <c r="CE128" s="45" t="n">
        <v>0</v>
      </c>
      <c r="CF128" s="45" t="n">
        <v>0</v>
      </c>
      <c r="CG128" s="45" t="n">
        <v>0</v>
      </c>
      <c r="CH128" s="45" t="n">
        <v>0</v>
      </c>
      <c r="CI128" s="25"/>
    </row>
    <row r="129" customFormat="false" ht="15" hidden="false" customHeight="true" outlineLevel="0" collapsed="false">
      <c r="A129" s="46" t="s">
        <v>154</v>
      </c>
      <c r="B129" s="46"/>
      <c r="C129" s="47" t="n">
        <f aca="false">-MIN(C126+C127+C128,MAX(0,C61-Helpers!C23))</f>
        <v>-0</v>
      </c>
      <c r="D129" s="47" t="n">
        <f aca="false">-MIN(D126+D127+D128,MAX(0,D61-Helpers!D23))</f>
        <v>-0</v>
      </c>
      <c r="E129" s="47" t="n">
        <f aca="false">-MIN(E126+E127+E128,MAX(0,E61-Helpers!E23))</f>
        <v>-0</v>
      </c>
      <c r="F129" s="47" t="n">
        <f aca="false">-MIN(F126+F127+F128,MAX(0,F61-Helpers!F23))</f>
        <v>-0</v>
      </c>
      <c r="G129" s="47" t="n">
        <f aca="false">-MIN(G126+G127+G128,MAX(0,G61-Helpers!G23))</f>
        <v>-0</v>
      </c>
      <c r="H129" s="47" t="n">
        <f aca="false">-MIN(H126+H127+H128,MAX(0,H61-Helpers!H23))</f>
        <v>-0</v>
      </c>
      <c r="I129" s="47" t="n">
        <f aca="false">-MIN(I126+I127+I128,MAX(0,I61-Helpers!I23))</f>
        <v>-0</v>
      </c>
      <c r="J129" s="47" t="n">
        <f aca="false">-MIN(J126+J127+J128,MAX(0,J61-Helpers!J23))</f>
        <v>-0</v>
      </c>
      <c r="K129" s="47" t="n">
        <f aca="false">-MIN(K126+K127+K128,MAX(0,K61-Helpers!K23))</f>
        <v>-0</v>
      </c>
      <c r="L129" s="47" t="n">
        <f aca="false">-MIN(L126+L127+L128,MAX(0,L61-Helpers!L23))</f>
        <v>-0</v>
      </c>
      <c r="M129" s="47" t="n">
        <f aca="false">-MIN(M126+M127+M128,MAX(0,M61-Helpers!M23))</f>
        <v>-0</v>
      </c>
      <c r="N129" s="47" t="n">
        <f aca="false">-MIN(N126+N127+N128,MAX(0,N61-Helpers!N23))</f>
        <v>-0</v>
      </c>
      <c r="O129" s="47" t="n">
        <f aca="false">-MIN(O126+O127+O128,MAX(0,O61-Helpers!O23))</f>
        <v>-0</v>
      </c>
      <c r="P129" s="47" t="n">
        <f aca="false">-MIN(P126+P127+P128,MAX(0,P61-Helpers!P23))</f>
        <v>-0</v>
      </c>
      <c r="Q129" s="47" t="n">
        <f aca="false">-MIN(Q126+Q127+Q128,MAX(0,Q61-Helpers!Q23))</f>
        <v>-0</v>
      </c>
      <c r="R129" s="47" t="n">
        <f aca="false">-MIN(R126+R127+R128,MAX(0,R61-Helpers!R23))</f>
        <v>-0</v>
      </c>
      <c r="S129" s="47" t="n">
        <f aca="false">-MIN(S126+S127+S128,MAX(0,S61-Helpers!S23))</f>
        <v>-0</v>
      </c>
      <c r="T129" s="47" t="n">
        <f aca="false">-MIN(T126+T127+T128,MAX(0,T61-Helpers!T23))</f>
        <v>-0</v>
      </c>
      <c r="U129" s="47" t="n">
        <f aca="false">-MIN(U126+U127+U128,MAX(0,U61-Helpers!U23))</f>
        <v>-0</v>
      </c>
      <c r="V129" s="47" t="n">
        <f aca="false">-MIN(V126+V127+V128,MAX(0,V61-Helpers!V23))</f>
        <v>-0</v>
      </c>
      <c r="W129" s="47" t="n">
        <f aca="false">-MIN(W126+W127+W128,MAX(0,W61-Helpers!W23))</f>
        <v>-0</v>
      </c>
      <c r="X129" s="47" t="n">
        <f aca="false">-MIN(X126+X127+X128,MAX(0,X61-Helpers!X23))</f>
        <v>-0</v>
      </c>
      <c r="Y129" s="47" t="n">
        <f aca="false">-MIN(Y126+Y127+Y128,MAX(0,Y61-Helpers!Y23))</f>
        <v>-0</v>
      </c>
      <c r="Z129" s="47" t="n">
        <f aca="false">-MIN(Z126+Z127+Z128,MAX(0,Z61-Helpers!Z23))</f>
        <v>-0</v>
      </c>
      <c r="AA129" s="47" t="n">
        <f aca="false">-MIN(AA126+AA127+AA128,MAX(0,AA61-Helpers!AA23))</f>
        <v>-0</v>
      </c>
      <c r="AB129" s="47" t="n">
        <f aca="false">-MIN(AB126+AB127+AB128,MAX(0,AB61-Helpers!AB23))</f>
        <v>-0</v>
      </c>
      <c r="AC129" s="47" t="n">
        <f aca="false">-MIN(AC126+AC127+AC128,MAX(0,AC61-Helpers!AC23))</f>
        <v>-0</v>
      </c>
      <c r="AD129" s="47" t="n">
        <f aca="false">-MIN(AD126+AD127+AD128,MAX(0,AD61-Helpers!AD23))</f>
        <v>-0</v>
      </c>
      <c r="AE129" s="47" t="n">
        <f aca="false">-MIN(AE126+AE127+AE128,MAX(0,AE61-Helpers!AE23))</f>
        <v>-0</v>
      </c>
      <c r="AF129" s="47" t="n">
        <f aca="false">-MIN(AF126+AF127+AF128,MAX(0,AF61-Helpers!AF23))</f>
        <v>-0</v>
      </c>
      <c r="AG129" s="47" t="n">
        <f aca="false">-MIN(AG126+AG127+AG128,MAX(0,AG61-Helpers!AG23))</f>
        <v>-0</v>
      </c>
      <c r="AH129" s="47" t="n">
        <f aca="false">-MIN(AH126+AH127+AH128,MAX(0,AH61-Helpers!AH23))</f>
        <v>-0</v>
      </c>
      <c r="AI129" s="47" t="n">
        <f aca="false">-MIN(AI126+AI127+AI128,MAX(0,AI61-Helpers!AI23))</f>
        <v>-0</v>
      </c>
      <c r="AJ129" s="47" t="n">
        <f aca="false">-MIN(AJ126+AJ127+AJ128,MAX(0,AJ61-Helpers!AJ23))</f>
        <v>-0</v>
      </c>
      <c r="AK129" s="47" t="n">
        <f aca="false">-MIN(AK126+AK127+AK128,MAX(0,AK61-Helpers!AK23))</f>
        <v>-0</v>
      </c>
      <c r="AL129" s="47" t="n">
        <f aca="false">-MIN(AL126+AL127+AL128,MAX(0,AL61-Helpers!AL23))</f>
        <v>-0</v>
      </c>
      <c r="AM129" s="47" t="n">
        <f aca="false">-MIN(AM126+AM127+AM128,MAX(0,AM61-Helpers!AM23))</f>
        <v>-0</v>
      </c>
      <c r="AN129" s="47" t="n">
        <f aca="false">-MIN(AN126+AN127+AN128,MAX(0,AN61-Helpers!AN23))</f>
        <v>-0</v>
      </c>
      <c r="AO129" s="47" t="n">
        <f aca="false">-MIN(AO126+AO127+AO128,MAX(0,AO61-Helpers!AO23))</f>
        <v>-0</v>
      </c>
      <c r="AP129" s="47" t="n">
        <f aca="false">-MIN(AP126+AP127+AP128,MAX(0,AP61-Helpers!AP23))</f>
        <v>-0</v>
      </c>
      <c r="AQ129" s="47" t="n">
        <f aca="false">-MIN(AQ126+AQ127+AQ128,MAX(0,AQ61-Helpers!AQ23))</f>
        <v>-0</v>
      </c>
      <c r="AR129" s="47" t="n">
        <f aca="false">-MIN(AR126+AR127+AR128,MAX(0,AR61-Helpers!AR23))</f>
        <v>-0</v>
      </c>
      <c r="AS129" s="47" t="n">
        <f aca="false">-MIN(AS126+AS127+AS128,MAX(0,AS61-Helpers!AS23))</f>
        <v>-0</v>
      </c>
      <c r="AT129" s="47" t="n">
        <f aca="false">-MIN(AT126+AT127+AT128,MAX(0,AT61-Helpers!AT23))</f>
        <v>-0</v>
      </c>
      <c r="AU129" s="47" t="n">
        <f aca="false">-MIN(AU126+AU127+AU128,MAX(0,AU61-Helpers!AU23))</f>
        <v>-0</v>
      </c>
      <c r="AV129" s="47" t="n">
        <f aca="false">-MIN(AV126+AV127+AV128,MAX(0,AV61-Helpers!AV23))</f>
        <v>-0</v>
      </c>
      <c r="AW129" s="47" t="n">
        <f aca="false">-MIN(AW126+AW127+AW128,MAX(0,AW61-Helpers!AW23))</f>
        <v>-0</v>
      </c>
      <c r="AX129" s="47" t="n">
        <f aca="false">-MIN(AX126+AX127+AX128,MAX(0,AX61-Helpers!AX23))</f>
        <v>-0</v>
      </c>
      <c r="AY129" s="47" t="n">
        <f aca="false">-MIN(AY126+AY127+AY128,MAX(0,AY61-Helpers!AY23))</f>
        <v>-0</v>
      </c>
      <c r="AZ129" s="47" t="n">
        <f aca="false">-MIN(AZ126+AZ127+AZ128,MAX(0,AZ61-Helpers!AZ23))</f>
        <v>-0</v>
      </c>
      <c r="BA129" s="47" t="n">
        <f aca="false">-MIN(BA126+BA127+BA128,MAX(0,BA61-Helpers!BA23))</f>
        <v>-249171.3</v>
      </c>
      <c r="BB129" s="47" t="n">
        <f aca="false">-MIN(BB126+BB127+BB128,MAX(0,BB61-Helpers!BB23))</f>
        <v>-0</v>
      </c>
      <c r="BC129" s="47" t="n">
        <f aca="false">-MIN(BC126+BC127+BC128,MAX(0,BC61-Helpers!BC23))</f>
        <v>-0</v>
      </c>
      <c r="BD129" s="47" t="n">
        <f aca="false">-MIN(BD126+BD127+BD128,MAX(0,BD61-Helpers!BD23))</f>
        <v>-71700</v>
      </c>
      <c r="BE129" s="47" t="n">
        <f aca="false">-MIN(BE126+BE127+BE128,MAX(0,BE61-Helpers!BE23))</f>
        <v>-0</v>
      </c>
      <c r="BF129" s="47" t="n">
        <f aca="false">-MIN(BF126+BF127+BF128,MAX(0,BF61-Helpers!BF23))</f>
        <v>-0</v>
      </c>
      <c r="BG129" s="47" t="n">
        <f aca="false">-MIN(BG126+BG127+BG128,MAX(0,BG61-Helpers!BG23))</f>
        <v>-71700</v>
      </c>
      <c r="BH129" s="47" t="n">
        <f aca="false">-MIN(BH126+BH127+BH128,MAX(0,BH61-Helpers!BH23))</f>
        <v>-0</v>
      </c>
      <c r="BI129" s="47" t="n">
        <f aca="false">-MIN(BI126+BI127+BI128,MAX(0,BI61-Helpers!BI23))</f>
        <v>-0</v>
      </c>
      <c r="BJ129" s="47" t="n">
        <f aca="false">-MIN(BJ126+BJ127+BJ128,MAX(0,BJ61-Helpers!BJ23))</f>
        <v>-71700</v>
      </c>
      <c r="BK129" s="47" t="n">
        <f aca="false">-MIN(BK126+BK127+BK128,MAX(0,BK61-Helpers!BK23))</f>
        <v>-0</v>
      </c>
      <c r="BL129" s="47" t="n">
        <f aca="false">-MIN(BL126+BL127+BL128,MAX(0,BL61-Helpers!BL23))</f>
        <v>-0</v>
      </c>
      <c r="BM129" s="47" t="n">
        <f aca="false">-MIN(BM126+BM127+BM128,MAX(0,BM61-Helpers!BM23))</f>
        <v>-71700</v>
      </c>
      <c r="BN129" s="47" t="n">
        <f aca="false">-MIN(BN126+BN127+BN128,MAX(0,BN61-Helpers!BN23))</f>
        <v>-0</v>
      </c>
      <c r="BO129" s="47" t="n">
        <f aca="false">-MIN(BO126+BO127+BO128,MAX(0,BO61-Helpers!BO23))</f>
        <v>-0</v>
      </c>
      <c r="BP129" s="47" t="n">
        <f aca="false">-MIN(BP126+BP127+BP128,MAX(0,BP61-Helpers!BP23))</f>
        <v>-74643</v>
      </c>
      <c r="BQ129" s="47" t="n">
        <f aca="false">-MIN(BQ126+BQ127+BQ128,MAX(0,BQ61-Helpers!BQ23))</f>
        <v>-0</v>
      </c>
      <c r="BR129" s="47" t="n">
        <f aca="false">-MIN(BR126+BR127+BR128,MAX(0,BR61-Helpers!BR23))</f>
        <v>-0</v>
      </c>
      <c r="BS129" s="47" t="n">
        <f aca="false">-MIN(BS126+BS127+BS128,MAX(0,BS61-Helpers!BS23))</f>
        <v>-74640</v>
      </c>
      <c r="BT129" s="47" t="n">
        <f aca="false">-MIN(BT126+BT127+BT128,MAX(0,BT61-Helpers!BT23))</f>
        <v>-0</v>
      </c>
      <c r="BU129" s="47" t="n">
        <f aca="false">-MIN(BU126+BU127+BU128,MAX(0,BU61-Helpers!BU23))</f>
        <v>-0</v>
      </c>
      <c r="BV129" s="47" t="n">
        <f aca="false">-MIN(BV126+BV127+BV128,MAX(0,BV61-Helpers!BV23))</f>
        <v>-74640</v>
      </c>
      <c r="BW129" s="47" t="n">
        <f aca="false">-MIN(BW126+BW127+BW128,MAX(0,BW61-Helpers!BW23))</f>
        <v>-0</v>
      </c>
      <c r="BX129" s="47" t="n">
        <f aca="false">-MIN(BX126+BX127+BX128,MAX(0,BX61-Helpers!BX23))</f>
        <v>-0</v>
      </c>
      <c r="BY129" s="47" t="n">
        <f aca="false">-MIN(BY126+BY127+BY128,MAX(0,BY61-Helpers!BY23))</f>
        <v>-74640</v>
      </c>
      <c r="BZ129" s="47" t="n">
        <f aca="false">-MIN(BZ126+BZ127+BZ128,MAX(0,BZ61-Helpers!BZ23))</f>
        <v>-0</v>
      </c>
      <c r="CA129" s="47" t="n">
        <f aca="false">-MIN(CA126+CA127+CA128,MAX(0,CA61-Helpers!CA23))</f>
        <v>-0</v>
      </c>
      <c r="CB129" s="47" t="n">
        <f aca="false">-MIN(CB126+CB127+CB128,MAX(0,CB61-Helpers!CB23))</f>
        <v>-81363</v>
      </c>
      <c r="CC129" s="47" t="n">
        <f aca="false">-MIN(CC126+CC127+CC128,MAX(0,CC61-Helpers!CC23))</f>
        <v>-0</v>
      </c>
      <c r="CD129" s="47" t="n">
        <f aca="false">-MIN(CD126+CD127+CD128,MAX(0,CD61-Helpers!CD23))</f>
        <v>-0</v>
      </c>
      <c r="CE129" s="47" t="n">
        <f aca="false">-MIN(CE126+CE127+CE128,MAX(0,CE61-Helpers!CE23))</f>
        <v>-81362</v>
      </c>
      <c r="CF129" s="47" t="n">
        <f aca="false">-MIN(CF126+CF127+CF128,MAX(0,CF61-Helpers!CF23))</f>
        <v>-0</v>
      </c>
      <c r="CG129" s="47" t="n">
        <f aca="false">-MIN(CG126+CG127+CG128,MAX(0,CG61-Helpers!CG23))</f>
        <v>-0</v>
      </c>
      <c r="CH129" s="47" t="n">
        <f aca="false">-MIN(CH126+CH127+CH128,MAX(0,CH61-Helpers!CH23))</f>
        <v>-74753.9733935208</v>
      </c>
      <c r="CI129" s="25"/>
    </row>
    <row r="130" customFormat="false" ht="13.5" hidden="false" customHeight="true" outlineLevel="0" collapsed="false">
      <c r="A130" s="48" t="s">
        <v>155</v>
      </c>
      <c r="B130" s="49"/>
      <c r="C130" s="50" t="n">
        <f aca="false">MAX(0,C126+C127+C128+C129)</f>
        <v>1134000</v>
      </c>
      <c r="D130" s="50" t="n">
        <f aca="false">MAX(0,D126+D127+D128+D129)</f>
        <v>1184000</v>
      </c>
      <c r="E130" s="50" t="n">
        <f aca="false">MAX(0,E126+E127+E128+E129)</f>
        <v>1280275</v>
      </c>
      <c r="F130" s="50" t="n">
        <f aca="false">MAX(0,F126+F127+F128+F129)</f>
        <v>1330275</v>
      </c>
      <c r="G130" s="50" t="n">
        <f aca="false">MAX(0,G126+G127+G128+G129)</f>
        <v>1380275</v>
      </c>
      <c r="H130" s="50" t="n">
        <f aca="false">MAX(0,H126+H127+H128+H129)</f>
        <v>1483910.3125</v>
      </c>
      <c r="I130" s="50" t="n">
        <f aca="false">MAX(0,I126+I127+I128+I129)</f>
        <v>1533910.3125</v>
      </c>
      <c r="J130" s="50" t="n">
        <f aca="false">MAX(0,J126+J127+J128+J129)</f>
        <v>1583910.3125</v>
      </c>
      <c r="K130" s="50" t="n">
        <f aca="false">MAX(0,K126+K127+K128+K129)</f>
        <v>1695181.94921875</v>
      </c>
      <c r="L130" s="50" t="n">
        <f aca="false">MAX(0,L126+L127+L128+L129)</f>
        <v>1745181.94921875</v>
      </c>
      <c r="M130" s="50" t="n">
        <f aca="false">MAX(0,M126+M127+M128+M129)</f>
        <v>1795181.94921875</v>
      </c>
      <c r="N130" s="50" t="n">
        <f aca="false">MAX(0,N126+N127+N128+N129)</f>
        <v>1914376.27231445</v>
      </c>
      <c r="O130" s="50" t="n">
        <f aca="false">MAX(0,O126+O127+O128+O129)</f>
        <v>514376.272314453</v>
      </c>
      <c r="P130" s="50" t="n">
        <f aca="false">MAX(0,P126+P127+P128+P129)</f>
        <v>564376.272314453</v>
      </c>
      <c r="Q130" s="50" t="n">
        <f aca="false">MAX(0,Q126+Q127+Q128+Q129)</f>
        <v>585540.382526245</v>
      </c>
      <c r="R130" s="50" t="n">
        <f aca="false">MAX(0,R126+R127+R128+R129)</f>
        <v>585540.382526245</v>
      </c>
      <c r="S130" s="50" t="n">
        <f aca="false">MAX(0,S126+S127+S128+S129)</f>
        <v>585540.382526245</v>
      </c>
      <c r="T130" s="50" t="n">
        <f aca="false">MAX(0,T126+T127+T128+T129)</f>
        <v>607498.146870979</v>
      </c>
      <c r="U130" s="50" t="n">
        <f aca="false">MAX(0,U126+U127+U128+U129)</f>
        <v>607498.146870979</v>
      </c>
      <c r="V130" s="50" t="n">
        <f aca="false">MAX(0,V126+V127+V128+V129)</f>
        <v>607498.146870979</v>
      </c>
      <c r="W130" s="50" t="n">
        <f aca="false">MAX(0,W126+W127+W128+W129)</f>
        <v>630279.327378641</v>
      </c>
      <c r="X130" s="50" t="n">
        <f aca="false">MAX(0,X126+X127+X128+X129)</f>
        <v>630279.327378641</v>
      </c>
      <c r="Y130" s="50" t="n">
        <f aca="false">MAX(0,Y126+Y127+Y128+Y129)</f>
        <v>630279.327378641</v>
      </c>
      <c r="Z130" s="50" t="n">
        <f aca="false">MAX(0,Z126+Z127+Z128+Z129)</f>
        <v>653914.80215534</v>
      </c>
      <c r="AA130" s="50" t="n">
        <f aca="false">MAX(0,AA126+AA127+AA128+AA129)</f>
        <v>653914.80215534</v>
      </c>
      <c r="AB130" s="50" t="n">
        <f aca="false">MAX(0,AB126+AB127+AB128+AB129)</f>
        <v>653914.80215534</v>
      </c>
      <c r="AC130" s="50" t="n">
        <f aca="false">MAX(0,AC126+AC127+AC128+AC129)</f>
        <v>678436.607236165</v>
      </c>
      <c r="AD130" s="50" t="n">
        <f aca="false">MAX(0,AD126+AD127+AD128+AD129)</f>
        <v>678436.607236165</v>
      </c>
      <c r="AE130" s="50" t="n">
        <f aca="false">MAX(0,AE126+AE127+AE128+AE129)</f>
        <v>678436.607236165</v>
      </c>
      <c r="AF130" s="50" t="n">
        <f aca="false">MAX(0,AF126+AF127+AF128+AF129)</f>
        <v>703877.980007521</v>
      </c>
      <c r="AG130" s="50" t="n">
        <f aca="false">MAX(0,AG126+AG127+AG128+AG129)</f>
        <v>703877.980007521</v>
      </c>
      <c r="AH130" s="50" t="n">
        <f aca="false">MAX(0,AH126+AH127+AH128+AH129)</f>
        <v>703877.980007521</v>
      </c>
      <c r="AI130" s="50" t="n">
        <f aca="false">MAX(0,AI126+AI127+AI128+AI129)</f>
        <v>730273.404257803</v>
      </c>
      <c r="AJ130" s="50" t="n">
        <f aca="false">MAX(0,AJ126+AJ127+AJ128+AJ129)</f>
        <v>730273.404257803</v>
      </c>
      <c r="AK130" s="50" t="n">
        <f aca="false">MAX(0,AK126+AK127+AK128+AK129)</f>
        <v>730273.404257803</v>
      </c>
      <c r="AL130" s="50" t="n">
        <f aca="false">MAX(0,AL126+AL127+AL128+AL129)</f>
        <v>757658.656917471</v>
      </c>
      <c r="AM130" s="50" t="n">
        <f aca="false">MAX(0,AM126+AM127+AM128+AM129)</f>
        <v>757658.656917471</v>
      </c>
      <c r="AN130" s="50" t="n">
        <f aca="false">MAX(0,AN126+AN127+AN128+AN129)</f>
        <v>757658.656917471</v>
      </c>
      <c r="AO130" s="50" t="n">
        <f aca="false">MAX(0,AO126+AO127+AO128+AO129)</f>
        <v>786070.856551876</v>
      </c>
      <c r="AP130" s="50" t="n">
        <f aca="false">MAX(0,AP126+AP127+AP128+AP129)</f>
        <v>786070.856551876</v>
      </c>
      <c r="AQ130" s="50" t="n">
        <f aca="false">MAX(0,AQ126+AQ127+AQ128+AQ129)</f>
        <v>786070.856551876</v>
      </c>
      <c r="AR130" s="50" t="n">
        <f aca="false">MAX(0,AR126+AR127+AR128+AR129)</f>
        <v>815548.513672571</v>
      </c>
      <c r="AS130" s="50" t="n">
        <f aca="false">MAX(0,AS126+AS127+AS128+AS129)</f>
        <v>815548.513672571</v>
      </c>
      <c r="AT130" s="50" t="n">
        <f aca="false">MAX(0,AT126+AT127+AT128+AT129)</f>
        <v>815548.513672571</v>
      </c>
      <c r="AU130" s="50" t="n">
        <f aca="false">MAX(0,AU126+AU127+AU128+AU129)</f>
        <v>846131.582935293</v>
      </c>
      <c r="AV130" s="50" t="n">
        <f aca="false">MAX(0,AV126+AV127+AV128+AV129)</f>
        <v>846131.582935293</v>
      </c>
      <c r="AW130" s="50" t="n">
        <f aca="false">MAX(0,AW126+AW127+AW128+AW129)</f>
        <v>846131.582935293</v>
      </c>
      <c r="AX130" s="50" t="n">
        <f aca="false">MAX(0,AX126+AX127+AX128+AX129)</f>
        <v>877861.517295366</v>
      </c>
      <c r="AY130" s="50" t="n">
        <f aca="false">MAX(0,AY126+AY127+AY128+AY129)</f>
        <v>877861.517295366</v>
      </c>
      <c r="AZ130" s="50" t="n">
        <f aca="false">MAX(0,AZ126+AZ127+AZ128+AZ129)</f>
        <v>877861.517295366</v>
      </c>
      <c r="BA130" s="50" t="n">
        <f aca="false">MAX(0,BA126+BA127+BA128+BA129)</f>
        <v>661610.024193943</v>
      </c>
      <c r="BB130" s="50" t="n">
        <f aca="false">MAX(0,BB126+BB127+BB128+BB129)</f>
        <v>661610.024193943</v>
      </c>
      <c r="BC130" s="50" t="n">
        <f aca="false">MAX(0,BC126+BC127+BC128+BC129)</f>
        <v>661610.024193943</v>
      </c>
      <c r="BD130" s="50" t="n">
        <f aca="false">MAX(0,BD126+BD127+BD128+BD129)</f>
        <v>614720.400101215</v>
      </c>
      <c r="BE130" s="50" t="n">
        <f aca="false">MAX(0,BE126+BE127+BE128+BE129)</f>
        <v>614720.400101215</v>
      </c>
      <c r="BF130" s="50" t="n">
        <f aca="false">MAX(0,BF126+BF127+BF128+BF129)</f>
        <v>614720.400101215</v>
      </c>
      <c r="BG130" s="50" t="n">
        <f aca="false">MAX(0,BG126+BG127+BG128+BG129)</f>
        <v>566072.415105011</v>
      </c>
      <c r="BH130" s="50" t="n">
        <f aca="false">MAX(0,BH126+BH127+BH128+BH129)</f>
        <v>566072.415105011</v>
      </c>
      <c r="BI130" s="50" t="n">
        <f aca="false">MAX(0,BI126+BI127+BI128+BI129)</f>
        <v>566072.415105011</v>
      </c>
      <c r="BJ130" s="50" t="n">
        <f aca="false">MAX(0,BJ126+BJ127+BJ128+BJ129)</f>
        <v>515600.130671449</v>
      </c>
      <c r="BK130" s="50" t="n">
        <f aca="false">MAX(0,BK126+BK127+BK128+BK129)</f>
        <v>515600.130671449</v>
      </c>
      <c r="BL130" s="50" t="n">
        <f aca="false">MAX(0,BL126+BL127+BL128+BL129)</f>
        <v>515600.130671449</v>
      </c>
      <c r="BM130" s="50" t="n">
        <f aca="false">MAX(0,BM126+BM127+BM128+BM129)</f>
        <v>463235.135571628</v>
      </c>
      <c r="BN130" s="50" t="n">
        <f aca="false">MAX(0,BN126+BN127+BN128+BN129)</f>
        <v>463235.135571628</v>
      </c>
      <c r="BO130" s="50" t="n">
        <f aca="false">MAX(0,BO126+BO127+BO128+BO129)</f>
        <v>463235.135571628</v>
      </c>
      <c r="BP130" s="50" t="n">
        <f aca="false">MAX(0,BP126+BP127+BP128+BP129)</f>
        <v>405963.453155564</v>
      </c>
      <c r="BQ130" s="50" t="n">
        <f aca="false">MAX(0,BQ126+BQ127+BQ128+BQ129)</f>
        <v>405963.453155564</v>
      </c>
      <c r="BR130" s="50" t="n">
        <f aca="false">MAX(0,BR126+BR127+BR128+BR129)</f>
        <v>405963.453155564</v>
      </c>
      <c r="BS130" s="50" t="n">
        <f aca="false">MAX(0,BS126+BS127+BS128+BS129)</f>
        <v>346547.082648898</v>
      </c>
      <c r="BT130" s="50" t="n">
        <f aca="false">MAX(0,BT126+BT127+BT128+BT129)</f>
        <v>346547.082648898</v>
      </c>
      <c r="BU130" s="50" t="n">
        <f aca="false">MAX(0,BU126+BU127+BU128+BU129)</f>
        <v>346547.082648898</v>
      </c>
      <c r="BV130" s="50" t="n">
        <f aca="false">MAX(0,BV126+BV127+BV128+BV129)</f>
        <v>284902.598248232</v>
      </c>
      <c r="BW130" s="50" t="n">
        <f aca="false">MAX(0,BW126+BW127+BW128+BW129)</f>
        <v>284902.598248232</v>
      </c>
      <c r="BX130" s="50" t="n">
        <f aca="false">MAX(0,BX126+BX127+BX128+BX129)</f>
        <v>284902.598248232</v>
      </c>
      <c r="BY130" s="50" t="n">
        <f aca="false">MAX(0,BY126+BY127+BY128+BY129)</f>
        <v>220946.44568254</v>
      </c>
      <c r="BZ130" s="50" t="n">
        <f aca="false">MAX(0,BZ126+BZ127+BZ128+BZ129)</f>
        <v>220946.44568254</v>
      </c>
      <c r="CA130" s="50" t="n">
        <f aca="false">MAX(0,CA126+CA127+CA128+CA129)</f>
        <v>220946.44568254</v>
      </c>
      <c r="CB130" s="50" t="n">
        <f aca="false">MAX(0,CB126+CB127+CB128+CB129)</f>
        <v>147868.937395636</v>
      </c>
      <c r="CC130" s="50" t="n">
        <f aca="false">MAX(0,CC126+CC127+CC128+CC129)</f>
        <v>147868.937395636</v>
      </c>
      <c r="CD130" s="50" t="n">
        <f aca="false">MAX(0,CD126+CD127+CD128+CD129)</f>
        <v>147868.937395636</v>
      </c>
      <c r="CE130" s="50" t="n">
        <f aca="false">MAX(0,CE126+CE127+CE128+CE129)</f>
        <v>72052.0225479718</v>
      </c>
      <c r="CF130" s="50" t="n">
        <f aca="false">MAX(0,CF126+CF127+CF128+CF129)</f>
        <v>72052.0225479718</v>
      </c>
      <c r="CG130" s="50" t="n">
        <f aca="false">MAX(0,CG126+CG127+CG128+CG129)</f>
        <v>72052.0225479718</v>
      </c>
      <c r="CH130" s="50" t="n">
        <f aca="false">MAX(0,CH126+CH127+CH128+CH129)</f>
        <v>0</v>
      </c>
      <c r="CI130" s="25"/>
    </row>
    <row r="131" customFormat="false" ht="16.5" hidden="false" customHeight="true" outlineLevel="0" collapsed="false">
      <c r="A131" s="51"/>
      <c r="B131" s="36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37"/>
    </row>
    <row r="132" customFormat="false" ht="15" hidden="false" customHeight="true" outlineLevel="0" collapsed="false">
      <c r="A132" s="53" t="s">
        <v>156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Helpers!C8</f>
        <v>10946461.5429654</v>
      </c>
      <c r="D133" s="10" t="n">
        <f aca="false">Helpers!D8</f>
        <v>10133653.2147754</v>
      </c>
      <c r="E133" s="10" t="n">
        <f aca="false">Helpers!E8</f>
        <v>9246899.83942384</v>
      </c>
      <c r="F133" s="10" t="n">
        <f aca="false">Helpers!F8</f>
        <v>8303243.59952528</v>
      </c>
      <c r="G133" s="10" t="n">
        <f aca="false">Helpers!G8</f>
        <v>7323700.45585194</v>
      </c>
      <c r="H133" s="10" t="n">
        <f aca="false">Helpers!H8</f>
        <v>6331894.58782936</v>
      </c>
      <c r="I133" s="10" t="n">
        <f aca="false">Helpers!I8</f>
        <v>5352351.44415602</v>
      </c>
      <c r="J133" s="10" t="n">
        <f aca="false">Helpers!J8</f>
        <v>4408695.20425746</v>
      </c>
      <c r="K133" s="10" t="n">
        <f aca="false">Helpers!K8</f>
        <v>3521941.82890593</v>
      </c>
      <c r="L133" s="10" t="n">
        <f aca="false">Helpers!L8</f>
        <v>2709133.50071593</v>
      </c>
      <c r="M133" s="10" t="n">
        <f aca="false">Helpers!M8</f>
        <v>1982410.0436813</v>
      </c>
      <c r="N133" s="10" t="n">
        <f aca="false">Helpers!N8</f>
        <v>1348626.56651396</v>
      </c>
      <c r="O133" s="10" t="n">
        <f aca="false">Helpers!O8</f>
        <v>809476.362999339</v>
      </c>
      <c r="P133" s="10" t="n">
        <f aca="false">Helpers!P8</f>
        <v>362105.413773295</v>
      </c>
      <c r="Q133" s="10" t="n">
        <f aca="false">Helpers!Q8</f>
        <v>0</v>
      </c>
      <c r="R133" s="10" t="n">
        <f aca="false">Helpers!R8</f>
        <v>0</v>
      </c>
      <c r="S133" s="10" t="n">
        <f aca="false">Helpers!S8</f>
        <v>0</v>
      </c>
      <c r="T133" s="10" t="n">
        <f aca="false">Helpers!T8</f>
        <v>0</v>
      </c>
      <c r="U133" s="10" t="n">
        <f aca="false">Helpers!U8</f>
        <v>0</v>
      </c>
      <c r="V133" s="10" t="n">
        <f aca="false">Helpers!V8</f>
        <v>0</v>
      </c>
      <c r="W133" s="10" t="n">
        <f aca="false">Helpers!W8</f>
        <v>0</v>
      </c>
      <c r="X133" s="10" t="n">
        <f aca="false">Helpers!X8</f>
        <v>0</v>
      </c>
      <c r="Y133" s="10" t="n">
        <f aca="false">Helpers!Y8</f>
        <v>0</v>
      </c>
      <c r="Z133" s="10" t="n">
        <f aca="false">Helpers!Z8</f>
        <v>0</v>
      </c>
      <c r="AA133" s="10" t="n">
        <f aca="false">Helpers!AA8</f>
        <v>0</v>
      </c>
      <c r="AB133" s="10" t="n">
        <f aca="false">Helpers!AB8</f>
        <v>0</v>
      </c>
      <c r="AC133" s="10" t="n">
        <f aca="false">Helpers!AC8</f>
        <v>0</v>
      </c>
      <c r="AD133" s="10" t="n">
        <f aca="false">Helpers!AD8</f>
        <v>0</v>
      </c>
      <c r="AE133" s="10" t="n">
        <f aca="false">Helpers!AE8</f>
        <v>0</v>
      </c>
      <c r="AF133" s="10" t="n">
        <f aca="false">Helpers!AF8</f>
        <v>0</v>
      </c>
      <c r="AG133" s="10" t="n">
        <f aca="false">Helpers!AG8</f>
        <v>0</v>
      </c>
      <c r="AH133" s="10" t="n">
        <f aca="false">Helpers!AH8</f>
        <v>0</v>
      </c>
      <c r="AI133" s="10" t="n">
        <f aca="false">Helpers!AI8</f>
        <v>0</v>
      </c>
      <c r="AJ133" s="10" t="n">
        <f aca="false">Helpers!AJ8</f>
        <v>0</v>
      </c>
      <c r="AK133" s="10" t="n">
        <f aca="false">Helpers!AK8</f>
        <v>0</v>
      </c>
      <c r="AL133" s="10" t="n">
        <f aca="false">Helpers!AL8</f>
        <v>0</v>
      </c>
      <c r="AM133" s="10" t="n">
        <f aca="false">Helpers!AM8</f>
        <v>0</v>
      </c>
      <c r="AN133" s="10" t="n">
        <f aca="false">Helpers!AN8</f>
        <v>0</v>
      </c>
      <c r="AO133" s="10" t="n">
        <f aca="false">Helpers!AO8</f>
        <v>0</v>
      </c>
      <c r="AP133" s="10" t="n">
        <f aca="false">Helpers!AP8</f>
        <v>0</v>
      </c>
      <c r="AQ133" s="10" t="n">
        <f aca="false">Helpers!AQ8</f>
        <v>0</v>
      </c>
      <c r="AR133" s="10" t="n">
        <f aca="false">Helpers!AR8</f>
        <v>0</v>
      </c>
      <c r="AS133" s="10" t="n">
        <f aca="false">Helpers!AS8</f>
        <v>0</v>
      </c>
      <c r="AT133" s="10" t="n">
        <f aca="false">Helpers!AT8</f>
        <v>0</v>
      </c>
      <c r="AU133" s="10" t="n">
        <f aca="false">Helpers!AU8</f>
        <v>0</v>
      </c>
      <c r="AV133" s="10" t="n">
        <f aca="false">Helpers!AV8</f>
        <v>0</v>
      </c>
      <c r="AW133" s="10" t="n">
        <f aca="false">Helpers!AW8</f>
        <v>0</v>
      </c>
      <c r="AX133" s="10" t="n">
        <f aca="false">Helpers!AX8</f>
        <v>0</v>
      </c>
      <c r="AY133" s="10" t="n">
        <f aca="false">Helpers!AY8</f>
        <v>0</v>
      </c>
      <c r="AZ133" s="10" t="n">
        <f aca="false">Helpers!AZ8</f>
        <v>0</v>
      </c>
      <c r="BA133" s="10" t="n">
        <f aca="false">Helpers!BA8</f>
        <v>0</v>
      </c>
      <c r="BB133" s="10" t="n">
        <f aca="false">Helpers!BB8</f>
        <v>0</v>
      </c>
      <c r="BC133" s="10" t="n">
        <f aca="false">Helpers!BC8</f>
        <v>0</v>
      </c>
      <c r="BD133" s="10" t="n">
        <f aca="false">Helpers!BD8</f>
        <v>0</v>
      </c>
      <c r="BE133" s="10" t="n">
        <f aca="false">Helpers!BE8</f>
        <v>0</v>
      </c>
      <c r="BF133" s="10" t="n">
        <f aca="false">Helpers!BF8</f>
        <v>0</v>
      </c>
      <c r="BG133" s="10" t="n">
        <f aca="false">Helpers!BG8</f>
        <v>0</v>
      </c>
      <c r="BH133" s="10" t="n">
        <f aca="false">Helpers!BH8</f>
        <v>0</v>
      </c>
      <c r="BI133" s="10" t="n">
        <f aca="false">Helpers!BI8</f>
        <v>0</v>
      </c>
      <c r="BJ133" s="10" t="n">
        <f aca="false">Helpers!BJ8</f>
        <v>0</v>
      </c>
      <c r="BK133" s="10" t="n">
        <f aca="false">Helpers!BK8</f>
        <v>0</v>
      </c>
      <c r="BL133" s="10" t="n">
        <f aca="false">Helpers!BL8</f>
        <v>0</v>
      </c>
      <c r="BM133" s="10" t="n">
        <f aca="false">Helpers!BM8</f>
        <v>0</v>
      </c>
      <c r="BN133" s="10" t="n">
        <f aca="false">Helpers!BN8</f>
        <v>0</v>
      </c>
      <c r="BO133" s="10" t="n">
        <f aca="false">Helpers!BO8</f>
        <v>0</v>
      </c>
      <c r="BP133" s="10" t="n">
        <f aca="false">Helpers!BP8</f>
        <v>0</v>
      </c>
      <c r="BQ133" s="10" t="n">
        <f aca="false">Helpers!BQ8</f>
        <v>0</v>
      </c>
      <c r="BR133" s="10" t="n">
        <f aca="false">Helpers!BR8</f>
        <v>0</v>
      </c>
      <c r="BS133" s="10" t="n">
        <f aca="false">Helpers!BS8</f>
        <v>0</v>
      </c>
      <c r="BT133" s="10" t="n">
        <f aca="false">Helpers!BT8</f>
        <v>0</v>
      </c>
      <c r="BU133" s="10" t="n">
        <f aca="false">Helpers!BU8</f>
        <v>0</v>
      </c>
      <c r="BV133" s="10" t="n">
        <f aca="false">Helpers!BV8</f>
        <v>0</v>
      </c>
      <c r="BW133" s="10" t="n">
        <f aca="false">Helpers!BW8</f>
        <v>0</v>
      </c>
      <c r="BX133" s="10" t="n">
        <f aca="false">Helpers!BX8</f>
        <v>0</v>
      </c>
      <c r="BY133" s="10" t="n">
        <f aca="false">Helpers!BY8</f>
        <v>0</v>
      </c>
      <c r="BZ133" s="10" t="n">
        <f aca="false">Helpers!BZ8</f>
        <v>0</v>
      </c>
      <c r="CA133" s="10" t="n">
        <f aca="false">Helpers!CA8</f>
        <v>0</v>
      </c>
      <c r="CB133" s="10" t="n">
        <f aca="false">Helpers!CB8</f>
        <v>0</v>
      </c>
      <c r="CC133" s="10" t="n">
        <f aca="false">Helpers!CC8</f>
        <v>0</v>
      </c>
      <c r="CD133" s="10" t="n">
        <f aca="false">Helpers!CD8</f>
        <v>0</v>
      </c>
      <c r="CE133" s="10" t="n">
        <f aca="false">Helpers!CE8</f>
        <v>0</v>
      </c>
      <c r="CF133" s="10" t="n">
        <f aca="false">Helpers!CF8</f>
        <v>0</v>
      </c>
      <c r="CG133" s="10" t="n">
        <f aca="false">Helpers!CG8</f>
        <v>0</v>
      </c>
      <c r="CH133" s="10" t="n">
        <f aca="false">Helpers!CH8</f>
        <v>0</v>
      </c>
      <c r="CI133" s="25"/>
      <c r="CJ133" s="54"/>
      <c r="CK133" s="54"/>
    </row>
    <row r="134" customFormat="false" ht="15" hidden="false" customHeight="true" outlineLevel="0" collapsed="false">
      <c r="A134" s="9" t="s">
        <v>158</v>
      </c>
      <c r="B134" s="24"/>
      <c r="C134" s="10" t="n">
        <f aca="false">Helpers!C9</f>
        <v>12652545.5176246</v>
      </c>
      <c r="D134" s="10" t="n">
        <f aca="false">Helpers!D9</f>
        <v>11713055.2239655</v>
      </c>
      <c r="E134" s="10" t="n">
        <f aca="false">Helpers!E9</f>
        <v>10688095.0210265</v>
      </c>
      <c r="F134" s="10" t="n">
        <f aca="false">Helpers!F9</f>
        <v>9597363.23692953</v>
      </c>
      <c r="G134" s="10" t="n">
        <f aca="false">Helpers!G9</f>
        <v>8465151.3195754</v>
      </c>
      <c r="H134" s="10" t="n">
        <f aca="false">Helpers!H9</f>
        <v>7318765.44496671</v>
      </c>
      <c r="I134" s="10" t="n">
        <f aca="false">Helpers!I9</f>
        <v>6186553.52761257</v>
      </c>
      <c r="J134" s="10" t="n">
        <f aca="false">Helpers!J9</f>
        <v>5095821.74351565</v>
      </c>
      <c r="K134" s="10" t="n">
        <f aca="false">Helpers!K9</f>
        <v>4070861.54057658</v>
      </c>
      <c r="L134" s="10" t="n">
        <f aca="false">Helpers!L9</f>
        <v>3131371.24691751</v>
      </c>
      <c r="M134" s="10" t="n">
        <f aca="false">Helpers!M9</f>
        <v>2291382.76454211</v>
      </c>
      <c r="N134" s="10" t="n">
        <f aca="false">Helpers!N9</f>
        <v>1558819.61966618</v>
      </c>
      <c r="O134" s="10" t="n">
        <f aca="false">Helpers!O9</f>
        <v>935639.017968525</v>
      </c>
      <c r="P134" s="10" t="n">
        <f aca="false">Helpers!P9</f>
        <v>418542.120845361</v>
      </c>
      <c r="Q134" s="10" t="n">
        <f aca="false">Helpers!Q9</f>
        <v>0</v>
      </c>
      <c r="R134" s="10" t="n">
        <f aca="false">Helpers!R9</f>
        <v>0</v>
      </c>
      <c r="S134" s="10" t="n">
        <f aca="false">Helpers!S9</f>
        <v>0</v>
      </c>
      <c r="T134" s="10" t="n">
        <f aca="false">Helpers!T9</f>
        <v>0</v>
      </c>
      <c r="U134" s="10" t="n">
        <f aca="false">Helpers!U9</f>
        <v>0</v>
      </c>
      <c r="V134" s="10" t="n">
        <f aca="false">Helpers!V9</f>
        <v>0</v>
      </c>
      <c r="W134" s="10" t="n">
        <f aca="false">Helpers!W9</f>
        <v>0</v>
      </c>
      <c r="X134" s="10" t="n">
        <f aca="false">Helpers!X9</f>
        <v>0</v>
      </c>
      <c r="Y134" s="10" t="n">
        <f aca="false">Helpers!Y9</f>
        <v>0</v>
      </c>
      <c r="Z134" s="10" t="n">
        <f aca="false">Helpers!Z9</f>
        <v>0</v>
      </c>
      <c r="AA134" s="10" t="n">
        <f aca="false">Helpers!AA9</f>
        <v>0</v>
      </c>
      <c r="AB134" s="10" t="n">
        <f aca="false">Helpers!AB9</f>
        <v>0</v>
      </c>
      <c r="AC134" s="10" t="n">
        <f aca="false">Helpers!AC9</f>
        <v>0</v>
      </c>
      <c r="AD134" s="10" t="n">
        <f aca="false">Helpers!AD9</f>
        <v>0</v>
      </c>
      <c r="AE134" s="10" t="n">
        <f aca="false">Helpers!AE9</f>
        <v>0</v>
      </c>
      <c r="AF134" s="10" t="n">
        <f aca="false">Helpers!AF9</f>
        <v>0</v>
      </c>
      <c r="AG134" s="10" t="n">
        <f aca="false">Helpers!AG9</f>
        <v>0</v>
      </c>
      <c r="AH134" s="10" t="n">
        <f aca="false">Helpers!AH9</f>
        <v>0</v>
      </c>
      <c r="AI134" s="10" t="n">
        <f aca="false">Helpers!AI9</f>
        <v>0</v>
      </c>
      <c r="AJ134" s="10" t="n">
        <f aca="false">Helpers!AJ9</f>
        <v>0</v>
      </c>
      <c r="AK134" s="10" t="n">
        <f aca="false">Helpers!AK9</f>
        <v>0</v>
      </c>
      <c r="AL134" s="10" t="n">
        <f aca="false">Helpers!AL9</f>
        <v>0</v>
      </c>
      <c r="AM134" s="10" t="n">
        <f aca="false">Helpers!AM9</f>
        <v>0</v>
      </c>
      <c r="AN134" s="10" t="n">
        <f aca="false">Helpers!AN9</f>
        <v>0</v>
      </c>
      <c r="AO134" s="10" t="n">
        <f aca="false">Helpers!AO9</f>
        <v>0</v>
      </c>
      <c r="AP134" s="10" t="n">
        <f aca="false">Helpers!AP9</f>
        <v>0</v>
      </c>
      <c r="AQ134" s="10" t="n">
        <f aca="false">Helpers!AQ9</f>
        <v>0</v>
      </c>
      <c r="AR134" s="10" t="n">
        <f aca="false">Helpers!AR9</f>
        <v>0</v>
      </c>
      <c r="AS134" s="10" t="n">
        <f aca="false">Helpers!AS9</f>
        <v>0</v>
      </c>
      <c r="AT134" s="10" t="n">
        <f aca="false">Helpers!AT9</f>
        <v>0</v>
      </c>
      <c r="AU134" s="10" t="n">
        <f aca="false">Helpers!AU9</f>
        <v>0</v>
      </c>
      <c r="AV134" s="10" t="n">
        <f aca="false">Helpers!AV9</f>
        <v>0</v>
      </c>
      <c r="AW134" s="10" t="n">
        <f aca="false">Helpers!AW9</f>
        <v>0</v>
      </c>
      <c r="AX134" s="10" t="n">
        <f aca="false">Helpers!AX9</f>
        <v>0</v>
      </c>
      <c r="AY134" s="10" t="n">
        <f aca="false">Helpers!AY9</f>
        <v>0</v>
      </c>
      <c r="AZ134" s="10" t="n">
        <f aca="false">Helpers!AZ9</f>
        <v>0</v>
      </c>
      <c r="BA134" s="10" t="n">
        <f aca="false">Helpers!BA9</f>
        <v>0</v>
      </c>
      <c r="BB134" s="10" t="n">
        <f aca="false">Helpers!BB9</f>
        <v>0</v>
      </c>
      <c r="BC134" s="10" t="n">
        <f aca="false">Helpers!BC9</f>
        <v>0</v>
      </c>
      <c r="BD134" s="10" t="n">
        <f aca="false">Helpers!BD9</f>
        <v>0</v>
      </c>
      <c r="BE134" s="10" t="n">
        <f aca="false">Helpers!BE9</f>
        <v>0</v>
      </c>
      <c r="BF134" s="10" t="n">
        <f aca="false">Helpers!BF9</f>
        <v>0</v>
      </c>
      <c r="BG134" s="10" t="n">
        <f aca="false">Helpers!BG9</f>
        <v>0</v>
      </c>
      <c r="BH134" s="10" t="n">
        <f aca="false">Helpers!BH9</f>
        <v>0</v>
      </c>
      <c r="BI134" s="10" t="n">
        <f aca="false">Helpers!BI9</f>
        <v>0</v>
      </c>
      <c r="BJ134" s="10" t="n">
        <f aca="false">Helpers!BJ9</f>
        <v>0</v>
      </c>
      <c r="BK134" s="10" t="n">
        <f aca="false">Helpers!BK9</f>
        <v>0</v>
      </c>
      <c r="BL134" s="10" t="n">
        <f aca="false">Helpers!BL9</f>
        <v>0</v>
      </c>
      <c r="BM134" s="10" t="n">
        <f aca="false">Helpers!BM9</f>
        <v>0</v>
      </c>
      <c r="BN134" s="10" t="n">
        <f aca="false">Helpers!BN9</f>
        <v>0</v>
      </c>
      <c r="BO134" s="10" t="n">
        <f aca="false">Helpers!BO9</f>
        <v>0</v>
      </c>
      <c r="BP134" s="10" t="n">
        <f aca="false">Helpers!BP9</f>
        <v>0</v>
      </c>
      <c r="BQ134" s="10" t="n">
        <f aca="false">Helpers!BQ9</f>
        <v>0</v>
      </c>
      <c r="BR134" s="10" t="n">
        <f aca="false">Helpers!BR9</f>
        <v>0</v>
      </c>
      <c r="BS134" s="10" t="n">
        <f aca="false">Helpers!BS9</f>
        <v>0</v>
      </c>
      <c r="BT134" s="10" t="n">
        <f aca="false">Helpers!BT9</f>
        <v>0</v>
      </c>
      <c r="BU134" s="10" t="n">
        <f aca="false">Helpers!BU9</f>
        <v>0</v>
      </c>
      <c r="BV134" s="10" t="n">
        <f aca="false">Helpers!BV9</f>
        <v>0</v>
      </c>
      <c r="BW134" s="10" t="n">
        <f aca="false">Helpers!BW9</f>
        <v>0</v>
      </c>
      <c r="BX134" s="10" t="n">
        <f aca="false">Helpers!BX9</f>
        <v>0</v>
      </c>
      <c r="BY134" s="10" t="n">
        <f aca="false">Helpers!BY9</f>
        <v>0</v>
      </c>
      <c r="BZ134" s="10" t="n">
        <f aca="false">Helpers!BZ9</f>
        <v>0</v>
      </c>
      <c r="CA134" s="10" t="n">
        <f aca="false">Helpers!CA9</f>
        <v>0</v>
      </c>
      <c r="CB134" s="10" t="n">
        <f aca="false">Helpers!CB9</f>
        <v>0</v>
      </c>
      <c r="CC134" s="10" t="n">
        <f aca="false">Helpers!CC9</f>
        <v>0</v>
      </c>
      <c r="CD134" s="10" t="n">
        <f aca="false">Helpers!CD9</f>
        <v>0</v>
      </c>
      <c r="CE134" s="10" t="n">
        <f aca="false">Helpers!CE9</f>
        <v>0</v>
      </c>
      <c r="CF134" s="10" t="n">
        <f aca="false">Helpers!CF9</f>
        <v>0</v>
      </c>
      <c r="CG134" s="10" t="n">
        <f aca="false">Helpers!CG9</f>
        <v>0</v>
      </c>
      <c r="CH134" s="10" t="n">
        <f aca="false">Helpers!CH9</f>
        <v>0</v>
      </c>
      <c r="CI134" s="25"/>
      <c r="CJ134" s="55"/>
      <c r="CK134" s="55"/>
    </row>
    <row r="135" customFormat="false" ht="15" hidden="false" customHeight="true" outlineLevel="0" collapsed="false">
      <c r="A135" s="9" t="s">
        <v>49</v>
      </c>
      <c r="B135" s="24"/>
      <c r="C135" s="10" t="n">
        <f aca="false">Helpers!C10</f>
        <v>0</v>
      </c>
      <c r="D135" s="10" t="n">
        <f aca="false">Helpers!D10</f>
        <v>0</v>
      </c>
      <c r="E135" s="10" t="n">
        <f aca="false">Helpers!E10</f>
        <v>0</v>
      </c>
      <c r="F135" s="10" t="n">
        <f aca="false">Helpers!F10</f>
        <v>42087723.721344</v>
      </c>
      <c r="G135" s="10" t="n">
        <f aca="false">Helpers!G10</f>
        <v>41042043.570816</v>
      </c>
      <c r="H135" s="10" t="n">
        <f aca="false">Helpers!H10</f>
        <v>39819806.067456</v>
      </c>
      <c r="I135" s="10" t="n">
        <f aca="false">Helpers!I10</f>
        <v>38413233.922176</v>
      </c>
      <c r="J135" s="10" t="n">
        <f aca="false">Helpers!J10</f>
        <v>36819663.0912</v>
      </c>
      <c r="K135" s="10" t="n">
        <f aca="false">Helpers!K10</f>
        <v>35042144.334336</v>
      </c>
      <c r="L135" s="10" t="n">
        <f aca="false">Helpers!L10</f>
        <v>33090173.678592</v>
      </c>
      <c r="M135" s="10" t="n">
        <f aca="false">Helpers!M10</f>
        <v>30979821.32352</v>
      </c>
      <c r="N135" s="10" t="n">
        <f aca="false">Helpers!N10</f>
        <v>28733516.798976</v>
      </c>
      <c r="O135" s="10" t="n">
        <f aca="false">Helpers!O10</f>
        <v>26379576.312192</v>
      </c>
      <c r="P135" s="10" t="n">
        <f aca="false">Helpers!P10</f>
        <v>23950999.631232</v>
      </c>
      <c r="Q135" s="10" t="n">
        <f aca="false">Helpers!Q10</f>
        <v>21484224</v>
      </c>
      <c r="R135" s="10" t="n">
        <f aca="false">Helpers!R10</f>
        <v>19017448.368768</v>
      </c>
      <c r="S135" s="10" t="n">
        <f aca="false">Helpers!S10</f>
        <v>16588871.687808</v>
      </c>
      <c r="T135" s="10" t="n">
        <f aca="false">Helpers!T10</f>
        <v>14234931.201024</v>
      </c>
      <c r="U135" s="10" t="n">
        <f aca="false">Helpers!U10</f>
        <v>11988626.67648</v>
      </c>
      <c r="V135" s="10" t="n">
        <f aca="false">Helpers!V10</f>
        <v>9878274.321408</v>
      </c>
      <c r="W135" s="10" t="n">
        <f aca="false">Helpers!W10</f>
        <v>7926303.665664</v>
      </c>
      <c r="X135" s="10" t="n">
        <f aca="false">Helpers!X10</f>
        <v>6148784.9088</v>
      </c>
      <c r="Y135" s="10" t="n">
        <f aca="false">Helpers!Y10</f>
        <v>4555214.077824</v>
      </c>
      <c r="Z135" s="10" t="n">
        <f aca="false">Helpers!Z10</f>
        <v>3148641.932544</v>
      </c>
      <c r="AA135" s="10" t="n">
        <f aca="false">Helpers!AA10</f>
        <v>1926404.429184</v>
      </c>
      <c r="AB135" s="10" t="n">
        <f aca="false">Helpers!AB10</f>
        <v>880724.278656</v>
      </c>
      <c r="AC135" s="10" t="n">
        <f aca="false">Helpers!AC10</f>
        <v>0</v>
      </c>
      <c r="AD135" s="10" t="n">
        <f aca="false">Helpers!AD10</f>
        <v>0</v>
      </c>
      <c r="AE135" s="10" t="n">
        <f aca="false">Helpers!AE10</f>
        <v>0</v>
      </c>
      <c r="AF135" s="10" t="n">
        <f aca="false">Helpers!AF10</f>
        <v>0</v>
      </c>
      <c r="AG135" s="10" t="n">
        <f aca="false">Helpers!AG10</f>
        <v>0</v>
      </c>
      <c r="AH135" s="10" t="n">
        <f aca="false">Helpers!AH10</f>
        <v>0</v>
      </c>
      <c r="AI135" s="10" t="n">
        <f aca="false">Helpers!AI10</f>
        <v>0</v>
      </c>
      <c r="AJ135" s="10" t="n">
        <f aca="false">Helpers!AJ10</f>
        <v>0</v>
      </c>
      <c r="AK135" s="10" t="n">
        <f aca="false">Helpers!AK10</f>
        <v>0</v>
      </c>
      <c r="AL135" s="10" t="n">
        <f aca="false">Helpers!AL10</f>
        <v>0</v>
      </c>
      <c r="AM135" s="10" t="n">
        <f aca="false">Helpers!AM10</f>
        <v>0</v>
      </c>
      <c r="AN135" s="10" t="n">
        <f aca="false">Helpers!AN10</f>
        <v>0</v>
      </c>
      <c r="AO135" s="10" t="n">
        <f aca="false">Helpers!AO10</f>
        <v>0</v>
      </c>
      <c r="AP135" s="10" t="n">
        <f aca="false">Helpers!AP10</f>
        <v>0</v>
      </c>
      <c r="AQ135" s="10" t="n">
        <f aca="false">Helpers!AQ10</f>
        <v>0</v>
      </c>
      <c r="AR135" s="10" t="n">
        <f aca="false">Helpers!AR10</f>
        <v>0</v>
      </c>
      <c r="AS135" s="10" t="n">
        <f aca="false">Helpers!AS10</f>
        <v>0</v>
      </c>
      <c r="AT135" s="10" t="n">
        <f aca="false">Helpers!AT10</f>
        <v>0</v>
      </c>
      <c r="AU135" s="10" t="n">
        <f aca="false">Helpers!AU10</f>
        <v>0</v>
      </c>
      <c r="AV135" s="10" t="n">
        <f aca="false">Helpers!AV10</f>
        <v>0</v>
      </c>
      <c r="AW135" s="10" t="n">
        <f aca="false">Helpers!AW10</f>
        <v>0</v>
      </c>
      <c r="AX135" s="10" t="n">
        <f aca="false">Helpers!AX10</f>
        <v>0</v>
      </c>
      <c r="AY135" s="10" t="n">
        <f aca="false">Helpers!AY10</f>
        <v>0</v>
      </c>
      <c r="AZ135" s="10" t="n">
        <f aca="false">Helpers!AZ10</f>
        <v>0</v>
      </c>
      <c r="BA135" s="10" t="n">
        <f aca="false">Helpers!BA10</f>
        <v>0</v>
      </c>
      <c r="BB135" s="10" t="n">
        <f aca="false">Helpers!BB10</f>
        <v>0</v>
      </c>
      <c r="BC135" s="10" t="n">
        <f aca="false">Helpers!BC10</f>
        <v>0</v>
      </c>
      <c r="BD135" s="10" t="n">
        <f aca="false">Helpers!BD10</f>
        <v>0</v>
      </c>
      <c r="BE135" s="10" t="n">
        <f aca="false">Helpers!BE10</f>
        <v>0</v>
      </c>
      <c r="BF135" s="10" t="n">
        <f aca="false">Helpers!BF10</f>
        <v>0</v>
      </c>
      <c r="BG135" s="10" t="n">
        <f aca="false">Helpers!BG10</f>
        <v>0</v>
      </c>
      <c r="BH135" s="10" t="n">
        <f aca="false">Helpers!BH10</f>
        <v>0</v>
      </c>
      <c r="BI135" s="10" t="n">
        <f aca="false">Helpers!BI10</f>
        <v>0</v>
      </c>
      <c r="BJ135" s="10" t="n">
        <f aca="false">Helpers!BJ10</f>
        <v>0</v>
      </c>
      <c r="BK135" s="10" t="n">
        <f aca="false">Helpers!BK10</f>
        <v>0</v>
      </c>
      <c r="BL135" s="10" t="n">
        <f aca="false">Helpers!BL10</f>
        <v>0</v>
      </c>
      <c r="BM135" s="10" t="n">
        <f aca="false">Helpers!BM10</f>
        <v>0</v>
      </c>
      <c r="BN135" s="10" t="n">
        <f aca="false">Helpers!BN10</f>
        <v>0</v>
      </c>
      <c r="BO135" s="10" t="n">
        <f aca="false">Helpers!BO10</f>
        <v>0</v>
      </c>
      <c r="BP135" s="10" t="n">
        <f aca="false">Helpers!BP10</f>
        <v>0</v>
      </c>
      <c r="BQ135" s="10" t="n">
        <f aca="false">Helpers!BQ10</f>
        <v>0</v>
      </c>
      <c r="BR135" s="10" t="n">
        <f aca="false">Helpers!BR10</f>
        <v>0</v>
      </c>
      <c r="BS135" s="10" t="n">
        <f aca="false">Helpers!BS10</f>
        <v>0</v>
      </c>
      <c r="BT135" s="10" t="n">
        <f aca="false">Helpers!BT10</f>
        <v>0</v>
      </c>
      <c r="BU135" s="10" t="n">
        <f aca="false">Helpers!BU10</f>
        <v>0</v>
      </c>
      <c r="BV135" s="10" t="n">
        <f aca="false">Helpers!BV10</f>
        <v>0</v>
      </c>
      <c r="BW135" s="10" t="n">
        <f aca="false">Helpers!BW10</f>
        <v>0</v>
      </c>
      <c r="BX135" s="10" t="n">
        <f aca="false">Helpers!BX10</f>
        <v>0</v>
      </c>
      <c r="BY135" s="10" t="n">
        <f aca="false">Helpers!BY10</f>
        <v>0</v>
      </c>
      <c r="BZ135" s="10" t="n">
        <f aca="false">Helpers!BZ10</f>
        <v>0</v>
      </c>
      <c r="CA135" s="10" t="n">
        <f aca="false">Helpers!CA10</f>
        <v>0</v>
      </c>
      <c r="CB135" s="10" t="n">
        <f aca="false">Helpers!CB10</f>
        <v>0</v>
      </c>
      <c r="CC135" s="10" t="n">
        <f aca="false">Helpers!CC10</f>
        <v>0</v>
      </c>
      <c r="CD135" s="10" t="n">
        <f aca="false">Helpers!CD10</f>
        <v>0</v>
      </c>
      <c r="CE135" s="10" t="n">
        <f aca="false">Helpers!CE10</f>
        <v>0</v>
      </c>
      <c r="CF135" s="10" t="n">
        <f aca="false">Helpers!CF10</f>
        <v>0</v>
      </c>
      <c r="CG135" s="10" t="n">
        <f aca="false">Helpers!CG10</f>
        <v>0</v>
      </c>
      <c r="CH135" s="10" t="n">
        <f aca="false">Helpers!CH10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Helpers!C11</f>
        <v>0</v>
      </c>
      <c r="D136" s="10" t="n">
        <f aca="false">Helpers!D11</f>
        <v>0</v>
      </c>
      <c r="E136" s="10" t="n">
        <f aca="false">Helpers!E11</f>
        <v>0</v>
      </c>
      <c r="F136" s="10" t="n">
        <f aca="false">Helpers!F11</f>
        <v>0</v>
      </c>
      <c r="G136" s="10" t="n">
        <f aca="false">Helpers!G11</f>
        <v>0</v>
      </c>
      <c r="H136" s="10" t="n">
        <f aca="false">Helpers!H11</f>
        <v>0</v>
      </c>
      <c r="I136" s="10" t="n">
        <f aca="false">Helpers!I11</f>
        <v>13264457.403876</v>
      </c>
      <c r="J136" s="10" t="n">
        <f aca="false">Helpers!J11</f>
        <v>12818063.487384</v>
      </c>
      <c r="K136" s="10" t="n">
        <f aca="false">Helpers!K11</f>
        <v>12280090.75728</v>
      </c>
      <c r="L136" s="10" t="n">
        <f aca="false">Helpers!L11</f>
        <v>11647691.427216</v>
      </c>
      <c r="M136" s="10" t="n">
        <f aca="false">Helpers!M11</f>
        <v>10922555.09292</v>
      </c>
      <c r="N136" s="10" t="n">
        <f aca="false">Helpers!N11</f>
        <v>10111521.891936</v>
      </c>
      <c r="O136" s="10" t="n">
        <f aca="false">Helpers!O11</f>
        <v>9226705.135572</v>
      </c>
      <c r="P136" s="10" t="n">
        <f aca="false">Helpers!P11</f>
        <v>8285109.787284</v>
      </c>
      <c r="Q136" s="10" t="n">
        <f aca="false">Helpers!Q11</f>
        <v>7307705.91018</v>
      </c>
      <c r="R136" s="10" t="n">
        <f aca="false">Helpers!R11</f>
        <v>6318066.08982</v>
      </c>
      <c r="S136" s="10" t="n">
        <f aca="false">Helpers!S11</f>
        <v>5340662.212716</v>
      </c>
      <c r="T136" s="10" t="n">
        <f aca="false">Helpers!T11</f>
        <v>4399066.864428</v>
      </c>
      <c r="U136" s="10" t="n">
        <f aca="false">Helpers!U11</f>
        <v>3514250.108064</v>
      </c>
      <c r="V136" s="10" t="n">
        <f aca="false">Helpers!V11</f>
        <v>2703216.90708</v>
      </c>
      <c r="W136" s="10" t="n">
        <f aca="false">Helpers!W11</f>
        <v>1978080.572784</v>
      </c>
      <c r="X136" s="10" t="n">
        <f aca="false">Helpers!X11</f>
        <v>1345681.24272</v>
      </c>
      <c r="Y136" s="10" t="n">
        <f aca="false">Helpers!Y11</f>
        <v>807708.512615999</v>
      </c>
      <c r="Z136" s="10" t="n">
        <f aca="false">Helpers!Z11</f>
        <v>361314.596124</v>
      </c>
      <c r="AA136" s="10" t="n">
        <f aca="false">Helpers!AA11</f>
        <v>0</v>
      </c>
      <c r="AB136" s="10" t="n">
        <f aca="false">Helpers!AB11</f>
        <v>0</v>
      </c>
      <c r="AC136" s="10" t="n">
        <f aca="false">Helpers!AC11</f>
        <v>0</v>
      </c>
      <c r="AD136" s="10" t="n">
        <f aca="false">Helpers!AD11</f>
        <v>0</v>
      </c>
      <c r="AE136" s="10" t="n">
        <f aca="false">Helpers!AE11</f>
        <v>0</v>
      </c>
      <c r="AF136" s="10" t="n">
        <f aca="false">Helpers!AF11</f>
        <v>0</v>
      </c>
      <c r="AG136" s="10" t="n">
        <f aca="false">Helpers!AG11</f>
        <v>0</v>
      </c>
      <c r="AH136" s="10" t="n">
        <f aca="false">Helpers!AH11</f>
        <v>0</v>
      </c>
      <c r="AI136" s="10" t="n">
        <f aca="false">Helpers!AI11</f>
        <v>0</v>
      </c>
      <c r="AJ136" s="10" t="n">
        <f aca="false">Helpers!AJ11</f>
        <v>0</v>
      </c>
      <c r="AK136" s="10" t="n">
        <f aca="false">Helpers!AK11</f>
        <v>0</v>
      </c>
      <c r="AL136" s="10" t="n">
        <f aca="false">Helpers!AL11</f>
        <v>0</v>
      </c>
      <c r="AM136" s="10" t="n">
        <f aca="false">Helpers!AM11</f>
        <v>0</v>
      </c>
      <c r="AN136" s="10" t="n">
        <f aca="false">Helpers!AN11</f>
        <v>0</v>
      </c>
      <c r="AO136" s="10" t="n">
        <f aca="false">Helpers!AO11</f>
        <v>0</v>
      </c>
      <c r="AP136" s="10" t="n">
        <f aca="false">Helpers!AP11</f>
        <v>0</v>
      </c>
      <c r="AQ136" s="10" t="n">
        <f aca="false">Helpers!AQ11</f>
        <v>0</v>
      </c>
      <c r="AR136" s="10" t="n">
        <f aca="false">Helpers!AR11</f>
        <v>0</v>
      </c>
      <c r="AS136" s="10" t="n">
        <f aca="false">Helpers!AS11</f>
        <v>0</v>
      </c>
      <c r="AT136" s="10" t="n">
        <f aca="false">Helpers!AT11</f>
        <v>0</v>
      </c>
      <c r="AU136" s="10" t="n">
        <f aca="false">Helpers!AU11</f>
        <v>0</v>
      </c>
      <c r="AV136" s="10" t="n">
        <f aca="false">Helpers!AV11</f>
        <v>0</v>
      </c>
      <c r="AW136" s="10" t="n">
        <f aca="false">Helpers!AW11</f>
        <v>0</v>
      </c>
      <c r="AX136" s="10" t="n">
        <f aca="false">Helpers!AX11</f>
        <v>0</v>
      </c>
      <c r="AY136" s="10" t="n">
        <f aca="false">Helpers!AY11</f>
        <v>0</v>
      </c>
      <c r="AZ136" s="10" t="n">
        <f aca="false">Helpers!AZ11</f>
        <v>0</v>
      </c>
      <c r="BA136" s="10" t="n">
        <f aca="false">Helpers!BA11</f>
        <v>0</v>
      </c>
      <c r="BB136" s="10" t="n">
        <f aca="false">Helpers!BB11</f>
        <v>0</v>
      </c>
      <c r="BC136" s="10" t="n">
        <f aca="false">Helpers!BC11</f>
        <v>0</v>
      </c>
      <c r="BD136" s="10" t="n">
        <f aca="false">Helpers!BD11</f>
        <v>0</v>
      </c>
      <c r="BE136" s="10" t="n">
        <f aca="false">Helpers!BE11</f>
        <v>0</v>
      </c>
      <c r="BF136" s="10" t="n">
        <f aca="false">Helpers!BF11</f>
        <v>0</v>
      </c>
      <c r="BG136" s="10" t="n">
        <f aca="false">Helpers!BG11</f>
        <v>0</v>
      </c>
      <c r="BH136" s="10" t="n">
        <f aca="false">Helpers!BH11</f>
        <v>0</v>
      </c>
      <c r="BI136" s="10" t="n">
        <f aca="false">Helpers!BI11</f>
        <v>0</v>
      </c>
      <c r="BJ136" s="10" t="n">
        <f aca="false">Helpers!BJ11</f>
        <v>0</v>
      </c>
      <c r="BK136" s="10" t="n">
        <f aca="false">Helpers!BK11</f>
        <v>0</v>
      </c>
      <c r="BL136" s="10" t="n">
        <f aca="false">Helpers!BL11</f>
        <v>0</v>
      </c>
      <c r="BM136" s="10" t="n">
        <f aca="false">Helpers!BM11</f>
        <v>0</v>
      </c>
      <c r="BN136" s="10" t="n">
        <f aca="false">Helpers!BN11</f>
        <v>0</v>
      </c>
      <c r="BO136" s="10" t="n">
        <f aca="false">Helpers!BO11</f>
        <v>0</v>
      </c>
      <c r="BP136" s="10" t="n">
        <f aca="false">Helpers!BP11</f>
        <v>0</v>
      </c>
      <c r="BQ136" s="10" t="n">
        <f aca="false">Helpers!BQ11</f>
        <v>0</v>
      </c>
      <c r="BR136" s="10" t="n">
        <f aca="false">Helpers!BR11</f>
        <v>0</v>
      </c>
      <c r="BS136" s="10" t="n">
        <f aca="false">Helpers!BS11</f>
        <v>0</v>
      </c>
      <c r="BT136" s="10" t="n">
        <f aca="false">Helpers!BT11</f>
        <v>0</v>
      </c>
      <c r="BU136" s="10" t="n">
        <f aca="false">Helpers!BU11</f>
        <v>0</v>
      </c>
      <c r="BV136" s="10" t="n">
        <f aca="false">Helpers!BV11</f>
        <v>0</v>
      </c>
      <c r="BW136" s="10" t="n">
        <f aca="false">Helpers!BW11</f>
        <v>0</v>
      </c>
      <c r="BX136" s="10" t="n">
        <f aca="false">Helpers!BX11</f>
        <v>0</v>
      </c>
      <c r="BY136" s="10" t="n">
        <f aca="false">Helpers!BY11</f>
        <v>0</v>
      </c>
      <c r="BZ136" s="10" t="n">
        <f aca="false">Helpers!BZ11</f>
        <v>0</v>
      </c>
      <c r="CA136" s="10" t="n">
        <f aca="false">Helpers!CA11</f>
        <v>0</v>
      </c>
      <c r="CB136" s="10" t="n">
        <f aca="false">Helpers!CB11</f>
        <v>0</v>
      </c>
      <c r="CC136" s="10" t="n">
        <f aca="false">Helpers!CC11</f>
        <v>0</v>
      </c>
      <c r="CD136" s="10" t="n">
        <f aca="false">Helpers!CD11</f>
        <v>0</v>
      </c>
      <c r="CE136" s="10" t="n">
        <f aca="false">Helpers!CE11</f>
        <v>0</v>
      </c>
      <c r="CF136" s="10" t="n">
        <f aca="false">Helpers!CF11</f>
        <v>0</v>
      </c>
      <c r="CG136" s="10" t="n">
        <f aca="false">Helpers!CG11</f>
        <v>0</v>
      </c>
      <c r="CH136" s="10" t="n">
        <f aca="false">Helpers!CH11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160</v>
      </c>
      <c r="B137" s="24"/>
      <c r="C137" s="10" t="n">
        <f aca="false">Helpers!C12</f>
        <v>0</v>
      </c>
      <c r="D137" s="10" t="n">
        <f aca="false">Helpers!D12</f>
        <v>0</v>
      </c>
      <c r="E137" s="10" t="n">
        <f aca="false">Helpers!E12</f>
        <v>0</v>
      </c>
      <c r="F137" s="10" t="n">
        <f aca="false">Helpers!F12</f>
        <v>0</v>
      </c>
      <c r="G137" s="10" t="n">
        <f aca="false">Helpers!G12</f>
        <v>0</v>
      </c>
      <c r="H137" s="10" t="n">
        <f aca="false">Helpers!H12</f>
        <v>0</v>
      </c>
      <c r="I137" s="10" t="n">
        <f aca="false">Helpers!I12</f>
        <v>15589764.538817</v>
      </c>
      <c r="J137" s="10" t="n">
        <f aca="false">Helpers!J12</f>
        <v>15296348.995423</v>
      </c>
      <c r="K137" s="10" t="n">
        <f aca="false">Helpers!K12</f>
        <v>14962227.947602</v>
      </c>
      <c r="L137" s="10" t="n">
        <f aca="false">Helpers!L12</f>
        <v>14585547.544043</v>
      </c>
      <c r="M137" s="10" t="n">
        <f aca="false">Helpers!M12</f>
        <v>14165103.573638</v>
      </c>
      <c r="N137" s="10" t="n">
        <f aca="false">Helpers!N12</f>
        <v>13700484.069429</v>
      </c>
      <c r="O137" s="10" t="n">
        <f aca="false">Helpers!O12</f>
        <v>13192148.533023</v>
      </c>
      <c r="P137" s="10" t="n">
        <f aca="false">Helpers!P12</f>
        <v>12641507.159007</v>
      </c>
      <c r="Q137" s="10" t="n">
        <f aca="false">Helpers!Q12</f>
        <v>12050984.21448</v>
      </c>
      <c r="R137" s="10" t="n">
        <f aca="false">Helpers!R12</f>
        <v>11423970.504404</v>
      </c>
      <c r="S137" s="10" t="n">
        <f aca="false">Helpers!S12</f>
        <v>10764839.216487</v>
      </c>
      <c r="T137" s="10" t="n">
        <f aca="false">Helpers!T12</f>
        <v>10078835.007002</v>
      </c>
      <c r="U137" s="10" t="n">
        <f aca="false">Helpers!U12</f>
        <v>9371947.241723</v>
      </c>
      <c r="V137" s="10" t="n">
        <f aca="false">Helpers!V12</f>
        <v>8650799.081744</v>
      </c>
      <c r="W137" s="10" t="n">
        <f aca="false">Helpers!W12</f>
        <v>7922409.810234</v>
      </c>
      <c r="X137" s="10" t="n">
        <f aca="false">Helpers!X12</f>
        <v>7194020.538724</v>
      </c>
      <c r="Y137" s="10" t="n">
        <f aca="false">Helpers!Y12</f>
        <v>6472872.378745</v>
      </c>
      <c r="Z137" s="10" t="n">
        <f aca="false">Helpers!Z12</f>
        <v>5765984.613466</v>
      </c>
      <c r="AA137" s="10" t="n">
        <f aca="false">Helpers!AA12</f>
        <v>5079980.403981</v>
      </c>
      <c r="AB137" s="10" t="n">
        <f aca="false">Helpers!AB12</f>
        <v>4420849.116064</v>
      </c>
      <c r="AC137" s="10" t="n">
        <f aca="false">Helpers!AC12</f>
        <v>3793835.405988</v>
      </c>
      <c r="AD137" s="10" t="n">
        <f aca="false">Helpers!AD12</f>
        <v>3203312.461461</v>
      </c>
      <c r="AE137" s="10" t="n">
        <f aca="false">Helpers!AE12</f>
        <v>2652671.087445</v>
      </c>
      <c r="AF137" s="10" t="n">
        <f aca="false">Helpers!AF12</f>
        <v>2144335.551039</v>
      </c>
      <c r="AG137" s="10" t="n">
        <f aca="false">Helpers!AG12</f>
        <v>1679716.04683</v>
      </c>
      <c r="AH137" s="10" t="n">
        <f aca="false">Helpers!AH12</f>
        <v>1259272.076425</v>
      </c>
      <c r="AI137" s="10" t="n">
        <f aca="false">Helpers!AI12</f>
        <v>882591.672866</v>
      </c>
      <c r="AJ137" s="10" t="n">
        <f aca="false">Helpers!AJ12</f>
        <v>548470.625045001</v>
      </c>
      <c r="AK137" s="10" t="n">
        <f aca="false">Helpers!AK12</f>
        <v>255055.081651</v>
      </c>
      <c r="AL137" s="10" t="n">
        <f aca="false">Helpers!AL12</f>
        <v>-63.3795319983043</v>
      </c>
      <c r="AM137" s="10" t="n">
        <f aca="false">Helpers!AM12</f>
        <v>0</v>
      </c>
      <c r="AN137" s="10" t="n">
        <f aca="false">Helpers!AN12</f>
        <v>0</v>
      </c>
      <c r="AO137" s="10" t="n">
        <f aca="false">Helpers!AO12</f>
        <v>0</v>
      </c>
      <c r="AP137" s="10" t="n">
        <f aca="false">Helpers!AP12</f>
        <v>0</v>
      </c>
      <c r="AQ137" s="10" t="n">
        <f aca="false">Helpers!AQ12</f>
        <v>0</v>
      </c>
      <c r="AR137" s="10" t="n">
        <f aca="false">Helpers!AR12</f>
        <v>0</v>
      </c>
      <c r="AS137" s="10" t="n">
        <f aca="false">Helpers!AS12</f>
        <v>0</v>
      </c>
      <c r="AT137" s="10" t="n">
        <f aca="false">Helpers!AT12</f>
        <v>0</v>
      </c>
      <c r="AU137" s="10" t="n">
        <f aca="false">Helpers!AU12</f>
        <v>0</v>
      </c>
      <c r="AV137" s="10" t="n">
        <f aca="false">Helpers!AV12</f>
        <v>0</v>
      </c>
      <c r="AW137" s="10" t="n">
        <f aca="false">Helpers!AW12</f>
        <v>0</v>
      </c>
      <c r="AX137" s="10" t="n">
        <f aca="false">Helpers!AX12</f>
        <v>0</v>
      </c>
      <c r="AY137" s="10" t="n">
        <f aca="false">Helpers!AY12</f>
        <v>0</v>
      </c>
      <c r="AZ137" s="10" t="n">
        <f aca="false">Helpers!AZ12</f>
        <v>0</v>
      </c>
      <c r="BA137" s="10" t="n">
        <f aca="false">Helpers!BA12</f>
        <v>0</v>
      </c>
      <c r="BB137" s="10" t="n">
        <f aca="false">Helpers!BB12</f>
        <v>0</v>
      </c>
      <c r="BC137" s="10" t="n">
        <f aca="false">Helpers!BC12</f>
        <v>0</v>
      </c>
      <c r="BD137" s="10" t="n">
        <f aca="false">Helpers!BD12</f>
        <v>0</v>
      </c>
      <c r="BE137" s="10" t="n">
        <f aca="false">Helpers!BE12</f>
        <v>0</v>
      </c>
      <c r="BF137" s="10" t="n">
        <f aca="false">Helpers!BF12</f>
        <v>0</v>
      </c>
      <c r="BG137" s="10" t="n">
        <f aca="false">Helpers!BG12</f>
        <v>0</v>
      </c>
      <c r="BH137" s="10" t="n">
        <f aca="false">Helpers!BH12</f>
        <v>0</v>
      </c>
      <c r="BI137" s="10" t="n">
        <f aca="false">Helpers!BI12</f>
        <v>0</v>
      </c>
      <c r="BJ137" s="10" t="n">
        <f aca="false">Helpers!BJ12</f>
        <v>0</v>
      </c>
      <c r="BK137" s="10" t="n">
        <f aca="false">Helpers!BK12</f>
        <v>0</v>
      </c>
      <c r="BL137" s="10" t="n">
        <f aca="false">Helpers!BL12</f>
        <v>0</v>
      </c>
      <c r="BM137" s="10" t="n">
        <f aca="false">Helpers!BM12</f>
        <v>0</v>
      </c>
      <c r="BN137" s="10" t="n">
        <f aca="false">Helpers!BN12</f>
        <v>0</v>
      </c>
      <c r="BO137" s="10" t="n">
        <f aca="false">Helpers!BO12</f>
        <v>0</v>
      </c>
      <c r="BP137" s="10" t="n">
        <f aca="false">Helpers!BP12</f>
        <v>0</v>
      </c>
      <c r="BQ137" s="10" t="n">
        <f aca="false">Helpers!BQ12</f>
        <v>0</v>
      </c>
      <c r="BR137" s="10" t="n">
        <f aca="false">Helpers!BR12</f>
        <v>0</v>
      </c>
      <c r="BS137" s="10" t="n">
        <f aca="false">Helpers!BS12</f>
        <v>0</v>
      </c>
      <c r="BT137" s="10" t="n">
        <f aca="false">Helpers!BT12</f>
        <v>0</v>
      </c>
      <c r="BU137" s="10" t="n">
        <f aca="false">Helpers!BU12</f>
        <v>0</v>
      </c>
      <c r="BV137" s="10" t="n">
        <f aca="false">Helpers!BV12</f>
        <v>0</v>
      </c>
      <c r="BW137" s="10" t="n">
        <f aca="false">Helpers!BW12</f>
        <v>0</v>
      </c>
      <c r="BX137" s="10" t="n">
        <f aca="false">Helpers!BX12</f>
        <v>0</v>
      </c>
      <c r="BY137" s="10" t="n">
        <f aca="false">Helpers!BY12</f>
        <v>0</v>
      </c>
      <c r="BZ137" s="10" t="n">
        <f aca="false">Helpers!BZ12</f>
        <v>0</v>
      </c>
      <c r="CA137" s="10" t="n">
        <f aca="false">Helpers!CA12</f>
        <v>0</v>
      </c>
      <c r="CB137" s="10" t="n">
        <f aca="false">Helpers!CB12</f>
        <v>0</v>
      </c>
      <c r="CC137" s="10" t="n">
        <f aca="false">Helpers!CC12</f>
        <v>0</v>
      </c>
      <c r="CD137" s="10" t="n">
        <f aca="false">Helpers!CD12</f>
        <v>0</v>
      </c>
      <c r="CE137" s="10" t="n">
        <f aca="false">Helpers!CE12</f>
        <v>0</v>
      </c>
      <c r="CF137" s="10" t="n">
        <f aca="false">Helpers!CF12</f>
        <v>0</v>
      </c>
      <c r="CG137" s="10" t="n">
        <f aca="false">Helpers!CG12</f>
        <v>0</v>
      </c>
      <c r="CH137" s="10" t="n">
        <f aca="false">Helpers!CH12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53</v>
      </c>
      <c r="B138" s="24"/>
      <c r="C138" s="10" t="n">
        <f aca="false">Helpers!C13</f>
        <v>0</v>
      </c>
      <c r="D138" s="10" t="n">
        <f aca="false">Helpers!D13</f>
        <v>0</v>
      </c>
      <c r="E138" s="10" t="n">
        <f aca="false">Helpers!E13</f>
        <v>0</v>
      </c>
      <c r="F138" s="10" t="n">
        <f aca="false">Helpers!F13</f>
        <v>0</v>
      </c>
      <c r="G138" s="10" t="n">
        <f aca="false">Helpers!G13</f>
        <v>0</v>
      </c>
      <c r="H138" s="10" t="n">
        <f aca="false">Helpers!H13</f>
        <v>0</v>
      </c>
      <c r="I138" s="10" t="n">
        <f aca="false">Helpers!I13</f>
        <v>0</v>
      </c>
      <c r="J138" s="10" t="n">
        <f aca="false">Helpers!J13</f>
        <v>20699563.289615</v>
      </c>
      <c r="K138" s="10" t="n">
        <f aca="false">Helpers!K13</f>
        <v>20002952.87841</v>
      </c>
      <c r="L138" s="10" t="n">
        <f aca="false">Helpers!L13</f>
        <v>19163431.1222</v>
      </c>
      <c r="M138" s="10" t="n">
        <f aca="false">Helpers!M13</f>
        <v>18176553.96934</v>
      </c>
      <c r="N138" s="10" t="n">
        <f aca="false">Helpers!N13</f>
        <v>17044958.08205</v>
      </c>
      <c r="O138" s="10" t="n">
        <f aca="false">Helpers!O13</f>
        <v>15779317.68964</v>
      </c>
      <c r="P138" s="10" t="n">
        <f aca="false">Helpers!P13</f>
        <v>14398535.959155</v>
      </c>
      <c r="Q138" s="10" t="n">
        <f aca="false">Helpers!Q13</f>
        <v>12929149.620035</v>
      </c>
      <c r="R138" s="10" t="n">
        <f aca="false">Helpers!R13</f>
        <v>11403883.052575</v>
      </c>
      <c r="S138" s="10" t="n">
        <f aca="false">Helpers!S13</f>
        <v>9859521.947425</v>
      </c>
      <c r="T138" s="10" t="n">
        <f aca="false">Helpers!T13</f>
        <v>8334255.379965</v>
      </c>
      <c r="U138" s="10" t="n">
        <f aca="false">Helpers!U13</f>
        <v>6864869.040845</v>
      </c>
      <c r="V138" s="10" t="n">
        <f aca="false">Helpers!V13</f>
        <v>5484087.31036</v>
      </c>
      <c r="W138" s="10" t="n">
        <f aca="false">Helpers!W13</f>
        <v>4218446.91795</v>
      </c>
      <c r="X138" s="10" t="n">
        <f aca="false">Helpers!X13</f>
        <v>3086851.03066</v>
      </c>
      <c r="Y138" s="10" t="n">
        <f aca="false">Helpers!Y13</f>
        <v>2099973.8778</v>
      </c>
      <c r="Z138" s="10" t="n">
        <f aca="false">Helpers!Z13</f>
        <v>1260452.12159</v>
      </c>
      <c r="AA138" s="10" t="n">
        <f aca="false">Helpers!AA13</f>
        <v>563841.710385</v>
      </c>
      <c r="AB138" s="10" t="n">
        <f aca="false">Helpers!AB13</f>
        <v>0</v>
      </c>
      <c r="AC138" s="10" t="n">
        <f aca="false">Helpers!AC13</f>
        <v>0</v>
      </c>
      <c r="AD138" s="10" t="n">
        <f aca="false">Helpers!AD13</f>
        <v>0</v>
      </c>
      <c r="AE138" s="10" t="n">
        <f aca="false">Helpers!AE13</f>
        <v>0</v>
      </c>
      <c r="AF138" s="10" t="n">
        <f aca="false">Helpers!AF13</f>
        <v>0</v>
      </c>
      <c r="AG138" s="10" t="n">
        <f aca="false">Helpers!AG13</f>
        <v>0</v>
      </c>
      <c r="AH138" s="10" t="n">
        <f aca="false">Helpers!AH13</f>
        <v>0</v>
      </c>
      <c r="AI138" s="10" t="n">
        <f aca="false">Helpers!AI13</f>
        <v>0</v>
      </c>
      <c r="AJ138" s="10" t="n">
        <f aca="false">Helpers!AJ13</f>
        <v>0</v>
      </c>
      <c r="AK138" s="10" t="n">
        <f aca="false">Helpers!AK13</f>
        <v>0</v>
      </c>
      <c r="AL138" s="10" t="n">
        <f aca="false">Helpers!AL13</f>
        <v>0</v>
      </c>
      <c r="AM138" s="10" t="n">
        <f aca="false">Helpers!AM13</f>
        <v>0</v>
      </c>
      <c r="AN138" s="10" t="n">
        <f aca="false">Helpers!AN13</f>
        <v>0</v>
      </c>
      <c r="AO138" s="10" t="n">
        <f aca="false">Helpers!AO13</f>
        <v>0</v>
      </c>
      <c r="AP138" s="10" t="n">
        <f aca="false">Helpers!AP13</f>
        <v>0</v>
      </c>
      <c r="AQ138" s="10" t="n">
        <f aca="false">Helpers!AQ13</f>
        <v>0</v>
      </c>
      <c r="AR138" s="10" t="n">
        <f aca="false">Helpers!AR13</f>
        <v>0</v>
      </c>
      <c r="AS138" s="10" t="n">
        <f aca="false">Helpers!AS13</f>
        <v>0</v>
      </c>
      <c r="AT138" s="10" t="n">
        <f aca="false">Helpers!AT13</f>
        <v>0</v>
      </c>
      <c r="AU138" s="10" t="n">
        <f aca="false">Helpers!AU13</f>
        <v>0</v>
      </c>
      <c r="AV138" s="10" t="n">
        <f aca="false">Helpers!AV13</f>
        <v>0</v>
      </c>
      <c r="AW138" s="10" t="n">
        <f aca="false">Helpers!AW13</f>
        <v>0</v>
      </c>
      <c r="AX138" s="10" t="n">
        <f aca="false">Helpers!AX13</f>
        <v>0</v>
      </c>
      <c r="AY138" s="10" t="n">
        <f aca="false">Helpers!AY13</f>
        <v>0</v>
      </c>
      <c r="AZ138" s="10" t="n">
        <f aca="false">Helpers!AZ13</f>
        <v>0</v>
      </c>
      <c r="BA138" s="10" t="n">
        <f aca="false">Helpers!BA13</f>
        <v>0</v>
      </c>
      <c r="BB138" s="10" t="n">
        <f aca="false">Helpers!BB13</f>
        <v>0</v>
      </c>
      <c r="BC138" s="10" t="n">
        <f aca="false">Helpers!BC13</f>
        <v>0</v>
      </c>
      <c r="BD138" s="10" t="n">
        <f aca="false">Helpers!BD13</f>
        <v>0</v>
      </c>
      <c r="BE138" s="10" t="n">
        <f aca="false">Helpers!BE13</f>
        <v>0</v>
      </c>
      <c r="BF138" s="10" t="n">
        <f aca="false">Helpers!BF13</f>
        <v>0</v>
      </c>
      <c r="BG138" s="10" t="n">
        <f aca="false">Helpers!BG13</f>
        <v>0</v>
      </c>
      <c r="BH138" s="10" t="n">
        <f aca="false">Helpers!BH13</f>
        <v>0</v>
      </c>
      <c r="BI138" s="10" t="n">
        <f aca="false">Helpers!BI13</f>
        <v>0</v>
      </c>
      <c r="BJ138" s="10" t="n">
        <f aca="false">Helpers!BJ13</f>
        <v>0</v>
      </c>
      <c r="BK138" s="10" t="n">
        <f aca="false">Helpers!BK13</f>
        <v>0</v>
      </c>
      <c r="BL138" s="10" t="n">
        <f aca="false">Helpers!BL13</f>
        <v>0</v>
      </c>
      <c r="BM138" s="10" t="n">
        <f aca="false">Helpers!BM13</f>
        <v>0</v>
      </c>
      <c r="BN138" s="10" t="n">
        <f aca="false">Helpers!BN13</f>
        <v>0</v>
      </c>
      <c r="BO138" s="10" t="n">
        <f aca="false">Helpers!BO13</f>
        <v>0</v>
      </c>
      <c r="BP138" s="10" t="n">
        <f aca="false">Helpers!BP13</f>
        <v>0</v>
      </c>
      <c r="BQ138" s="10" t="n">
        <f aca="false">Helpers!BQ13</f>
        <v>0</v>
      </c>
      <c r="BR138" s="10" t="n">
        <f aca="false">Helpers!BR13</f>
        <v>0</v>
      </c>
      <c r="BS138" s="10" t="n">
        <f aca="false">Helpers!BS13</f>
        <v>0</v>
      </c>
      <c r="BT138" s="10" t="n">
        <f aca="false">Helpers!BT13</f>
        <v>0</v>
      </c>
      <c r="BU138" s="10" t="n">
        <f aca="false">Helpers!BU13</f>
        <v>0</v>
      </c>
      <c r="BV138" s="10" t="n">
        <f aca="false">Helpers!BV13</f>
        <v>0</v>
      </c>
      <c r="BW138" s="10" t="n">
        <f aca="false">Helpers!BW13</f>
        <v>0</v>
      </c>
      <c r="BX138" s="10" t="n">
        <f aca="false">Helpers!BX13</f>
        <v>0</v>
      </c>
      <c r="BY138" s="10" t="n">
        <f aca="false">Helpers!BY13</f>
        <v>0</v>
      </c>
      <c r="BZ138" s="10" t="n">
        <f aca="false">Helpers!BZ13</f>
        <v>0</v>
      </c>
      <c r="CA138" s="10" t="n">
        <f aca="false">Helpers!CA13</f>
        <v>0</v>
      </c>
      <c r="CB138" s="10" t="n">
        <f aca="false">Helpers!CB13</f>
        <v>0</v>
      </c>
      <c r="CC138" s="10" t="n">
        <f aca="false">Helpers!CC13</f>
        <v>0</v>
      </c>
      <c r="CD138" s="10" t="n">
        <f aca="false">Helpers!CD13</f>
        <v>0</v>
      </c>
      <c r="CE138" s="10" t="n">
        <f aca="false">Helpers!CE13</f>
        <v>0</v>
      </c>
      <c r="CF138" s="10" t="n">
        <f aca="false">Helpers!CF13</f>
        <v>0</v>
      </c>
      <c r="CG138" s="10" t="n">
        <f aca="false">Helpers!CG13</f>
        <v>0</v>
      </c>
      <c r="CH138" s="10" t="n">
        <f aca="false">Helpers!CH13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54</v>
      </c>
      <c r="B139" s="24"/>
      <c r="C139" s="10" t="n">
        <f aca="false">Helpers!C14</f>
        <v>0</v>
      </c>
      <c r="D139" s="10" t="n">
        <f aca="false">Helpers!D14</f>
        <v>0</v>
      </c>
      <c r="E139" s="10" t="n">
        <f aca="false">Helpers!E14</f>
        <v>0</v>
      </c>
      <c r="F139" s="10" t="n">
        <f aca="false">Helpers!F14</f>
        <v>0</v>
      </c>
      <c r="G139" s="10" t="n">
        <f aca="false">Helpers!G14</f>
        <v>0</v>
      </c>
      <c r="H139" s="10" t="n">
        <f aca="false">Helpers!H14</f>
        <v>0</v>
      </c>
      <c r="I139" s="10" t="n">
        <f aca="false">Helpers!I14</f>
        <v>0</v>
      </c>
      <c r="J139" s="10" t="n">
        <f aca="false">Helpers!J14</f>
        <v>0</v>
      </c>
      <c r="K139" s="10" t="n">
        <f aca="false">Helpers!K14</f>
        <v>0</v>
      </c>
      <c r="L139" s="10" t="n">
        <f aca="false">Helpers!L14</f>
        <v>0</v>
      </c>
      <c r="M139" s="10" t="n">
        <f aca="false">Helpers!M14</f>
        <v>0</v>
      </c>
      <c r="N139" s="10" t="n">
        <f aca="false">Helpers!N14</f>
        <v>0</v>
      </c>
      <c r="O139" s="10" t="n">
        <f aca="false">Helpers!O14</f>
        <v>44537929.73623</v>
      </c>
      <c r="P139" s="10" t="n">
        <f aca="false">Helpers!P14</f>
        <v>43699679.68937</v>
      </c>
      <c r="Q139" s="10" t="n">
        <f aca="false">Helpers!Q14</f>
        <v>42745139.31038</v>
      </c>
      <c r="R139" s="10" t="n">
        <f aca="false">Helpers!R14</f>
        <v>41669012.38717</v>
      </c>
      <c r="S139" s="10" t="n">
        <f aca="false">Helpers!S14</f>
        <v>40467858.64522</v>
      </c>
      <c r="T139" s="10" t="n">
        <f aca="false">Helpers!T14</f>
        <v>39140501.14851</v>
      </c>
      <c r="U139" s="10" t="n">
        <f aca="false">Helpers!U14</f>
        <v>37688252.63337</v>
      </c>
      <c r="V139" s="10" t="n">
        <f aca="false">Helpers!V14</f>
        <v>36115141.84233</v>
      </c>
      <c r="W139" s="10" t="n">
        <f aca="false">Helpers!W14</f>
        <v>34428094.5912</v>
      </c>
      <c r="X139" s="10" t="n">
        <f aca="false">Helpers!X14</f>
        <v>32636797.96876</v>
      </c>
      <c r="Y139" s="10" t="n">
        <f aca="false">Helpers!Y14</f>
        <v>30753745.60353</v>
      </c>
      <c r="Z139" s="10" t="n">
        <f aca="false">Helpers!Z14</f>
        <v>28793920.79638</v>
      </c>
      <c r="AA139" s="10" t="n">
        <f aca="false">Helpers!AA14</f>
        <v>26774434.38637</v>
      </c>
      <c r="AB139" s="10" t="n">
        <f aca="false">Helpers!AB14</f>
        <v>24714207.88336</v>
      </c>
      <c r="AC139" s="10" t="n">
        <f aca="false">Helpers!AC14</f>
        <v>22633294.46646</v>
      </c>
      <c r="AD139" s="10" t="n">
        <f aca="false">Helpers!AD14</f>
        <v>20552381.04956</v>
      </c>
      <c r="AE139" s="10" t="n">
        <f aca="false">Helpers!AE14</f>
        <v>18492154.54655</v>
      </c>
      <c r="AF139" s="10" t="n">
        <f aca="false">Helpers!AF14</f>
        <v>16472668.13654</v>
      </c>
      <c r="AG139" s="10" t="n">
        <f aca="false">Helpers!AG14</f>
        <v>14512843.32939</v>
      </c>
      <c r="AH139" s="10" t="n">
        <f aca="false">Helpers!AH14</f>
        <v>12629790.96416</v>
      </c>
      <c r="AI139" s="10" t="n">
        <f aca="false">Helpers!AI14</f>
        <v>10838494.34172</v>
      </c>
      <c r="AJ139" s="10" t="n">
        <f aca="false">Helpers!AJ14</f>
        <v>9151447.09059</v>
      </c>
      <c r="AK139" s="10" t="n">
        <f aca="false">Helpers!AK14</f>
        <v>7578336.29955</v>
      </c>
      <c r="AL139" s="10" t="n">
        <f aca="false">Helpers!AL14</f>
        <v>6126087.78441</v>
      </c>
      <c r="AM139" s="10" t="n">
        <f aca="false">Helpers!AM14</f>
        <v>4798730.2877</v>
      </c>
      <c r="AN139" s="10" t="n">
        <f aca="false">Helpers!AN14</f>
        <v>3597576.54575</v>
      </c>
      <c r="AO139" s="10" t="n">
        <f aca="false">Helpers!AO14</f>
        <v>2521449.62254</v>
      </c>
      <c r="AP139" s="10" t="n">
        <f aca="false">Helpers!AP14</f>
        <v>1566909.24355</v>
      </c>
      <c r="AQ139" s="10" t="n">
        <f aca="false">Helpers!AQ14</f>
        <v>728659.196690001</v>
      </c>
      <c r="AR139" s="10" t="n">
        <f aca="false">Helpers!AR14</f>
        <v>-181.067079995155</v>
      </c>
      <c r="AS139" s="10" t="n">
        <f aca="false">Helpers!AS14</f>
        <v>0</v>
      </c>
      <c r="AT139" s="10" t="n">
        <f aca="false">Helpers!AT14</f>
        <v>0</v>
      </c>
      <c r="AU139" s="10" t="n">
        <f aca="false">Helpers!AU14</f>
        <v>0</v>
      </c>
      <c r="AV139" s="10" t="n">
        <f aca="false">Helpers!AV14</f>
        <v>0</v>
      </c>
      <c r="AW139" s="10" t="n">
        <f aca="false">Helpers!AW14</f>
        <v>0</v>
      </c>
      <c r="AX139" s="10" t="n">
        <f aca="false">Helpers!AX14</f>
        <v>0</v>
      </c>
      <c r="AY139" s="10" t="n">
        <f aca="false">Helpers!AY14</f>
        <v>0</v>
      </c>
      <c r="AZ139" s="10" t="n">
        <f aca="false">Helpers!AZ14</f>
        <v>0</v>
      </c>
      <c r="BA139" s="10" t="n">
        <f aca="false">Helpers!BA14</f>
        <v>0</v>
      </c>
      <c r="BB139" s="10" t="n">
        <f aca="false">Helpers!BB14</f>
        <v>0</v>
      </c>
      <c r="BC139" s="10" t="n">
        <f aca="false">Helpers!BC14</f>
        <v>0</v>
      </c>
      <c r="BD139" s="10" t="n">
        <f aca="false">Helpers!BD14</f>
        <v>0</v>
      </c>
      <c r="BE139" s="10" t="n">
        <f aca="false">Helpers!BE14</f>
        <v>0</v>
      </c>
      <c r="BF139" s="10" t="n">
        <f aca="false">Helpers!BF14</f>
        <v>0</v>
      </c>
      <c r="BG139" s="10" t="n">
        <f aca="false">Helpers!BG14</f>
        <v>0</v>
      </c>
      <c r="BH139" s="10" t="n">
        <f aca="false">Helpers!BH14</f>
        <v>0</v>
      </c>
      <c r="BI139" s="10" t="n">
        <f aca="false">Helpers!BI14</f>
        <v>0</v>
      </c>
      <c r="BJ139" s="10" t="n">
        <f aca="false">Helpers!BJ14</f>
        <v>0</v>
      </c>
      <c r="BK139" s="10" t="n">
        <f aca="false">Helpers!BK14</f>
        <v>0</v>
      </c>
      <c r="BL139" s="10" t="n">
        <f aca="false">Helpers!BL14</f>
        <v>0</v>
      </c>
      <c r="BM139" s="10" t="n">
        <f aca="false">Helpers!BM14</f>
        <v>0</v>
      </c>
      <c r="BN139" s="10" t="n">
        <f aca="false">Helpers!BN14</f>
        <v>0</v>
      </c>
      <c r="BO139" s="10" t="n">
        <f aca="false">Helpers!BO14</f>
        <v>0</v>
      </c>
      <c r="BP139" s="10" t="n">
        <f aca="false">Helpers!BP14</f>
        <v>0</v>
      </c>
      <c r="BQ139" s="10" t="n">
        <f aca="false">Helpers!BQ14</f>
        <v>0</v>
      </c>
      <c r="BR139" s="10" t="n">
        <f aca="false">Helpers!BR14</f>
        <v>0</v>
      </c>
      <c r="BS139" s="10" t="n">
        <f aca="false">Helpers!BS14</f>
        <v>0</v>
      </c>
      <c r="BT139" s="10" t="n">
        <f aca="false">Helpers!BT14</f>
        <v>0</v>
      </c>
      <c r="BU139" s="10" t="n">
        <f aca="false">Helpers!BU14</f>
        <v>0</v>
      </c>
      <c r="BV139" s="10" t="n">
        <f aca="false">Helpers!BV14</f>
        <v>0</v>
      </c>
      <c r="BW139" s="10" t="n">
        <f aca="false">Helpers!BW14</f>
        <v>0</v>
      </c>
      <c r="BX139" s="10" t="n">
        <f aca="false">Helpers!BX14</f>
        <v>0</v>
      </c>
      <c r="BY139" s="10" t="n">
        <f aca="false">Helpers!BY14</f>
        <v>0</v>
      </c>
      <c r="BZ139" s="10" t="n">
        <f aca="false">Helpers!BZ14</f>
        <v>0</v>
      </c>
      <c r="CA139" s="10" t="n">
        <f aca="false">Helpers!CA14</f>
        <v>0</v>
      </c>
      <c r="CB139" s="10" t="n">
        <f aca="false">Helpers!CB14</f>
        <v>0</v>
      </c>
      <c r="CC139" s="10" t="n">
        <f aca="false">Helpers!CC14</f>
        <v>0</v>
      </c>
      <c r="CD139" s="10" t="n">
        <f aca="false">Helpers!CD14</f>
        <v>0</v>
      </c>
      <c r="CE139" s="10" t="n">
        <f aca="false">Helpers!CE14</f>
        <v>0</v>
      </c>
      <c r="CF139" s="10" t="n">
        <f aca="false">Helpers!CF14</f>
        <v>0</v>
      </c>
      <c r="CG139" s="10" t="n">
        <f aca="false">Helpers!CG14</f>
        <v>0</v>
      </c>
      <c r="CH139" s="10" t="n">
        <f aca="false">Helpers!CH14</f>
        <v>0</v>
      </c>
      <c r="CI139" s="25"/>
      <c r="CJ139" s="56"/>
      <c r="CK139" s="56"/>
    </row>
    <row r="140" customFormat="false" ht="15" hidden="false" customHeight="true" outlineLevel="0" collapsed="false">
      <c r="A140" s="9" t="s">
        <v>57</v>
      </c>
      <c r="B140" s="24"/>
      <c r="C140" s="10" t="n">
        <f aca="false">Helpers!C15</f>
        <v>0</v>
      </c>
      <c r="D140" s="10" t="n">
        <f aca="false">Helpers!D15</f>
        <v>0</v>
      </c>
      <c r="E140" s="10" t="n">
        <f aca="false">Helpers!E15</f>
        <v>0</v>
      </c>
      <c r="F140" s="10" t="n">
        <f aca="false">Helpers!F15</f>
        <v>0</v>
      </c>
      <c r="G140" s="10" t="n">
        <f aca="false">Helpers!G15</f>
        <v>0</v>
      </c>
      <c r="H140" s="10" t="n">
        <f aca="false">Helpers!H15</f>
        <v>0</v>
      </c>
      <c r="I140" s="10" t="n">
        <f aca="false">Helpers!I15</f>
        <v>0</v>
      </c>
      <c r="J140" s="10" t="n">
        <f aca="false">Helpers!J15</f>
        <v>0</v>
      </c>
      <c r="K140" s="10" t="n">
        <f aca="false">Helpers!K15</f>
        <v>0</v>
      </c>
      <c r="L140" s="10" t="n">
        <f aca="false">Helpers!L15</f>
        <v>0</v>
      </c>
      <c r="M140" s="10" t="n">
        <f aca="false">Helpers!M15</f>
        <v>0</v>
      </c>
      <c r="N140" s="10" t="n">
        <f aca="false">Helpers!N15</f>
        <v>0</v>
      </c>
      <c r="O140" s="10" t="n">
        <f aca="false">Helpers!O15</f>
        <v>0</v>
      </c>
      <c r="P140" s="10" t="n">
        <f aca="false">Helpers!P15</f>
        <v>0</v>
      </c>
      <c r="Q140" s="10" t="n">
        <f aca="false">Helpers!Q15</f>
        <v>0</v>
      </c>
      <c r="R140" s="10" t="n">
        <f aca="false">Helpers!R15</f>
        <v>0</v>
      </c>
      <c r="S140" s="10" t="n">
        <f aca="false">Helpers!S15</f>
        <v>0</v>
      </c>
      <c r="T140" s="10" t="n">
        <f aca="false">Helpers!T15</f>
        <v>0</v>
      </c>
      <c r="U140" s="10" t="n">
        <f aca="false">Helpers!U15</f>
        <v>0</v>
      </c>
      <c r="V140" s="10" t="n">
        <f aca="false">Helpers!V15</f>
        <v>0</v>
      </c>
      <c r="W140" s="10" t="n">
        <f aca="false">Helpers!W15</f>
        <v>0</v>
      </c>
      <c r="X140" s="10" t="n">
        <f aca="false">Helpers!X15</f>
        <v>0</v>
      </c>
      <c r="Y140" s="10" t="n">
        <f aca="false">Helpers!Y15</f>
        <v>0</v>
      </c>
      <c r="Z140" s="10" t="n">
        <f aca="false">Helpers!Z15</f>
        <v>0</v>
      </c>
      <c r="AA140" s="10" t="n">
        <f aca="false">Helpers!AA15</f>
        <v>0</v>
      </c>
      <c r="AB140" s="10" t="n">
        <f aca="false">Helpers!AB15</f>
        <v>0</v>
      </c>
      <c r="AC140" s="10" t="n">
        <f aca="false">Helpers!AC15</f>
        <v>40688781.070168</v>
      </c>
      <c r="AD140" s="10" t="n">
        <f aca="false">Helpers!AD15</f>
        <v>39922975.994792</v>
      </c>
      <c r="AE140" s="10" t="n">
        <f aca="false">Helpers!AE15</f>
        <v>39050930.869808</v>
      </c>
      <c r="AF140" s="10" t="n">
        <f aca="false">Helpers!AF15</f>
        <v>38067807.203272</v>
      </c>
      <c r="AG140" s="10" t="n">
        <f aca="false">Helpers!AG15</f>
        <v>36970462.043152</v>
      </c>
      <c r="AH140" s="10" t="n">
        <f aca="false">Helpers!AH15</f>
        <v>35757820.169016</v>
      </c>
      <c r="AI140" s="10" t="n">
        <f aca="false">Helpers!AI15</f>
        <v>34431080.865192</v>
      </c>
      <c r="AJ140" s="10" t="n">
        <f aca="false">Helpers!AJ15</f>
        <v>32993924.693928</v>
      </c>
      <c r="AK140" s="10" t="n">
        <f aca="false">Helpers!AK15</f>
        <v>31452678.91392</v>
      </c>
      <c r="AL140" s="10" t="n">
        <f aca="false">Helpers!AL15</f>
        <v>29816193.416416</v>
      </c>
      <c r="AM140" s="10" t="n">
        <f aca="false">Helpers!AM15</f>
        <v>28095882.079848</v>
      </c>
      <c r="AN140" s="10" t="n">
        <f aca="false">Helpers!AN15</f>
        <v>26305433.287408</v>
      </c>
      <c r="AO140" s="10" t="n">
        <f aca="false">Helpers!AO15</f>
        <v>24460479.089992</v>
      </c>
      <c r="AP140" s="10" t="n">
        <f aca="false">Helpers!AP15</f>
        <v>22578305.723776</v>
      </c>
      <c r="AQ140" s="10" t="n">
        <f aca="false">Helpers!AQ15</f>
        <v>20677233.290736</v>
      </c>
      <c r="AR140" s="10" t="n">
        <f aca="false">Helpers!AR15</f>
        <v>18776160.857696</v>
      </c>
      <c r="AS140" s="10" t="n">
        <f aca="false">Helpers!AS15</f>
        <v>16893987.49148</v>
      </c>
      <c r="AT140" s="10" t="n">
        <f aca="false">Helpers!AT15</f>
        <v>15049033.294064</v>
      </c>
      <c r="AU140" s="10" t="n">
        <f aca="false">Helpers!AU15</f>
        <v>13258584.501624</v>
      </c>
      <c r="AV140" s="10" t="n">
        <f aca="false">Helpers!AV15</f>
        <v>11538273.165056</v>
      </c>
      <c r="AW140" s="10" t="n">
        <f aca="false">Helpers!AW15</f>
        <v>9901787.667552</v>
      </c>
      <c r="AX140" s="10" t="n">
        <f aca="false">Helpers!AX15</f>
        <v>8360541.887544</v>
      </c>
      <c r="AY140" s="10" t="n">
        <f aca="false">Helpers!AY15</f>
        <v>6923385.71628</v>
      </c>
      <c r="AZ140" s="10" t="n">
        <f aca="false">Helpers!AZ15</f>
        <v>5596646.412456</v>
      </c>
      <c r="BA140" s="10" t="n">
        <f aca="false">Helpers!BA15</f>
        <v>4384004.53832</v>
      </c>
      <c r="BB140" s="10" t="n">
        <f aca="false">Helpers!BB15</f>
        <v>3286659.3782</v>
      </c>
      <c r="BC140" s="10" t="n">
        <f aca="false">Helpers!BC15</f>
        <v>2303535.711664</v>
      </c>
      <c r="BD140" s="10" t="n">
        <f aca="false">Helpers!BD15</f>
        <v>1431490.58668</v>
      </c>
      <c r="BE140" s="10" t="n">
        <f aca="false">Helpers!BE15</f>
        <v>665685.511304001</v>
      </c>
      <c r="BF140" s="10" t="n">
        <f aca="false">Helpers!BF15</f>
        <v>-165.418527995574</v>
      </c>
      <c r="BG140" s="10" t="n">
        <f aca="false">Helpers!BG15</f>
        <v>0</v>
      </c>
      <c r="BH140" s="10" t="n">
        <f aca="false">Helpers!BH15</f>
        <v>0</v>
      </c>
      <c r="BI140" s="10" t="n">
        <f aca="false">Helpers!BI15</f>
        <v>0</v>
      </c>
      <c r="BJ140" s="10" t="n">
        <f aca="false">Helpers!BJ15</f>
        <v>0</v>
      </c>
      <c r="BK140" s="10" t="n">
        <f aca="false">Helpers!BK15</f>
        <v>0</v>
      </c>
      <c r="BL140" s="10" t="n">
        <f aca="false">Helpers!BL15</f>
        <v>0</v>
      </c>
      <c r="BM140" s="10" t="n">
        <f aca="false">Helpers!BM15</f>
        <v>0</v>
      </c>
      <c r="BN140" s="10" t="n">
        <f aca="false">Helpers!BN15</f>
        <v>0</v>
      </c>
      <c r="BO140" s="10" t="n">
        <f aca="false">Helpers!BO15</f>
        <v>0</v>
      </c>
      <c r="BP140" s="10" t="n">
        <f aca="false">Helpers!BP15</f>
        <v>0</v>
      </c>
      <c r="BQ140" s="10" t="n">
        <f aca="false">Helpers!BQ15</f>
        <v>0</v>
      </c>
      <c r="BR140" s="10" t="n">
        <f aca="false">Helpers!BR15</f>
        <v>0</v>
      </c>
      <c r="BS140" s="10" t="n">
        <f aca="false">Helpers!BS15</f>
        <v>0</v>
      </c>
      <c r="BT140" s="10" t="n">
        <f aca="false">Helpers!BT15</f>
        <v>0</v>
      </c>
      <c r="BU140" s="10" t="n">
        <f aca="false">Helpers!BU15</f>
        <v>0</v>
      </c>
      <c r="BV140" s="10" t="n">
        <f aca="false">Helpers!BV15</f>
        <v>0</v>
      </c>
      <c r="BW140" s="10" t="n">
        <f aca="false">Helpers!BW15</f>
        <v>0</v>
      </c>
      <c r="BX140" s="10" t="n">
        <f aca="false">Helpers!BX15</f>
        <v>0</v>
      </c>
      <c r="BY140" s="10" t="n">
        <f aca="false">Helpers!BY15</f>
        <v>0</v>
      </c>
      <c r="BZ140" s="10" t="n">
        <f aca="false">Helpers!BZ15</f>
        <v>0</v>
      </c>
      <c r="CA140" s="10" t="n">
        <f aca="false">Helpers!CA15</f>
        <v>0</v>
      </c>
      <c r="CB140" s="10" t="n">
        <f aca="false">Helpers!CB15</f>
        <v>0</v>
      </c>
      <c r="CC140" s="10" t="n">
        <f aca="false">Helpers!CC15</f>
        <v>0</v>
      </c>
      <c r="CD140" s="10" t="n">
        <f aca="false">Helpers!CD15</f>
        <v>0</v>
      </c>
      <c r="CE140" s="10" t="n">
        <f aca="false">Helpers!CE15</f>
        <v>0</v>
      </c>
      <c r="CF140" s="10" t="n">
        <f aca="false">Helpers!CF15</f>
        <v>0</v>
      </c>
      <c r="CG140" s="10" t="n">
        <f aca="false">Helpers!CG15</f>
        <v>0</v>
      </c>
      <c r="CH140" s="10" t="n">
        <f aca="false">Helpers!CH15</f>
        <v>0</v>
      </c>
      <c r="CI140" s="25"/>
      <c r="CJ140" s="56"/>
      <c r="CK140" s="56"/>
    </row>
    <row r="141" customFormat="false" ht="15" hidden="false" customHeight="true" outlineLevel="0" collapsed="false">
      <c r="A141" s="11" t="s">
        <v>161</v>
      </c>
      <c r="B141" s="30"/>
      <c r="C141" s="12" t="n">
        <f aca="false">SUM(C133:C140)</f>
        <v>23599007.06059</v>
      </c>
      <c r="D141" s="12" t="n">
        <f aca="false">SUM(D133:D140)</f>
        <v>21846708.4387409</v>
      </c>
      <c r="E141" s="12" t="n">
        <f aca="false">SUM(E133:E140)</f>
        <v>19934994.8604503</v>
      </c>
      <c r="F141" s="12" t="n">
        <f aca="false">SUM(F133:F140)</f>
        <v>59988330.5577988</v>
      </c>
      <c r="G141" s="12" t="n">
        <f aca="false">SUM(G133:G140)</f>
        <v>56830895.3462433</v>
      </c>
      <c r="H141" s="12" t="n">
        <f aca="false">SUM(H133:H140)</f>
        <v>53470466.1002521</v>
      </c>
      <c r="I141" s="12" t="n">
        <f aca="false">SUM(I133:I140)</f>
        <v>78806360.8366376</v>
      </c>
      <c r="J141" s="12" t="n">
        <f aca="false">SUM(J133:J140)</f>
        <v>95138155.8113951</v>
      </c>
      <c r="K141" s="12" t="n">
        <f aca="false">SUM(K133:K140)</f>
        <v>89880219.2871105</v>
      </c>
      <c r="L141" s="12" t="n">
        <f aca="false">SUM(L133:L140)</f>
        <v>84327348.5196844</v>
      </c>
      <c r="M141" s="12" t="n">
        <f aca="false">SUM(M133:M140)</f>
        <v>78517826.7676414</v>
      </c>
      <c r="N141" s="12" t="n">
        <f aca="false">SUM(N133:N140)</f>
        <v>72497927.0285711</v>
      </c>
      <c r="O141" s="12" t="n">
        <f aca="false">SUM(O133:O140)</f>
        <v>110860792.787625</v>
      </c>
      <c r="P141" s="12" t="n">
        <f aca="false">SUM(P133:P140)</f>
        <v>103756479.760667</v>
      </c>
      <c r="Q141" s="12" t="n">
        <f aca="false">SUM(Q133:Q140)</f>
        <v>96517203.055075</v>
      </c>
      <c r="R141" s="12" t="n">
        <f aca="false">SUM(R133:R140)</f>
        <v>89832380.402737</v>
      </c>
      <c r="S141" s="12" t="n">
        <f aca="false">SUM(S133:S140)</f>
        <v>83021753.709656</v>
      </c>
      <c r="T141" s="12" t="n">
        <f aca="false">SUM(T133:T140)</f>
        <v>76187589.600929</v>
      </c>
      <c r="U141" s="12" t="n">
        <f aca="false">SUM(U133:U140)</f>
        <v>69427945.700482</v>
      </c>
      <c r="V141" s="12" t="n">
        <f aca="false">SUM(V133:V140)</f>
        <v>62831519.462922</v>
      </c>
      <c r="W141" s="12" t="n">
        <f aca="false">SUM(W133:W140)</f>
        <v>56473335.557832</v>
      </c>
      <c r="X141" s="12" t="n">
        <f aca="false">SUM(X133:X140)</f>
        <v>50412135.689664</v>
      </c>
      <c r="Y141" s="12" t="n">
        <f aca="false">SUM(Y133:Y140)</f>
        <v>44689514.450515</v>
      </c>
      <c r="Z141" s="12" t="n">
        <f aca="false">SUM(Z133:Z140)</f>
        <v>39330314.060104</v>
      </c>
      <c r="AA141" s="12" t="n">
        <f aca="false">SUM(AA133:AA140)</f>
        <v>34344660.92992</v>
      </c>
      <c r="AB141" s="12" t="n">
        <f aca="false">SUM(AB133:AB140)</f>
        <v>30015781.27808</v>
      </c>
      <c r="AC141" s="12" t="n">
        <f aca="false">SUM(AC133:AC140)</f>
        <v>67115910.942616</v>
      </c>
      <c r="AD141" s="12" t="n">
        <f aca="false">SUM(AD133:AD140)</f>
        <v>63678669.505813</v>
      </c>
      <c r="AE141" s="12" t="n">
        <f aca="false">SUM(AE133:AE140)</f>
        <v>60195756.503803</v>
      </c>
      <c r="AF141" s="12" t="n">
        <f aca="false">SUM(AF133:AF140)</f>
        <v>56684810.890851</v>
      </c>
      <c r="AG141" s="12" t="n">
        <f aca="false">SUM(AG133:AG140)</f>
        <v>53163021.419372</v>
      </c>
      <c r="AH141" s="12" t="n">
        <f aca="false">SUM(AH133:AH140)</f>
        <v>49646883.209601</v>
      </c>
      <c r="AI141" s="12" t="n">
        <f aca="false">SUM(AI133:AI140)</f>
        <v>46152166.879778</v>
      </c>
      <c r="AJ141" s="12" t="n">
        <f aca="false">SUM(AJ133:AJ140)</f>
        <v>42693842.409563</v>
      </c>
      <c r="AK141" s="12" t="n">
        <f aca="false">SUM(AK133:AK140)</f>
        <v>39286070.295121</v>
      </c>
      <c r="AL141" s="12" t="n">
        <f aca="false">SUM(AL133:AL140)</f>
        <v>35942217.821294</v>
      </c>
      <c r="AM141" s="12" t="n">
        <f aca="false">SUM(AM133:AM140)</f>
        <v>32894612.367548</v>
      </c>
      <c r="AN141" s="12" t="n">
        <f aca="false">SUM(AN133:AN140)</f>
        <v>29903009.833158</v>
      </c>
      <c r="AO141" s="12" t="n">
        <f aca="false">SUM(AO133:AO140)</f>
        <v>26981928.712532</v>
      </c>
      <c r="AP141" s="12" t="n">
        <f aca="false">SUM(AP133:AP140)</f>
        <v>24145214.967326</v>
      </c>
      <c r="AQ141" s="12" t="n">
        <f aca="false">SUM(AQ133:AQ140)</f>
        <v>21405892.487426</v>
      </c>
      <c r="AR141" s="12" t="n">
        <f aca="false">SUM(AR133:AR140)</f>
        <v>18775979.790616</v>
      </c>
      <c r="AS141" s="12" t="n">
        <f aca="false">SUM(AS133:AS140)</f>
        <v>16893987.49148</v>
      </c>
      <c r="AT141" s="12" t="n">
        <f aca="false">SUM(AT133:AT140)</f>
        <v>15049033.294064</v>
      </c>
      <c r="AU141" s="12" t="n">
        <f aca="false">SUM(AU133:AU140)</f>
        <v>13258584.501624</v>
      </c>
      <c r="AV141" s="12" t="n">
        <f aca="false">SUM(AV133:AV140)</f>
        <v>11538273.165056</v>
      </c>
      <c r="AW141" s="12" t="n">
        <f aca="false">SUM(AW133:AW140)</f>
        <v>9901787.667552</v>
      </c>
      <c r="AX141" s="12" t="n">
        <f aca="false">SUM(AX133:AX140)</f>
        <v>8360541.887544</v>
      </c>
      <c r="AY141" s="12" t="n">
        <f aca="false">SUM(AY133:AY140)</f>
        <v>6923385.71628</v>
      </c>
      <c r="AZ141" s="12" t="n">
        <f aca="false">SUM(AZ133:AZ140)</f>
        <v>5596646.412456</v>
      </c>
      <c r="BA141" s="12" t="n">
        <f aca="false">SUM(BA133:BA140)</f>
        <v>4384004.53832</v>
      </c>
      <c r="BB141" s="12" t="n">
        <f aca="false">SUM(BB133:BB140)</f>
        <v>3286659.3782</v>
      </c>
      <c r="BC141" s="12" t="n">
        <f aca="false">SUM(BC133:BC140)</f>
        <v>2303535.711664</v>
      </c>
      <c r="BD141" s="12" t="n">
        <f aca="false">SUM(BD133:BD140)</f>
        <v>1431490.58668</v>
      </c>
      <c r="BE141" s="12" t="n">
        <f aca="false">SUM(BE133:BE140)</f>
        <v>665685.511304001</v>
      </c>
      <c r="BF141" s="12" t="n">
        <f aca="false">SUM(BF133:BF140)</f>
        <v>-165.418527995574</v>
      </c>
      <c r="BG141" s="12" t="n">
        <f aca="false">SUM(BG133:BG140)</f>
        <v>0</v>
      </c>
      <c r="BH141" s="12" t="n">
        <f aca="false">SUM(BH133:BH140)</f>
        <v>0</v>
      </c>
      <c r="BI141" s="12" t="n">
        <f aca="false">SUM(BI133:BI140)</f>
        <v>0</v>
      </c>
      <c r="BJ141" s="12" t="n">
        <f aca="false">SUM(BJ133:BJ140)</f>
        <v>0</v>
      </c>
      <c r="BK141" s="12" t="n">
        <f aca="false">SUM(BK133:BK140)</f>
        <v>0</v>
      </c>
      <c r="BL141" s="12" t="n">
        <f aca="false">SUM(BL133:BL140)</f>
        <v>0</v>
      </c>
      <c r="BM141" s="12" t="n">
        <f aca="false">SUM(BM133:BM140)</f>
        <v>0</v>
      </c>
      <c r="BN141" s="12" t="n">
        <f aca="false">SUM(BN133:BN140)</f>
        <v>0</v>
      </c>
      <c r="BO141" s="12" t="n">
        <f aca="false">SUM(BO133:BO140)</f>
        <v>0</v>
      </c>
      <c r="BP141" s="12" t="n">
        <f aca="false">SUM(BP133:BP140)</f>
        <v>0</v>
      </c>
      <c r="BQ141" s="12" t="n">
        <f aca="false">SUM(BQ133:BQ140)</f>
        <v>0</v>
      </c>
      <c r="BR141" s="12" t="n">
        <f aca="false">SUM(BR133:BR140)</f>
        <v>0</v>
      </c>
      <c r="BS141" s="12" t="n">
        <f aca="false">SUM(BS133:BS140)</f>
        <v>0</v>
      </c>
      <c r="BT141" s="12" t="n">
        <f aca="false">SUM(BT133:BT140)</f>
        <v>0</v>
      </c>
      <c r="BU141" s="12" t="n">
        <f aca="false">SUM(BU133:BU140)</f>
        <v>0</v>
      </c>
      <c r="BV141" s="12" t="n">
        <f aca="false">SUM(BV133:BV140)</f>
        <v>0</v>
      </c>
      <c r="BW141" s="12" t="n">
        <f aca="false">SUM(BW133:BW140)</f>
        <v>0</v>
      </c>
      <c r="BX141" s="12" t="n">
        <f aca="false">SUM(BX133:BX140)</f>
        <v>0</v>
      </c>
      <c r="BY141" s="12" t="n">
        <f aca="false">SUM(BY133:BY140)</f>
        <v>0</v>
      </c>
      <c r="BZ141" s="12" t="n">
        <f aca="false">SUM(BZ133:BZ140)</f>
        <v>0</v>
      </c>
      <c r="CA141" s="12" t="n">
        <f aca="false">SUM(CA133:CA140)</f>
        <v>0</v>
      </c>
      <c r="CB141" s="12" t="n">
        <f aca="false">SUM(CB133:CB140)</f>
        <v>0</v>
      </c>
      <c r="CC141" s="12" t="n">
        <f aca="false">SUM(CC133:CC140)</f>
        <v>0</v>
      </c>
      <c r="CD141" s="12" t="n">
        <f aca="false">SUM(CD133:CD140)</f>
        <v>0</v>
      </c>
      <c r="CE141" s="12" t="n">
        <f aca="false">SUM(CE133:CE140)</f>
        <v>0</v>
      </c>
      <c r="CF141" s="12" t="n">
        <f aca="false">SUM(CF133:CF140)</f>
        <v>0</v>
      </c>
      <c r="CG141" s="12" t="n">
        <f aca="false">SUM(CG133:CG140)</f>
        <v>0</v>
      </c>
      <c r="CH141" s="12" t="n">
        <f aca="false">SUM(CH133:CH140)</f>
        <v>0</v>
      </c>
      <c r="CI141" s="25"/>
      <c r="CJ141" s="56"/>
      <c r="CK141" s="56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5"/>
      <c r="CJ142" s="56"/>
      <c r="CK142" s="56"/>
    </row>
    <row r="143" customFormat="false" ht="15" hidden="false" customHeight="true" outlineLevel="0" collapsed="false">
      <c r="A143" s="28" t="s">
        <v>162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5"/>
      <c r="CJ143" s="56"/>
      <c r="CK143" s="56"/>
    </row>
    <row r="144" customFormat="false" ht="8.25" hidden="false" customHeight="true" outlineLevel="0" collapsed="false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37"/>
      <c r="CJ144" s="58"/>
      <c r="CK144" s="58"/>
    </row>
    <row r="145" customFormat="false" ht="15" hidden="false" customHeight="true" outlineLevel="0" collapsed="false">
      <c r="A145" s="8" t="s">
        <v>163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Assumptions!$B$29</f>
        <v>1651915.69</v>
      </c>
      <c r="D146" s="10" t="n">
        <f aca="false">C148</f>
        <v>1737102.8986787</v>
      </c>
      <c r="E146" s="10" t="n">
        <f aca="false">D148</f>
        <v>1789775.19229358</v>
      </c>
      <c r="F146" s="10" t="n">
        <f aca="false">E148</f>
        <v>1814777.5599298</v>
      </c>
      <c r="G146" s="10" t="n">
        <f aca="false">F148</f>
        <v>2299779.98752618</v>
      </c>
      <c r="H146" s="10" t="n">
        <f aca="false">G148</f>
        <v>2466869.0808416</v>
      </c>
      <c r="I146" s="10" t="n">
        <f aca="false">H148</f>
        <v>2639606.1025605</v>
      </c>
      <c r="J146" s="10" t="n">
        <f aca="false">I148</f>
        <v>3144128.31293813</v>
      </c>
      <c r="K146" s="10" t="n">
        <f aca="false">J148</f>
        <v>3697000.40476743</v>
      </c>
      <c r="L146" s="10" t="n">
        <f aca="false">K148</f>
        <v>4028044.3851103</v>
      </c>
      <c r="M146" s="10" t="n">
        <f aca="false">L148</f>
        <v>4368175.82461106</v>
      </c>
      <c r="N146" s="10" t="n">
        <f aca="false">M148</f>
        <v>4714807.17554887</v>
      </c>
      <c r="O146" s="10" t="n">
        <f aca="false">N148</f>
        <v>5065189.79648715</v>
      </c>
      <c r="P146" s="10" t="n">
        <f aca="false">O148</f>
        <v>4748418.80451749</v>
      </c>
      <c r="Q146" s="10" t="n">
        <f aca="false">P148</f>
        <v>5226572.20242391</v>
      </c>
      <c r="R146" s="10" t="n">
        <f aca="false">Q148</f>
        <v>5847506.0534946</v>
      </c>
      <c r="S146" s="10" t="n">
        <f aca="false">R148</f>
        <v>6291998.65705613</v>
      </c>
      <c r="T146" s="10" t="n">
        <f aca="false">S148</f>
        <v>6549621.22025209</v>
      </c>
      <c r="U146" s="10" t="n">
        <f aca="false">T148</f>
        <v>6807072.54763179</v>
      </c>
      <c r="V146" s="10" t="n">
        <f aca="false">U148</f>
        <v>7082024.02440172</v>
      </c>
      <c r="W146" s="10" t="n">
        <f aca="false">V148</f>
        <v>7310083.253412</v>
      </c>
      <c r="X146" s="10" t="n">
        <f aca="false">W148</f>
        <v>7527119.9069752</v>
      </c>
      <c r="Y146" s="10" t="n">
        <f aca="false">X148</f>
        <v>7730416.22766132</v>
      </c>
      <c r="Z146" s="10" t="n">
        <f aca="false">Y148</f>
        <v>7918047.79034901</v>
      </c>
      <c r="AA146" s="10" t="n">
        <f aca="false">Z148</f>
        <v>8088865.23909346</v>
      </c>
      <c r="AB146" s="10" t="n">
        <f aca="false">AA148</f>
        <v>8317163.16351841</v>
      </c>
      <c r="AC146" s="10" t="n">
        <f aca="false">AB148</f>
        <v>8393415.97409142</v>
      </c>
      <c r="AD146" s="10" t="n">
        <f aca="false">AC148</f>
        <v>7827558.14731045</v>
      </c>
      <c r="AE146" s="10" t="n">
        <f aca="false">AD148</f>
        <v>7947594.79674402</v>
      </c>
      <c r="AF146" s="10" t="n">
        <f aca="false">AE148</f>
        <v>8069744.49748994</v>
      </c>
      <c r="AG146" s="10" t="n">
        <f aca="false">AF148</f>
        <v>8193191.16156677</v>
      </c>
      <c r="AH146" s="10" t="n">
        <f aca="false">AG148</f>
        <v>8437954.3312735</v>
      </c>
      <c r="AI146" s="10" t="n">
        <f aca="false">AH148</f>
        <v>8506986.92244883</v>
      </c>
      <c r="AJ146" s="10" t="n">
        <f aca="false">AI148</f>
        <v>8819167.31300969</v>
      </c>
      <c r="AK146" s="10" t="n">
        <f aca="false">AJ148</f>
        <v>8797170.04642959</v>
      </c>
      <c r="AL146" s="10" t="n">
        <f aca="false">AK148</f>
        <v>8772833.91273986</v>
      </c>
      <c r="AM146" s="10" t="n">
        <f aca="false">AL148</f>
        <v>8835568.20233337</v>
      </c>
      <c r="AN146" s="10" t="n">
        <f aca="false">AM148</f>
        <v>8759280.7969681</v>
      </c>
      <c r="AO146" s="10" t="n">
        <f aca="false">AN148</f>
        <v>8680399.41511208</v>
      </c>
      <c r="AP146" s="10" t="n">
        <f aca="false">AO148</f>
        <v>8598255.27304133</v>
      </c>
      <c r="AQ146" s="10" t="n">
        <f aca="false">AP148</f>
        <v>8512207.77025715</v>
      </c>
      <c r="AR146" s="10" t="n">
        <f aca="false">AQ148</f>
        <v>8421654.34042553</v>
      </c>
      <c r="AS146" s="10" t="n">
        <f aca="false">AR148</f>
        <v>8583236.48881134</v>
      </c>
      <c r="AT146" s="10" t="n">
        <f aca="false">AS148</f>
        <v>8359944.97715073</v>
      </c>
      <c r="AU146" s="10" t="n">
        <f aca="false">AT148</f>
        <v>8134931.47472583</v>
      </c>
      <c r="AV146" s="10" t="n">
        <f aca="false">AU148</f>
        <v>7907396.2124928</v>
      </c>
      <c r="AW146" s="10" t="n">
        <f aca="false">AV148</f>
        <v>7676615.95433061</v>
      </c>
      <c r="AX146" s="10" t="n">
        <f aca="false">AW148</f>
        <v>7441957.39030265</v>
      </c>
      <c r="AY146" s="10" t="n">
        <f aca="false">AX148</f>
        <v>7202892.44324118</v>
      </c>
      <c r="AZ146" s="10" t="n">
        <f aca="false">AY148</f>
        <v>6956248.29869767</v>
      </c>
      <c r="BA146" s="10" t="n">
        <f aca="false">AZ148</f>
        <v>6704495.58155344</v>
      </c>
      <c r="BB146" s="10" t="n">
        <f aca="false">BA148</f>
        <v>6447464.00605514</v>
      </c>
      <c r="BC146" s="10" t="n">
        <f aca="false">BB148</f>
        <v>6185098.0858337</v>
      </c>
      <c r="BD146" s="10" t="n">
        <f aca="false">BC148</f>
        <v>5917447.56728898</v>
      </c>
      <c r="BE146" s="10" t="n">
        <f aca="false">BD148</f>
        <v>5644657.86297439</v>
      </c>
      <c r="BF146" s="10" t="n">
        <f aca="false">BE148</f>
        <v>5366952.83168931</v>
      </c>
      <c r="BG146" s="10" t="n">
        <f aca="false">BF148</f>
        <v>5319592.79854058</v>
      </c>
      <c r="BH146" s="10" t="n">
        <f aca="false">BG148</f>
        <v>4921420.2696664</v>
      </c>
      <c r="BI146" s="10" t="n">
        <f aca="false">BH148</f>
        <v>4523247.74079223</v>
      </c>
      <c r="BJ146" s="10" t="n">
        <f aca="false">BI148</f>
        <v>4125075.21191805</v>
      </c>
      <c r="BK146" s="10" t="n">
        <f aca="false">BJ148</f>
        <v>3726902.68304387</v>
      </c>
      <c r="BL146" s="10" t="n">
        <f aca="false">BK148</f>
        <v>3325911.52359221</v>
      </c>
      <c r="BM146" s="10" t="n">
        <f aca="false">BL148</f>
        <v>2924920.36414055</v>
      </c>
      <c r="BN146" s="10" t="n">
        <f aca="false">BM148</f>
        <v>2523929.20468888</v>
      </c>
      <c r="BO146" s="10" t="n">
        <f aca="false">BN148</f>
        <v>2122938.04523722</v>
      </c>
      <c r="BP146" s="10" t="n">
        <f aca="false">BO148</f>
        <v>1721946.88578556</v>
      </c>
      <c r="BQ146" s="10" t="n">
        <f aca="false">BP148</f>
        <v>1320955.7263339</v>
      </c>
      <c r="BR146" s="10" t="n">
        <f aca="false">BQ148</f>
        <v>919964.566882235</v>
      </c>
      <c r="BS146" s="10" t="n">
        <f aca="false">BR148</f>
        <v>518973.407430572</v>
      </c>
      <c r="BT146" s="10" t="n">
        <f aca="false">BS148</f>
        <v>117982.24797891</v>
      </c>
      <c r="BU146" s="10" t="n">
        <f aca="false">BT148</f>
        <v>-283008.911472752</v>
      </c>
      <c r="BV146" s="10" t="n">
        <f aca="false">BU148</f>
        <v>-684000.070924414</v>
      </c>
      <c r="BW146" s="10" t="n">
        <f aca="false">BV148</f>
        <v>-1084991.23037608</v>
      </c>
      <c r="BX146" s="10" t="n">
        <f aca="false">BW148</f>
        <v>-1488857.39301677</v>
      </c>
      <c r="BY146" s="10" t="n">
        <f aca="false">BX148</f>
        <v>-1892723.55565747</v>
      </c>
      <c r="BZ146" s="10" t="n">
        <f aca="false">BY148</f>
        <v>-2296589.71829816</v>
      </c>
      <c r="CA146" s="10" t="n">
        <f aca="false">BZ148</f>
        <v>-2700455.88093886</v>
      </c>
      <c r="CB146" s="10" t="n">
        <f aca="false">CA148</f>
        <v>-3104322.04357955</v>
      </c>
      <c r="CC146" s="10" t="n">
        <f aca="false">CB148</f>
        <v>-3508188.20622025</v>
      </c>
      <c r="CD146" s="10" t="n">
        <f aca="false">CC148</f>
        <v>-3912054.36886094</v>
      </c>
      <c r="CE146" s="10" t="n">
        <f aca="false">CD148</f>
        <v>-4315920.53150164</v>
      </c>
      <c r="CF146" s="10" t="n">
        <f aca="false">CE148</f>
        <v>-4719786.69414233</v>
      </c>
      <c r="CG146" s="10" t="n">
        <f aca="false">CF148</f>
        <v>-5123652.85678303</v>
      </c>
      <c r="CH146" s="10" t="n">
        <f aca="false">CG148</f>
        <v>-5527519.01942373</v>
      </c>
      <c r="CI146" s="25"/>
      <c r="CJ146" s="56"/>
      <c r="CK146" s="56"/>
    </row>
    <row r="147" customFormat="false" ht="15" hidden="false" customHeight="true" outlineLevel="0" collapsed="false">
      <c r="A147" s="9" t="s">
        <v>165</v>
      </c>
      <c r="B147" s="24"/>
      <c r="C147" s="10" t="n">
        <f aca="false">C41</f>
        <v>85187.2086787024</v>
      </c>
      <c r="D147" s="10" t="n">
        <f aca="false">D41</f>
        <v>52672.2936148811</v>
      </c>
      <c r="E147" s="10" t="n">
        <f aca="false">E41</f>
        <v>25002.3676362195</v>
      </c>
      <c r="F147" s="10" t="n">
        <f aca="false">F41</f>
        <v>485002.427596377</v>
      </c>
      <c r="G147" s="10" t="n">
        <f aca="false">G41</f>
        <v>167089.09331542</v>
      </c>
      <c r="H147" s="10" t="n">
        <f aca="false">H41</f>
        <v>172737.021718898</v>
      </c>
      <c r="I147" s="10" t="n">
        <f aca="false">I41</f>
        <v>504522.210377636</v>
      </c>
      <c r="J147" s="10" t="n">
        <f aca="false">J41</f>
        <v>552872.091829295</v>
      </c>
      <c r="K147" s="10" t="n">
        <f aca="false">K41</f>
        <v>331043.980342874</v>
      </c>
      <c r="L147" s="10" t="n">
        <f aca="false">L41</f>
        <v>340131.439500752</v>
      </c>
      <c r="M147" s="10" t="n">
        <f aca="false">M41</f>
        <v>346631.350937816</v>
      </c>
      <c r="N147" s="10" t="n">
        <f aca="false">N41</f>
        <v>350382.620938278</v>
      </c>
      <c r="O147" s="10" t="n">
        <f aca="false">O41</f>
        <v>-316770.991969663</v>
      </c>
      <c r="P147" s="10" t="n">
        <f aca="false">P41</f>
        <v>478153.397906424</v>
      </c>
      <c r="Q147" s="10" t="n">
        <f aca="false">Q41</f>
        <v>620933.85107069</v>
      </c>
      <c r="R147" s="10" t="n">
        <f aca="false">R41</f>
        <v>444492.603561529</v>
      </c>
      <c r="S147" s="10" t="n">
        <f aca="false">S41</f>
        <v>257622.563195964</v>
      </c>
      <c r="T147" s="10" t="n">
        <f aca="false">T41</f>
        <v>257451.327379701</v>
      </c>
      <c r="U147" s="10" t="n">
        <f aca="false">U41</f>
        <v>274951.476769931</v>
      </c>
      <c r="V147" s="10" t="n">
        <f aca="false">V41</f>
        <v>228059.229010271</v>
      </c>
      <c r="W147" s="10" t="n">
        <f aca="false">W41</f>
        <v>217036.653563201</v>
      </c>
      <c r="X147" s="10" t="n">
        <f aca="false">X41</f>
        <v>203296.320686128</v>
      </c>
      <c r="Y147" s="10" t="n">
        <f aca="false">Y41</f>
        <v>187631.562687684</v>
      </c>
      <c r="Z147" s="10" t="n">
        <f aca="false">Z41</f>
        <v>170817.448744448</v>
      </c>
      <c r="AA147" s="10" t="n">
        <f aca="false">AA41</f>
        <v>228297.924424959</v>
      </c>
      <c r="AB147" s="10" t="n">
        <f aca="false">AB41</f>
        <v>76252.8105730042</v>
      </c>
      <c r="AC147" s="10" t="n">
        <f aca="false">AC41</f>
        <v>-565857.826780972</v>
      </c>
      <c r="AD147" s="10" t="n">
        <f aca="false">AD41</f>
        <v>120036.649433576</v>
      </c>
      <c r="AE147" s="10" t="n">
        <f aca="false">AE41</f>
        <v>122149.700745913</v>
      </c>
      <c r="AF147" s="10" t="n">
        <f aca="false">AF41</f>
        <v>123446.664076833</v>
      </c>
      <c r="AG147" s="10" t="n">
        <f aca="false">AG41</f>
        <v>244763.169706735</v>
      </c>
      <c r="AH147" s="10" t="n">
        <f aca="false">AH41</f>
        <v>69032.5911753314</v>
      </c>
      <c r="AI147" s="10" t="n">
        <f aca="false">AI41</f>
        <v>312180.390560854</v>
      </c>
      <c r="AJ147" s="10" t="n">
        <f aca="false">AJ41</f>
        <v>-21997.2665801005</v>
      </c>
      <c r="AK147" s="10" t="n">
        <f aca="false">AK41</f>
        <v>-24336.1336897279</v>
      </c>
      <c r="AL147" s="10" t="n">
        <f aca="false">AL41</f>
        <v>62734.2895935067</v>
      </c>
      <c r="AM147" s="10" t="n">
        <f aca="false">AM41</f>
        <v>-76287.4053652636</v>
      </c>
      <c r="AN147" s="10" t="n">
        <f aca="false">AN41</f>
        <v>-78881.3818560234</v>
      </c>
      <c r="AO147" s="10" t="n">
        <f aca="false">AO41</f>
        <v>-82144.1420707539</v>
      </c>
      <c r="AP147" s="10" t="n">
        <f aca="false">AP41</f>
        <v>-86047.5027841792</v>
      </c>
      <c r="AQ147" s="10" t="n">
        <f aca="false">AQ41</f>
        <v>-90553.4298316159</v>
      </c>
      <c r="AR147" s="10" t="n">
        <f aca="false">AR41</f>
        <v>161582.148385811</v>
      </c>
      <c r="AS147" s="10" t="n">
        <f aca="false">AS41</f>
        <v>-223291.511660611</v>
      </c>
      <c r="AT147" s="10" t="n">
        <f aca="false">AT41</f>
        <v>-225013.502424896</v>
      </c>
      <c r="AU147" s="10" t="n">
        <f aca="false">AU41</f>
        <v>-227535.262233039</v>
      </c>
      <c r="AV147" s="10" t="n">
        <f aca="false">AV41</f>
        <v>-230780.258162182</v>
      </c>
      <c r="AW147" s="10" t="n">
        <f aca="false">AW41</f>
        <v>-234658.564027968</v>
      </c>
      <c r="AX147" s="10" t="n">
        <f aca="false">AX41</f>
        <v>-239064.947061468</v>
      </c>
      <c r="AY147" s="10" t="n">
        <f aca="false">AY41</f>
        <v>-246644.144543512</v>
      </c>
      <c r="AZ147" s="10" t="n">
        <f aca="false">AZ41</f>
        <v>-251752.717144226</v>
      </c>
      <c r="BA147" s="10" t="n">
        <f aca="false">BA41</f>
        <v>-257031.575498298</v>
      </c>
      <c r="BB147" s="10" t="n">
        <f aca="false">BB41</f>
        <v>-262365.92022144</v>
      </c>
      <c r="BC147" s="10" t="n">
        <f aca="false">BC41</f>
        <v>-267650.518544726</v>
      </c>
      <c r="BD147" s="10" t="n">
        <f aca="false">BD41</f>
        <v>-272789.704314583</v>
      </c>
      <c r="BE147" s="10" t="n">
        <f aca="false">BE41</f>
        <v>-277705.031285083</v>
      </c>
      <c r="BF147" s="10" t="n">
        <f aca="false">BF41</f>
        <v>-47360.0331487261</v>
      </c>
      <c r="BG147" s="10" t="n">
        <f aca="false">BG41</f>
        <v>-398172.528874179</v>
      </c>
      <c r="BH147" s="10" t="n">
        <f aca="false">BH41</f>
        <v>-398172.528874179</v>
      </c>
      <c r="BI147" s="10" t="n">
        <f aca="false">BI41</f>
        <v>-398172.528874179</v>
      </c>
      <c r="BJ147" s="10" t="n">
        <f aca="false">BJ41</f>
        <v>-398172.528874179</v>
      </c>
      <c r="BK147" s="10" t="n">
        <f aca="false">BK41</f>
        <v>-400991.159451662</v>
      </c>
      <c r="BL147" s="10" t="n">
        <f aca="false">BL41</f>
        <v>-400991.159451662</v>
      </c>
      <c r="BM147" s="10" t="n">
        <f aca="false">BM41</f>
        <v>-400991.159451662</v>
      </c>
      <c r="BN147" s="10" t="n">
        <f aca="false">BN41</f>
        <v>-400991.159451662</v>
      </c>
      <c r="BO147" s="10" t="n">
        <f aca="false">BO41</f>
        <v>-400991.159451662</v>
      </c>
      <c r="BP147" s="10" t="n">
        <f aca="false">BP41</f>
        <v>-400991.159451662</v>
      </c>
      <c r="BQ147" s="10" t="n">
        <f aca="false">BQ41</f>
        <v>-400991.159451662</v>
      </c>
      <c r="BR147" s="10" t="n">
        <f aca="false">BR41</f>
        <v>-400991.159451662</v>
      </c>
      <c r="BS147" s="10" t="n">
        <f aca="false">BS41</f>
        <v>-400991.159451662</v>
      </c>
      <c r="BT147" s="10" t="n">
        <f aca="false">BT41</f>
        <v>-400991.159451662</v>
      </c>
      <c r="BU147" s="10" t="n">
        <f aca="false">BU41</f>
        <v>-400991.159451662</v>
      </c>
      <c r="BV147" s="10" t="n">
        <f aca="false">BV41</f>
        <v>-400991.159451662</v>
      </c>
      <c r="BW147" s="10" t="n">
        <f aca="false">BW41</f>
        <v>-403866.162640695</v>
      </c>
      <c r="BX147" s="10" t="n">
        <f aca="false">BX41</f>
        <v>-403866.162640695</v>
      </c>
      <c r="BY147" s="10" t="n">
        <f aca="false">BY41</f>
        <v>-403866.162640695</v>
      </c>
      <c r="BZ147" s="10" t="n">
        <f aca="false">BZ41</f>
        <v>-403866.162640695</v>
      </c>
      <c r="CA147" s="10" t="n">
        <f aca="false">CA41</f>
        <v>-403866.162640695</v>
      </c>
      <c r="CB147" s="10" t="n">
        <f aca="false">CB41</f>
        <v>-403866.162640695</v>
      </c>
      <c r="CC147" s="10" t="n">
        <f aca="false">CC41</f>
        <v>-403866.162640695</v>
      </c>
      <c r="CD147" s="10" t="n">
        <f aca="false">CD41</f>
        <v>-403866.162640695</v>
      </c>
      <c r="CE147" s="10" t="n">
        <f aca="false">CE41</f>
        <v>-403866.162640695</v>
      </c>
      <c r="CF147" s="10" t="n">
        <f aca="false">CF41</f>
        <v>-403866.162640695</v>
      </c>
      <c r="CG147" s="10" t="n">
        <f aca="false">CG41</f>
        <v>-403866.162640695</v>
      </c>
      <c r="CH147" s="10" t="n">
        <f aca="false">CH41</f>
        <v>-403866.162640695</v>
      </c>
      <c r="CI147" s="25"/>
      <c r="CJ147" s="56"/>
      <c r="CK147" s="56"/>
    </row>
    <row r="148" customFormat="false" ht="15" hidden="false" customHeight="true" outlineLevel="0" collapsed="false">
      <c r="A148" s="59" t="s">
        <v>41</v>
      </c>
      <c r="B148" s="60"/>
      <c r="C148" s="61" t="n">
        <f aca="false">C146+C147</f>
        <v>1737102.8986787</v>
      </c>
      <c r="D148" s="61" t="n">
        <f aca="false">D146+D147</f>
        <v>1789775.19229358</v>
      </c>
      <c r="E148" s="61" t="n">
        <f aca="false">E146+E147</f>
        <v>1814777.5599298</v>
      </c>
      <c r="F148" s="61" t="n">
        <f aca="false">F146+F147</f>
        <v>2299779.98752618</v>
      </c>
      <c r="G148" s="61" t="n">
        <f aca="false">G146+G147</f>
        <v>2466869.0808416</v>
      </c>
      <c r="H148" s="61" t="n">
        <f aca="false">H146+H147</f>
        <v>2639606.1025605</v>
      </c>
      <c r="I148" s="61" t="n">
        <f aca="false">I146+I147</f>
        <v>3144128.31293813</v>
      </c>
      <c r="J148" s="61" t="n">
        <f aca="false">J146+J147</f>
        <v>3697000.40476743</v>
      </c>
      <c r="K148" s="61" t="n">
        <f aca="false">K146+K147</f>
        <v>4028044.3851103</v>
      </c>
      <c r="L148" s="61" t="n">
        <f aca="false">L146+L147</f>
        <v>4368175.82461106</v>
      </c>
      <c r="M148" s="61" t="n">
        <f aca="false">M146+M147</f>
        <v>4714807.17554887</v>
      </c>
      <c r="N148" s="61" t="n">
        <f aca="false">N146+N147</f>
        <v>5065189.79648715</v>
      </c>
      <c r="O148" s="61" t="n">
        <f aca="false">O146+O147</f>
        <v>4748418.80451749</v>
      </c>
      <c r="P148" s="61" t="n">
        <f aca="false">P146+P147</f>
        <v>5226572.20242391</v>
      </c>
      <c r="Q148" s="61" t="n">
        <f aca="false">Q146+Q147</f>
        <v>5847506.0534946</v>
      </c>
      <c r="R148" s="61" t="n">
        <f aca="false">R146+R147</f>
        <v>6291998.65705613</v>
      </c>
      <c r="S148" s="61" t="n">
        <f aca="false">S146+S147</f>
        <v>6549621.22025209</v>
      </c>
      <c r="T148" s="61" t="n">
        <f aca="false">T146+T147</f>
        <v>6807072.54763179</v>
      </c>
      <c r="U148" s="61" t="n">
        <f aca="false">U146+U147</f>
        <v>7082024.02440172</v>
      </c>
      <c r="V148" s="61" t="n">
        <f aca="false">V146+V147</f>
        <v>7310083.253412</v>
      </c>
      <c r="W148" s="61" t="n">
        <f aca="false">W146+W147</f>
        <v>7527119.9069752</v>
      </c>
      <c r="X148" s="61" t="n">
        <f aca="false">X146+X147</f>
        <v>7730416.22766132</v>
      </c>
      <c r="Y148" s="61" t="n">
        <f aca="false">Y146+Y147</f>
        <v>7918047.79034901</v>
      </c>
      <c r="Z148" s="61" t="n">
        <f aca="false">Z146+Z147</f>
        <v>8088865.23909346</v>
      </c>
      <c r="AA148" s="61" t="n">
        <f aca="false">AA146+AA147</f>
        <v>8317163.16351841</v>
      </c>
      <c r="AB148" s="61" t="n">
        <f aca="false">AB146+AB147</f>
        <v>8393415.97409142</v>
      </c>
      <c r="AC148" s="61" t="n">
        <f aca="false">AC146+AC147</f>
        <v>7827558.14731045</v>
      </c>
      <c r="AD148" s="61" t="n">
        <f aca="false">AD146+AD147</f>
        <v>7947594.79674402</v>
      </c>
      <c r="AE148" s="61" t="n">
        <f aca="false">AE146+AE147</f>
        <v>8069744.49748994</v>
      </c>
      <c r="AF148" s="61" t="n">
        <f aca="false">AF146+AF147</f>
        <v>8193191.16156677</v>
      </c>
      <c r="AG148" s="61" t="n">
        <f aca="false">AG146+AG147</f>
        <v>8437954.3312735</v>
      </c>
      <c r="AH148" s="61" t="n">
        <f aca="false">AH146+AH147</f>
        <v>8506986.92244883</v>
      </c>
      <c r="AI148" s="61" t="n">
        <f aca="false">AI146+AI147</f>
        <v>8819167.31300969</v>
      </c>
      <c r="AJ148" s="61" t="n">
        <f aca="false">AJ146+AJ147</f>
        <v>8797170.04642959</v>
      </c>
      <c r="AK148" s="61" t="n">
        <f aca="false">AK146+AK147</f>
        <v>8772833.91273986</v>
      </c>
      <c r="AL148" s="61" t="n">
        <f aca="false">AL146+AL147</f>
        <v>8835568.20233337</v>
      </c>
      <c r="AM148" s="61" t="n">
        <f aca="false">AM146+AM147</f>
        <v>8759280.7969681</v>
      </c>
      <c r="AN148" s="61" t="n">
        <f aca="false">AN146+AN147</f>
        <v>8680399.41511208</v>
      </c>
      <c r="AO148" s="61" t="n">
        <f aca="false">AO146+AO147</f>
        <v>8598255.27304133</v>
      </c>
      <c r="AP148" s="61" t="n">
        <f aca="false">AP146+AP147</f>
        <v>8512207.77025715</v>
      </c>
      <c r="AQ148" s="61" t="n">
        <f aca="false">AQ146+AQ147</f>
        <v>8421654.34042553</v>
      </c>
      <c r="AR148" s="61" t="n">
        <f aca="false">AR146+AR147</f>
        <v>8583236.48881134</v>
      </c>
      <c r="AS148" s="61" t="n">
        <f aca="false">AS146+AS147</f>
        <v>8359944.97715073</v>
      </c>
      <c r="AT148" s="61" t="n">
        <f aca="false">AT146+AT147</f>
        <v>8134931.47472583</v>
      </c>
      <c r="AU148" s="61" t="n">
        <f aca="false">AU146+AU147</f>
        <v>7907396.2124928</v>
      </c>
      <c r="AV148" s="61" t="n">
        <f aca="false">AV146+AV147</f>
        <v>7676615.95433061</v>
      </c>
      <c r="AW148" s="61" t="n">
        <f aca="false">AW146+AW147</f>
        <v>7441957.39030265</v>
      </c>
      <c r="AX148" s="61" t="n">
        <f aca="false">AX146+AX147</f>
        <v>7202892.44324118</v>
      </c>
      <c r="AY148" s="61" t="n">
        <f aca="false">AY146+AY147</f>
        <v>6956248.29869767</v>
      </c>
      <c r="AZ148" s="61" t="n">
        <f aca="false">AZ146+AZ147</f>
        <v>6704495.58155344</v>
      </c>
      <c r="BA148" s="61" t="n">
        <f aca="false">BA146+BA147</f>
        <v>6447464.00605514</v>
      </c>
      <c r="BB148" s="61" t="n">
        <f aca="false">BB146+BB147</f>
        <v>6185098.0858337</v>
      </c>
      <c r="BC148" s="61" t="n">
        <f aca="false">BC146+BC147</f>
        <v>5917447.56728898</v>
      </c>
      <c r="BD148" s="61" t="n">
        <f aca="false">BD146+BD147</f>
        <v>5644657.86297439</v>
      </c>
      <c r="BE148" s="61" t="n">
        <f aca="false">BE146+BE147</f>
        <v>5366952.83168931</v>
      </c>
      <c r="BF148" s="61" t="n">
        <f aca="false">BF146+BF147</f>
        <v>5319592.79854058</v>
      </c>
      <c r="BG148" s="61" t="n">
        <f aca="false">BG146+BG147</f>
        <v>4921420.2696664</v>
      </c>
      <c r="BH148" s="61" t="n">
        <f aca="false">BH146+BH147</f>
        <v>4523247.74079223</v>
      </c>
      <c r="BI148" s="61" t="n">
        <f aca="false">BI146+BI147</f>
        <v>4125075.21191805</v>
      </c>
      <c r="BJ148" s="61" t="n">
        <f aca="false">BJ146+BJ147</f>
        <v>3726902.68304387</v>
      </c>
      <c r="BK148" s="61" t="n">
        <f aca="false">BK146+BK147</f>
        <v>3325911.52359221</v>
      </c>
      <c r="BL148" s="61" t="n">
        <f aca="false">BL146+BL147</f>
        <v>2924920.36414055</v>
      </c>
      <c r="BM148" s="61" t="n">
        <f aca="false">BM146+BM147</f>
        <v>2523929.20468888</v>
      </c>
      <c r="BN148" s="61" t="n">
        <f aca="false">BN146+BN147</f>
        <v>2122938.04523722</v>
      </c>
      <c r="BO148" s="61" t="n">
        <f aca="false">BO146+BO147</f>
        <v>1721946.88578556</v>
      </c>
      <c r="BP148" s="61" t="n">
        <f aca="false">BP146+BP147</f>
        <v>1320955.7263339</v>
      </c>
      <c r="BQ148" s="61" t="n">
        <f aca="false">BQ146+BQ147</f>
        <v>919964.566882235</v>
      </c>
      <c r="BR148" s="61" t="n">
        <f aca="false">BR146+BR147</f>
        <v>518973.407430572</v>
      </c>
      <c r="BS148" s="61" t="n">
        <f aca="false">BS146+BS147</f>
        <v>117982.24797891</v>
      </c>
      <c r="BT148" s="61" t="n">
        <f aca="false">BT146+BT147</f>
        <v>-283008.911472752</v>
      </c>
      <c r="BU148" s="61" t="n">
        <f aca="false">BU146+BU147</f>
        <v>-684000.070924414</v>
      </c>
      <c r="BV148" s="61" t="n">
        <f aca="false">BV146+BV147</f>
        <v>-1084991.23037608</v>
      </c>
      <c r="BW148" s="61" t="n">
        <f aca="false">BW146+BW147</f>
        <v>-1488857.39301677</v>
      </c>
      <c r="BX148" s="61" t="n">
        <f aca="false">BX146+BX147</f>
        <v>-1892723.55565747</v>
      </c>
      <c r="BY148" s="61" t="n">
        <f aca="false">BY146+BY147</f>
        <v>-2296589.71829816</v>
      </c>
      <c r="BZ148" s="61" t="n">
        <f aca="false">BZ146+BZ147</f>
        <v>-2700455.88093886</v>
      </c>
      <c r="CA148" s="61" t="n">
        <f aca="false">CA146+CA147</f>
        <v>-3104322.04357955</v>
      </c>
      <c r="CB148" s="61" t="n">
        <f aca="false">CB146+CB147</f>
        <v>-3508188.20622025</v>
      </c>
      <c r="CC148" s="61" t="n">
        <f aca="false">CC146+CC147</f>
        <v>-3912054.36886094</v>
      </c>
      <c r="CD148" s="61" t="n">
        <f aca="false">CD146+CD147</f>
        <v>-4315920.53150164</v>
      </c>
      <c r="CE148" s="61" t="n">
        <f aca="false">CE146+CE147</f>
        <v>-4719786.69414233</v>
      </c>
      <c r="CF148" s="61" t="n">
        <f aca="false">CF146+CF147</f>
        <v>-5123652.85678303</v>
      </c>
      <c r="CG148" s="61" t="n">
        <f aca="false">CG146+CG147</f>
        <v>-5527519.01942373</v>
      </c>
      <c r="CH148" s="61" t="n">
        <f aca="false">CH146+CH147</f>
        <v>-5931385.18206442</v>
      </c>
      <c r="CI148" s="25"/>
      <c r="CJ148" s="56"/>
      <c r="CK148" s="56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5"/>
      <c r="CJ149" s="56"/>
      <c r="CK149" s="56"/>
    </row>
    <row r="150" customFormat="false" ht="15" hidden="false" customHeight="true" outlineLevel="0" collapsed="false">
      <c r="A150" s="8" t="s">
        <v>166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Assumptions!$B$30</f>
        <v>451631.16</v>
      </c>
      <c r="D151" s="10" t="n">
        <f aca="false">C156</f>
        <v>378431.156666667</v>
      </c>
      <c r="E151" s="10" t="n">
        <f aca="false">D156</f>
        <v>305231.153333333</v>
      </c>
      <c r="F151" s="10" t="n">
        <f aca="false">E156</f>
        <v>232031.15</v>
      </c>
      <c r="G151" s="10" t="n">
        <f aca="false">F156</f>
        <v>135831.146666667</v>
      </c>
      <c r="H151" s="10" t="n">
        <f aca="false">G156</f>
        <v>62631.1433333333</v>
      </c>
      <c r="I151" s="10" t="n">
        <f aca="false">H156</f>
        <v>-11402.19</v>
      </c>
      <c r="J151" s="10" t="n">
        <f aca="false">I156</f>
        <v>-215435.523333333</v>
      </c>
      <c r="K151" s="10" t="n">
        <f aca="false">J156</f>
        <v>-428843.856666667</v>
      </c>
      <c r="L151" s="10" t="n">
        <f aca="false">K156</f>
        <v>-663252.19</v>
      </c>
      <c r="M151" s="10" t="n">
        <f aca="false">L156</f>
        <v>-864528.692933333</v>
      </c>
      <c r="N151" s="10" t="n">
        <f aca="false">M156</f>
        <v>-1315805.19586667</v>
      </c>
      <c r="O151" s="10" t="n">
        <f aca="false">N156</f>
        <v>-1517081.6988</v>
      </c>
      <c r="P151" s="10" t="n">
        <f aca="false">O156</f>
        <v>-1720694.4934</v>
      </c>
      <c r="Q151" s="10" t="n">
        <f aca="false">P156</f>
        <v>-1924307.288</v>
      </c>
      <c r="R151" s="10" t="n">
        <f aca="false">Q156</f>
        <v>-2127920.0826</v>
      </c>
      <c r="S151" s="10" t="n">
        <f aca="false">R156</f>
        <v>-2374827.2648</v>
      </c>
      <c r="T151" s="10" t="n">
        <f aca="false">S156</f>
        <v>-2581702.1846</v>
      </c>
      <c r="U151" s="10" t="n">
        <f aca="false">T156</f>
        <v>-2772004.842</v>
      </c>
      <c r="V151" s="10" t="n">
        <f aca="false">U156</f>
        <v>-2945735.2434</v>
      </c>
      <c r="W151" s="10" t="n">
        <f aca="false">V156</f>
        <v>-3102893.376</v>
      </c>
      <c r="X151" s="10" t="n">
        <f aca="false">W156</f>
        <v>-3143493.49588545</v>
      </c>
      <c r="Y151" s="10" t="n">
        <f aca="false">X156</f>
        <v>-3137507.11648545</v>
      </c>
      <c r="Z151" s="10" t="n">
        <f aca="false">Y156</f>
        <v>-3364948.47468545</v>
      </c>
      <c r="AA151" s="10" t="n">
        <f aca="false">Z156</f>
        <v>-3268442.56408545</v>
      </c>
      <c r="AB151" s="10" t="n">
        <f aca="false">AA156</f>
        <v>-3215122.41498545</v>
      </c>
      <c r="AC151" s="10" t="n">
        <f aca="false">AB156</f>
        <v>-3145229.99708545</v>
      </c>
      <c r="AD151" s="10" t="n">
        <f aca="false">AC156</f>
        <v>-2972558.09918545</v>
      </c>
      <c r="AE151" s="10" t="n">
        <f aca="false">AD156</f>
        <v>-2938354.30528545</v>
      </c>
      <c r="AF151" s="10" t="n">
        <f aca="false">AE156</f>
        <v>-2879720.75458545</v>
      </c>
      <c r="AG151" s="10" t="n">
        <f aca="false">AF156</f>
        <v>-2820586.65988545</v>
      </c>
      <c r="AH151" s="10" t="n">
        <f aca="false">AG156</f>
        <v>-2770452.01478545</v>
      </c>
      <c r="AI151" s="10" t="n">
        <f aca="false">AH156</f>
        <v>-2719816.82568545</v>
      </c>
      <c r="AJ151" s="10" t="n">
        <f aca="false">AI156</f>
        <v>-2673957.22378545</v>
      </c>
      <c r="AK151" s="10" t="n">
        <f aca="false">AJ156</f>
        <v>-2622320.92748545</v>
      </c>
      <c r="AL151" s="10" t="n">
        <f aca="false">AK156</f>
        <v>-2836756.34318545</v>
      </c>
      <c r="AM151" s="10" t="n">
        <f aca="false">AL156</f>
        <v>-2817263.47088545</v>
      </c>
      <c r="AN151" s="10" t="n">
        <f aca="false">AM156</f>
        <v>-2816272.99483545</v>
      </c>
      <c r="AO151" s="10" t="n">
        <f aca="false">AN156</f>
        <v>-2831354.22438545</v>
      </c>
      <c r="AP151" s="10" t="n">
        <f aca="false">AO156</f>
        <v>-2862507.16593545</v>
      </c>
      <c r="AQ151" s="10" t="n">
        <f aca="false">AP156</f>
        <v>-2934139.60988545</v>
      </c>
      <c r="AR151" s="10" t="n">
        <f aca="false">AQ156</f>
        <v>-2997435.97543545</v>
      </c>
      <c r="AS151" s="10" t="n">
        <f aca="false">AR156</f>
        <v>-3076804.05298545</v>
      </c>
      <c r="AT151" s="10" t="n">
        <f aca="false">AS156</f>
        <v>-3104468.55933545</v>
      </c>
      <c r="AU151" s="10" t="n">
        <f aca="false">AT156</f>
        <v>-3148705.32168545</v>
      </c>
      <c r="AV151" s="10" t="n">
        <f aca="false">AU156</f>
        <v>-3247871.42003545</v>
      </c>
      <c r="AW151" s="10" t="n">
        <f aca="false">AV156</f>
        <v>-3325252.70078545</v>
      </c>
      <c r="AX151" s="10" t="n">
        <f aca="false">AW156</f>
        <v>-3403134.53833545</v>
      </c>
      <c r="AY151" s="10" t="n">
        <f aca="false">AX156</f>
        <v>-3481516.91988545</v>
      </c>
      <c r="AZ151" s="10" t="n">
        <f aca="false">AY156</f>
        <v>-3562879.14324245</v>
      </c>
      <c r="BA151" s="10" t="n">
        <f aca="false">AZ156</f>
        <v>-3644741.91699945</v>
      </c>
      <c r="BB151" s="10" t="n">
        <f aca="false">BA156</f>
        <v>-3727105.24115645</v>
      </c>
      <c r="BC151" s="10" t="n">
        <f aca="false">BB156</f>
        <v>-3834865.05539345</v>
      </c>
      <c r="BD151" s="10" t="n">
        <f aca="false">BC156</f>
        <v>-3918229.48035045</v>
      </c>
      <c r="BE151" s="10" t="n">
        <f aca="false">BD156</f>
        <v>-4002094.45570745</v>
      </c>
      <c r="BF151" s="10" t="n">
        <f aca="false">BE156</f>
        <v>-4086459.98146445</v>
      </c>
      <c r="BG151" s="10" t="n">
        <f aca="false">BF156</f>
        <v>-4171326.05762145</v>
      </c>
      <c r="BH151" s="10" t="n">
        <f aca="false">BG156</f>
        <v>-4279423.75313845</v>
      </c>
      <c r="BI151" s="10" t="n">
        <f aca="false">BH156</f>
        <v>-4336090.13009545</v>
      </c>
      <c r="BJ151" s="10" t="n">
        <f aca="false">BI156</f>
        <v>-4393257.05745245</v>
      </c>
      <c r="BK151" s="10" t="n">
        <f aca="false">BJ156</f>
        <v>-4383149.24560945</v>
      </c>
      <c r="BL151" s="10" t="n">
        <f aca="false">BK156</f>
        <v>-4512121.98460159</v>
      </c>
      <c r="BM151" s="10" t="n">
        <f aca="false">BL156</f>
        <v>-4641094.72359373</v>
      </c>
      <c r="BN151" s="10" t="n">
        <f aca="false">BM156</f>
        <v>-4770067.46258587</v>
      </c>
      <c r="BO151" s="10" t="n">
        <f aca="false">BN156</f>
        <v>-4924434.0600516</v>
      </c>
      <c r="BP151" s="10" t="n">
        <f aca="false">BO156</f>
        <v>-5053406.79904374</v>
      </c>
      <c r="BQ151" s="10" t="n">
        <f aca="false">BP156</f>
        <v>-5130866.01803588</v>
      </c>
      <c r="BR151" s="10" t="n">
        <f aca="false">BQ156</f>
        <v>-5259838.75702802</v>
      </c>
      <c r="BS151" s="10" t="n">
        <f aca="false">BR156</f>
        <v>-5388811.49602016</v>
      </c>
      <c r="BT151" s="10" t="n">
        <f aca="false">BS156</f>
        <v>-5473207.9318795</v>
      </c>
      <c r="BU151" s="10" t="n">
        <f aca="false">BT156</f>
        <v>-5602180.67087164</v>
      </c>
      <c r="BV151" s="10" t="n">
        <f aca="false">BU156</f>
        <v>-5731153.40986378</v>
      </c>
      <c r="BW151" s="10" t="n">
        <f aca="false">BV156</f>
        <v>-5792364.14885592</v>
      </c>
      <c r="BX151" s="10" t="n">
        <f aca="false">BW156</f>
        <v>-5923916.34262791</v>
      </c>
      <c r="BY151" s="10" t="n">
        <f aca="false">BX156</f>
        <v>-6055468.53639989</v>
      </c>
      <c r="BZ151" s="10" t="n">
        <f aca="false">BY156</f>
        <v>-6119258.73017187</v>
      </c>
      <c r="CA151" s="10" t="n">
        <f aca="false">BZ156</f>
        <v>-6276712.65958693</v>
      </c>
      <c r="CB151" s="10" t="n">
        <f aca="false">CA156</f>
        <v>-6408264.85335891</v>
      </c>
      <c r="CC151" s="10" t="n">
        <f aca="false">CB156</f>
        <v>-6463318.04713089</v>
      </c>
      <c r="CD151" s="10" t="n">
        <f aca="false">CC156</f>
        <v>-6594870.24090287</v>
      </c>
      <c r="CE151" s="10" t="n">
        <f aca="false">CD156</f>
        <v>-6726422.43467486</v>
      </c>
      <c r="CF151" s="10" t="n">
        <f aca="false">CE156</f>
        <v>-6805125.03925138</v>
      </c>
      <c r="CG151" s="10" t="n">
        <f aca="false">CF156</f>
        <v>-6936677.23302337</v>
      </c>
      <c r="CH151" s="10" t="n">
        <f aca="false">CG156</f>
        <v>-7068229.42679535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C87</f>
        <v>-73200.0033333333</v>
      </c>
      <c r="D152" s="10" t="n">
        <f aca="false">D87</f>
        <v>-73200.0033333333</v>
      </c>
      <c r="E152" s="10" t="n">
        <f aca="false">E87</f>
        <v>-73200.0033333333</v>
      </c>
      <c r="F152" s="10" t="n">
        <f aca="false">F87</f>
        <v>-96200.0033333333</v>
      </c>
      <c r="G152" s="10" t="n">
        <f aca="false">G87</f>
        <v>-73200.0033333333</v>
      </c>
      <c r="H152" s="10" t="n">
        <f aca="false">H87</f>
        <v>-74033.3333333333</v>
      </c>
      <c r="I152" s="10" t="n">
        <f aca="false">I87</f>
        <v>-74033.3333333333</v>
      </c>
      <c r="J152" s="10" t="n">
        <f aca="false">J87</f>
        <v>-83408.3333333333</v>
      </c>
      <c r="K152" s="10" t="n">
        <f aca="false">K87</f>
        <v>-104408.333333333</v>
      </c>
      <c r="L152" s="10" t="n">
        <f aca="false">L87</f>
        <v>-71276.5029333333</v>
      </c>
      <c r="M152" s="10" t="n">
        <f aca="false">M87</f>
        <v>-71276.5029333333</v>
      </c>
      <c r="N152" s="10" t="n">
        <f aca="false">N87</f>
        <v>-71276.5029333333</v>
      </c>
      <c r="O152" s="10" t="n">
        <f aca="false">O87</f>
        <v>-73612.7946</v>
      </c>
      <c r="P152" s="10" t="n">
        <f aca="false">P87</f>
        <v>-73612.7946</v>
      </c>
      <c r="Q152" s="10" t="n">
        <f aca="false">Q87</f>
        <v>-73612.7946</v>
      </c>
      <c r="R152" s="10" t="n">
        <f aca="false">R87</f>
        <v>-116907.1822</v>
      </c>
      <c r="S152" s="10" t="n">
        <f aca="false">S87</f>
        <v>-76874.9198</v>
      </c>
      <c r="T152" s="10" t="n">
        <f aca="false">T87</f>
        <v>-60302.6574</v>
      </c>
      <c r="U152" s="10" t="n">
        <f aca="false">U87</f>
        <v>-43730.4014</v>
      </c>
      <c r="V152" s="10" t="n">
        <f aca="false">V87</f>
        <v>-27158.1326</v>
      </c>
      <c r="W152" s="10" t="n">
        <f aca="false">W87</f>
        <v>25369.1234</v>
      </c>
      <c r="X152" s="10" t="n">
        <f aca="false">X87</f>
        <v>5986.37939999999</v>
      </c>
      <c r="Y152" s="10" t="n">
        <f aca="false">Y87</f>
        <v>22558.6418</v>
      </c>
      <c r="Z152" s="10" t="n">
        <f aca="false">Z87</f>
        <v>96505.9106</v>
      </c>
      <c r="AA152" s="10" t="n">
        <f aca="false">AA87</f>
        <v>53320.1491</v>
      </c>
      <c r="AB152" s="10" t="n">
        <f aca="false">AB87</f>
        <v>69892.4179</v>
      </c>
      <c r="AC152" s="10" t="n">
        <f aca="false">AC87</f>
        <v>172671.8979</v>
      </c>
      <c r="AD152" s="10" t="n">
        <f aca="false">AD87</f>
        <v>34203.7939</v>
      </c>
      <c r="AE152" s="10" t="n">
        <f aca="false">AE87</f>
        <v>58633.5507</v>
      </c>
      <c r="AF152" s="10" t="n">
        <f aca="false">AF87</f>
        <v>59134.0947</v>
      </c>
      <c r="AG152" s="10" t="n">
        <f aca="false">AG87</f>
        <v>50134.6451</v>
      </c>
      <c r="AH152" s="10" t="n">
        <f aca="false">AH87</f>
        <v>50635.1891</v>
      </c>
      <c r="AI152" s="10" t="n">
        <f aca="false">AI87</f>
        <v>45859.6019</v>
      </c>
      <c r="AJ152" s="10" t="n">
        <f aca="false">AJ87</f>
        <v>51636.2963</v>
      </c>
      <c r="AK152" s="10" t="n">
        <f aca="false">AK87</f>
        <v>35564.5843</v>
      </c>
      <c r="AL152" s="10" t="n">
        <f aca="false">AL87</f>
        <v>19492.8723</v>
      </c>
      <c r="AM152" s="10" t="n">
        <f aca="false">AM87</f>
        <v>990.476049999998</v>
      </c>
      <c r="AN152" s="10" t="n">
        <f aca="false">AN87</f>
        <v>-15081.22955</v>
      </c>
      <c r="AO152" s="10" t="n">
        <f aca="false">AO87</f>
        <v>-31152.94155</v>
      </c>
      <c r="AP152" s="10" t="n">
        <f aca="false">AP87</f>
        <v>-71632.44395</v>
      </c>
      <c r="AQ152" s="10" t="n">
        <f aca="false">AQ87</f>
        <v>-63296.36555</v>
      </c>
      <c r="AR152" s="10" t="n">
        <f aca="false">AR87</f>
        <v>-79368.07755</v>
      </c>
      <c r="AS152" s="10" t="n">
        <f aca="false">AS87</f>
        <v>-27664.50635</v>
      </c>
      <c r="AT152" s="10" t="n">
        <f aca="false">AT87</f>
        <v>-44236.76235</v>
      </c>
      <c r="AU152" s="10" t="n">
        <f aca="false">AU87</f>
        <v>-99166.09835</v>
      </c>
      <c r="AV152" s="10" t="n">
        <f aca="false">AV87</f>
        <v>-77381.28075</v>
      </c>
      <c r="AW152" s="10" t="n">
        <f aca="false">AW87</f>
        <v>-77881.83755</v>
      </c>
      <c r="AX152" s="10" t="n">
        <f aca="false">AX87</f>
        <v>-78382.38155</v>
      </c>
      <c r="AY152" s="10" t="n">
        <f aca="false">AY87</f>
        <v>-81362.223357</v>
      </c>
      <c r="AZ152" s="10" t="n">
        <f aca="false">AZ87</f>
        <v>-81862.773757</v>
      </c>
      <c r="BA152" s="10" t="n">
        <f aca="false">BA87</f>
        <v>-82363.3241569999</v>
      </c>
      <c r="BB152" s="10" t="n">
        <f aca="false">BB87</f>
        <v>-107759.814237</v>
      </c>
      <c r="BC152" s="10" t="n">
        <f aca="false">BC87</f>
        <v>-83364.424957</v>
      </c>
      <c r="BD152" s="10" t="n">
        <f aca="false">BD87</f>
        <v>-83864.975357</v>
      </c>
      <c r="BE152" s="10" t="n">
        <f aca="false">BE87</f>
        <v>-84365.525757</v>
      </c>
      <c r="BF152" s="10" t="n">
        <f aca="false">BF87</f>
        <v>-84866.076157</v>
      </c>
      <c r="BG152" s="10" t="n">
        <f aca="false">BG87</f>
        <v>-108097.695517</v>
      </c>
      <c r="BH152" s="10" t="n">
        <f aca="false">BH87</f>
        <v>-56666.376957</v>
      </c>
      <c r="BI152" s="10" t="n">
        <f aca="false">BI87</f>
        <v>-57166.927357</v>
      </c>
      <c r="BJ152" s="10" t="n">
        <f aca="false">BJ87</f>
        <v>10107.811843</v>
      </c>
      <c r="BK152" s="10" t="n">
        <f aca="false">BK87</f>
        <v>-128972.73899214</v>
      </c>
      <c r="BL152" s="10" t="n">
        <f aca="false">BL87</f>
        <v>-128972.73899214</v>
      </c>
      <c r="BM152" s="10" t="n">
        <f aca="false">BM87</f>
        <v>-128972.73899214</v>
      </c>
      <c r="BN152" s="10" t="n">
        <f aca="false">BN87</f>
        <v>-154366.59746574</v>
      </c>
      <c r="BO152" s="10" t="n">
        <f aca="false">BO87</f>
        <v>-128972.73899214</v>
      </c>
      <c r="BP152" s="10" t="n">
        <f aca="false">BP87</f>
        <v>-77459.21899214</v>
      </c>
      <c r="BQ152" s="10" t="n">
        <f aca="false">BQ87</f>
        <v>-128972.73899214</v>
      </c>
      <c r="BR152" s="10" t="n">
        <f aca="false">BR87</f>
        <v>-128972.73899214</v>
      </c>
      <c r="BS152" s="10" t="n">
        <f aca="false">BS87</f>
        <v>-84396.43585934</v>
      </c>
      <c r="BT152" s="10" t="n">
        <f aca="false">BT87</f>
        <v>-128972.73899214</v>
      </c>
      <c r="BU152" s="10" t="n">
        <f aca="false">BU87</f>
        <v>-128972.73899214</v>
      </c>
      <c r="BV152" s="10" t="n">
        <f aca="false">BV87</f>
        <v>-61210.73899214</v>
      </c>
      <c r="BW152" s="10" t="n">
        <f aca="false">BW87</f>
        <v>-131552.193771983</v>
      </c>
      <c r="BX152" s="10" t="n">
        <f aca="false">BX87</f>
        <v>-131552.193771983</v>
      </c>
      <c r="BY152" s="10" t="n">
        <f aca="false">BY87</f>
        <v>-63790.1937719828</v>
      </c>
      <c r="BZ152" s="10" t="n">
        <f aca="false">BZ87</f>
        <v>-157453.929415055</v>
      </c>
      <c r="CA152" s="10" t="n">
        <f aca="false">CA87</f>
        <v>-131552.193771983</v>
      </c>
      <c r="CB152" s="10" t="n">
        <f aca="false">CB87</f>
        <v>-55053.1937719828</v>
      </c>
      <c r="CC152" s="10" t="n">
        <f aca="false">CC87</f>
        <v>-131552.193771983</v>
      </c>
      <c r="CD152" s="10" t="n">
        <f aca="false">CD87</f>
        <v>-131552.193771983</v>
      </c>
      <c r="CE152" s="10" t="n">
        <f aca="false">CE87</f>
        <v>-78702.6045765268</v>
      </c>
      <c r="CF152" s="10" t="n">
        <f aca="false">CF87</f>
        <v>-131552.193771983</v>
      </c>
      <c r="CG152" s="10" t="n">
        <f aca="false">CG87</f>
        <v>-131552.193771983</v>
      </c>
      <c r="CH152" s="10" t="n">
        <f aca="false">CH87</f>
        <v>-48445.1671655036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C101</f>
        <v>0</v>
      </c>
      <c r="D153" s="10" t="n">
        <f aca="false">D101</f>
        <v>0</v>
      </c>
      <c r="E153" s="10" t="n">
        <f aca="false">E101</f>
        <v>0</v>
      </c>
      <c r="F153" s="10" t="n">
        <f aca="false">F101</f>
        <v>0</v>
      </c>
      <c r="G153" s="10" t="n">
        <f aca="false">G101</f>
        <v>0</v>
      </c>
      <c r="H153" s="10" t="n">
        <f aca="false">H101</f>
        <v>0</v>
      </c>
      <c r="I153" s="10" t="n">
        <f aca="false">I101</f>
        <v>-130000</v>
      </c>
      <c r="J153" s="10" t="n">
        <f aca="false">J101</f>
        <v>-130000</v>
      </c>
      <c r="K153" s="10" t="n">
        <f aca="false">K101</f>
        <v>-130000</v>
      </c>
      <c r="L153" s="10" t="n">
        <f aca="false">L101</f>
        <v>-130000</v>
      </c>
      <c r="M153" s="10" t="n">
        <f aca="false">M101</f>
        <v>-130000</v>
      </c>
      <c r="N153" s="10" t="n">
        <f aca="false">N101</f>
        <v>-130000</v>
      </c>
      <c r="O153" s="10" t="n">
        <f aca="false">O101</f>
        <v>-130000</v>
      </c>
      <c r="P153" s="10" t="n">
        <f aca="false">P101</f>
        <v>-130000</v>
      </c>
      <c r="Q153" s="10" t="n">
        <f aca="false">Q101</f>
        <v>-130000</v>
      </c>
      <c r="R153" s="10" t="n">
        <f aca="false">R101</f>
        <v>-130000</v>
      </c>
      <c r="S153" s="10" t="n">
        <f aca="false">S101</f>
        <v>-130000</v>
      </c>
      <c r="T153" s="10" t="n">
        <f aca="false">T101</f>
        <v>-130000</v>
      </c>
      <c r="U153" s="10" t="n">
        <f aca="false">U101</f>
        <v>-130000</v>
      </c>
      <c r="V153" s="10" t="n">
        <f aca="false">V101</f>
        <v>-130000</v>
      </c>
      <c r="W153" s="10" t="n">
        <f aca="false">W101</f>
        <v>-65969.2432854451</v>
      </c>
      <c r="X153" s="10" t="n">
        <f aca="false">X101</f>
        <v>0</v>
      </c>
      <c r="Y153" s="10" t="n">
        <f aca="false">Y101</f>
        <v>0</v>
      </c>
      <c r="Z153" s="10" t="n">
        <f aca="false">Z101</f>
        <v>0</v>
      </c>
      <c r="AA153" s="10" t="n">
        <f aca="false">AA101</f>
        <v>0</v>
      </c>
      <c r="AB153" s="10" t="n">
        <f aca="false">AB101</f>
        <v>0</v>
      </c>
      <c r="AC153" s="10" t="n">
        <f aca="false">AC101</f>
        <v>0</v>
      </c>
      <c r="AD153" s="10" t="n">
        <f aca="false">AD101</f>
        <v>0</v>
      </c>
      <c r="AE153" s="10" t="n">
        <f aca="false">AE101</f>
        <v>0</v>
      </c>
      <c r="AF153" s="10" t="n">
        <f aca="false">AF101</f>
        <v>0</v>
      </c>
      <c r="AG153" s="10" t="n">
        <f aca="false">AG101</f>
        <v>0</v>
      </c>
      <c r="AH153" s="10" t="n">
        <f aca="false">AH101</f>
        <v>0</v>
      </c>
      <c r="AI153" s="10" t="n">
        <f aca="false">AI101</f>
        <v>0</v>
      </c>
      <c r="AJ153" s="10" t="n">
        <f aca="false">AJ101</f>
        <v>0</v>
      </c>
      <c r="AK153" s="10" t="n">
        <f aca="false">AK101</f>
        <v>0</v>
      </c>
      <c r="AL153" s="10" t="n">
        <f aca="false">AL101</f>
        <v>0</v>
      </c>
      <c r="AM153" s="10" t="n">
        <f aca="false">AM101</f>
        <v>0</v>
      </c>
      <c r="AN153" s="10" t="n">
        <f aca="false">AN101</f>
        <v>0</v>
      </c>
      <c r="AO153" s="10" t="n">
        <f aca="false">AO101</f>
        <v>0</v>
      </c>
      <c r="AP153" s="10" t="n">
        <f aca="false">AP101</f>
        <v>0</v>
      </c>
      <c r="AQ153" s="10" t="n">
        <f aca="false">AQ101</f>
        <v>0</v>
      </c>
      <c r="AR153" s="10" t="n">
        <f aca="false">AR101</f>
        <v>0</v>
      </c>
      <c r="AS153" s="10" t="n">
        <f aca="false">AS101</f>
        <v>0</v>
      </c>
      <c r="AT153" s="10" t="n">
        <f aca="false">AT101</f>
        <v>0</v>
      </c>
      <c r="AU153" s="10" t="n">
        <f aca="false">AU101</f>
        <v>0</v>
      </c>
      <c r="AV153" s="10" t="n">
        <f aca="false">AV101</f>
        <v>0</v>
      </c>
      <c r="AW153" s="10" t="n">
        <f aca="false">AW101</f>
        <v>0</v>
      </c>
      <c r="AX153" s="10" t="n">
        <f aca="false">AX101</f>
        <v>0</v>
      </c>
      <c r="AY153" s="10" t="n">
        <f aca="false">AY101</f>
        <v>0</v>
      </c>
      <c r="AZ153" s="10" t="n">
        <f aca="false">AZ101</f>
        <v>0</v>
      </c>
      <c r="BA153" s="10" t="n">
        <f aca="false">BA101</f>
        <v>0</v>
      </c>
      <c r="BB153" s="10" t="n">
        <f aca="false">BB101</f>
        <v>0</v>
      </c>
      <c r="BC153" s="10" t="n">
        <f aca="false">BC101</f>
        <v>0</v>
      </c>
      <c r="BD153" s="10" t="n">
        <f aca="false">BD101</f>
        <v>0</v>
      </c>
      <c r="BE153" s="10" t="n">
        <f aca="false">BE101</f>
        <v>0</v>
      </c>
      <c r="BF153" s="10" t="n">
        <f aca="false">BF101</f>
        <v>0</v>
      </c>
      <c r="BG153" s="10" t="n">
        <f aca="false">BG101</f>
        <v>0</v>
      </c>
      <c r="BH153" s="10" t="n">
        <f aca="false">BH101</f>
        <v>0</v>
      </c>
      <c r="BI153" s="10" t="n">
        <f aca="false">BI101</f>
        <v>0</v>
      </c>
      <c r="BJ153" s="10" t="n">
        <f aca="false">BJ101</f>
        <v>0</v>
      </c>
      <c r="BK153" s="10" t="n">
        <f aca="false">BK101</f>
        <v>0</v>
      </c>
      <c r="BL153" s="10" t="n">
        <f aca="false">BL101</f>
        <v>0</v>
      </c>
      <c r="BM153" s="10" t="n">
        <f aca="false">BM101</f>
        <v>0</v>
      </c>
      <c r="BN153" s="10" t="n">
        <f aca="false">BN101</f>
        <v>0</v>
      </c>
      <c r="BO153" s="10" t="n">
        <f aca="false">BO101</f>
        <v>0</v>
      </c>
      <c r="BP153" s="10" t="n">
        <f aca="false">BP101</f>
        <v>0</v>
      </c>
      <c r="BQ153" s="10" t="n">
        <f aca="false">BQ101</f>
        <v>0</v>
      </c>
      <c r="BR153" s="10" t="n">
        <f aca="false">BR101</f>
        <v>0</v>
      </c>
      <c r="BS153" s="10" t="n">
        <f aca="false">BS101</f>
        <v>0</v>
      </c>
      <c r="BT153" s="10" t="n">
        <f aca="false">BT101</f>
        <v>0</v>
      </c>
      <c r="BU153" s="10" t="n">
        <f aca="false">BU101</f>
        <v>0</v>
      </c>
      <c r="BV153" s="10" t="n">
        <f aca="false">BV101</f>
        <v>0</v>
      </c>
      <c r="BW153" s="10" t="n">
        <f aca="false">BW101</f>
        <v>0</v>
      </c>
      <c r="BX153" s="10" t="n">
        <f aca="false">BX101</f>
        <v>0</v>
      </c>
      <c r="BY153" s="10" t="n">
        <f aca="false">BY101</f>
        <v>0</v>
      </c>
      <c r="BZ153" s="10" t="n">
        <f aca="false">BZ101</f>
        <v>0</v>
      </c>
      <c r="CA153" s="10" t="n">
        <f aca="false">CA101</f>
        <v>0</v>
      </c>
      <c r="CB153" s="10" t="n">
        <f aca="false">CB101</f>
        <v>0</v>
      </c>
      <c r="CC153" s="10" t="n">
        <f aca="false">CC101</f>
        <v>0</v>
      </c>
      <c r="CD153" s="10" t="n">
        <f aca="false">CD101</f>
        <v>0</v>
      </c>
      <c r="CE153" s="10" t="n">
        <f aca="false">CE101</f>
        <v>0</v>
      </c>
      <c r="CF153" s="10" t="n">
        <f aca="false">CF101</f>
        <v>0</v>
      </c>
      <c r="CG153" s="10" t="n">
        <f aca="false">CG101</f>
        <v>0</v>
      </c>
      <c r="CH153" s="10" t="n">
        <f aca="false">CH101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f aca="false">C107</f>
        <v>0</v>
      </c>
      <c r="D154" s="10" t="n">
        <f aca="false">D107</f>
        <v>0</v>
      </c>
      <c r="E154" s="10" t="n">
        <f aca="false">E107</f>
        <v>0</v>
      </c>
      <c r="F154" s="10" t="n">
        <f aca="false">F107</f>
        <v>0</v>
      </c>
      <c r="G154" s="10" t="n">
        <f aca="false">G107</f>
        <v>0</v>
      </c>
      <c r="H154" s="10" t="n">
        <f aca="false">H107</f>
        <v>0</v>
      </c>
      <c r="I154" s="10" t="n">
        <f aca="false">I107</f>
        <v>0</v>
      </c>
      <c r="J154" s="10" t="n">
        <f aca="false">J107</f>
        <v>0</v>
      </c>
      <c r="K154" s="10" t="n">
        <f aca="false">K107</f>
        <v>0</v>
      </c>
      <c r="L154" s="10" t="n">
        <f aca="false">L107</f>
        <v>0</v>
      </c>
      <c r="M154" s="10" t="n">
        <f aca="false">M107</f>
        <v>-250000</v>
      </c>
      <c r="N154" s="10" t="n">
        <f aca="false">N107</f>
        <v>0</v>
      </c>
      <c r="O154" s="10" t="n">
        <f aca="false">O107</f>
        <v>0</v>
      </c>
      <c r="P154" s="10" t="n">
        <f aca="false">P107</f>
        <v>0</v>
      </c>
      <c r="Q154" s="10" t="n">
        <f aca="false">Q107</f>
        <v>0</v>
      </c>
      <c r="R154" s="10" t="n">
        <f aca="false">R107</f>
        <v>0</v>
      </c>
      <c r="S154" s="10" t="n">
        <f aca="false">S107</f>
        <v>0</v>
      </c>
      <c r="T154" s="10" t="n">
        <f aca="false">T107</f>
        <v>0</v>
      </c>
      <c r="U154" s="10" t="n">
        <f aca="false">U107</f>
        <v>0</v>
      </c>
      <c r="V154" s="10" t="n">
        <f aca="false">V107</f>
        <v>0</v>
      </c>
      <c r="W154" s="10" t="n">
        <f aca="false">W107</f>
        <v>0</v>
      </c>
      <c r="X154" s="10" t="n">
        <f aca="false">X107</f>
        <v>0</v>
      </c>
      <c r="Y154" s="10" t="n">
        <f aca="false">Y107</f>
        <v>-250000</v>
      </c>
      <c r="Z154" s="10" t="n">
        <f aca="false">Z107</f>
        <v>0</v>
      </c>
      <c r="AA154" s="10" t="n">
        <f aca="false">AA107</f>
        <v>0</v>
      </c>
      <c r="AB154" s="10" t="n">
        <f aca="false">AB107</f>
        <v>0</v>
      </c>
      <c r="AC154" s="10" t="n">
        <f aca="false">AC107</f>
        <v>0</v>
      </c>
      <c r="AD154" s="10" t="n">
        <f aca="false">AD107</f>
        <v>0</v>
      </c>
      <c r="AE154" s="10" t="n">
        <f aca="false">AE107</f>
        <v>0</v>
      </c>
      <c r="AF154" s="10" t="n">
        <f aca="false">AF107</f>
        <v>0</v>
      </c>
      <c r="AG154" s="10" t="n">
        <f aca="false">AG107</f>
        <v>0</v>
      </c>
      <c r="AH154" s="10" t="n">
        <f aca="false">AH107</f>
        <v>0</v>
      </c>
      <c r="AI154" s="10" t="n">
        <f aca="false">AI107</f>
        <v>0</v>
      </c>
      <c r="AJ154" s="10" t="n">
        <f aca="false">AJ107</f>
        <v>0</v>
      </c>
      <c r="AK154" s="10" t="n">
        <f aca="false">AK107</f>
        <v>-250000</v>
      </c>
      <c r="AL154" s="10" t="n">
        <f aca="false">AL107</f>
        <v>0</v>
      </c>
      <c r="AM154" s="10" t="n">
        <f aca="false">AM107</f>
        <v>0</v>
      </c>
      <c r="AN154" s="10" t="n">
        <f aca="false">AN107</f>
        <v>0</v>
      </c>
      <c r="AO154" s="10" t="n">
        <f aca="false">AO107</f>
        <v>0</v>
      </c>
      <c r="AP154" s="10" t="n">
        <f aca="false">AP107</f>
        <v>0</v>
      </c>
      <c r="AQ154" s="10" t="n">
        <f aca="false">AQ107</f>
        <v>0</v>
      </c>
      <c r="AR154" s="10" t="n">
        <f aca="false">AR107</f>
        <v>0</v>
      </c>
      <c r="AS154" s="10" t="n">
        <f aca="false">AS107</f>
        <v>0</v>
      </c>
      <c r="AT154" s="10" t="n">
        <f aca="false">AT107</f>
        <v>0</v>
      </c>
      <c r="AU154" s="10" t="n">
        <f aca="false">AU107</f>
        <v>0</v>
      </c>
      <c r="AV154" s="10" t="n">
        <f aca="false">AV107</f>
        <v>0</v>
      </c>
      <c r="AW154" s="10" t="n">
        <f aca="false">AW107</f>
        <v>0</v>
      </c>
      <c r="AX154" s="10" t="n">
        <f aca="false">AX107</f>
        <v>0</v>
      </c>
      <c r="AY154" s="10" t="n">
        <f aca="false">AY107</f>
        <v>0</v>
      </c>
      <c r="AZ154" s="10" t="n">
        <f aca="false">AZ107</f>
        <v>0</v>
      </c>
      <c r="BA154" s="10" t="n">
        <f aca="false">BA107</f>
        <v>0</v>
      </c>
      <c r="BB154" s="10" t="n">
        <f aca="false">BB107</f>
        <v>0</v>
      </c>
      <c r="BC154" s="10" t="n">
        <f aca="false">BC107</f>
        <v>0</v>
      </c>
      <c r="BD154" s="10" t="n">
        <f aca="false">BD107</f>
        <v>0</v>
      </c>
      <c r="BE154" s="10" t="n">
        <f aca="false">BE107</f>
        <v>0</v>
      </c>
      <c r="BF154" s="10" t="n">
        <f aca="false">BF107</f>
        <v>0</v>
      </c>
      <c r="BG154" s="10" t="n">
        <f aca="false">BG107</f>
        <v>0</v>
      </c>
      <c r="BH154" s="10" t="n">
        <f aca="false">BH107</f>
        <v>0</v>
      </c>
      <c r="BI154" s="10" t="n">
        <f aca="false">BI107</f>
        <v>0</v>
      </c>
      <c r="BJ154" s="10" t="n">
        <f aca="false">BJ107</f>
        <v>0</v>
      </c>
      <c r="BK154" s="10" t="n">
        <f aca="false">BK107</f>
        <v>0</v>
      </c>
      <c r="BL154" s="10" t="n">
        <f aca="false">BL107</f>
        <v>0</v>
      </c>
      <c r="BM154" s="10" t="n">
        <f aca="false">BM107</f>
        <v>0</v>
      </c>
      <c r="BN154" s="10" t="n">
        <f aca="false">BN107</f>
        <v>0</v>
      </c>
      <c r="BO154" s="10" t="n">
        <f aca="false">BO107</f>
        <v>0</v>
      </c>
      <c r="BP154" s="10" t="n">
        <f aca="false">BP107</f>
        <v>0</v>
      </c>
      <c r="BQ154" s="10" t="n">
        <f aca="false">BQ107</f>
        <v>0</v>
      </c>
      <c r="BR154" s="10" t="n">
        <f aca="false">BR107</f>
        <v>0</v>
      </c>
      <c r="BS154" s="10" t="n">
        <f aca="false">BS107</f>
        <v>0</v>
      </c>
      <c r="BT154" s="10" t="n">
        <f aca="false">BT107</f>
        <v>0</v>
      </c>
      <c r="BU154" s="10" t="n">
        <f aca="false">BU107</f>
        <v>0</v>
      </c>
      <c r="BV154" s="10" t="n">
        <f aca="false">BV107</f>
        <v>0</v>
      </c>
      <c r="BW154" s="10" t="n">
        <f aca="false">BW107</f>
        <v>0</v>
      </c>
      <c r="BX154" s="10" t="n">
        <f aca="false">BX107</f>
        <v>0</v>
      </c>
      <c r="BY154" s="10" t="n">
        <f aca="false">BY107</f>
        <v>0</v>
      </c>
      <c r="BZ154" s="10" t="n">
        <f aca="false">BZ107</f>
        <v>0</v>
      </c>
      <c r="CA154" s="10" t="n">
        <f aca="false">CA107</f>
        <v>0</v>
      </c>
      <c r="CB154" s="10" t="n">
        <f aca="false">CB107</f>
        <v>0</v>
      </c>
      <c r="CC154" s="10" t="n">
        <f aca="false">CC107</f>
        <v>0</v>
      </c>
      <c r="CD154" s="10" t="n">
        <f aca="false">CD107</f>
        <v>0</v>
      </c>
      <c r="CE154" s="10" t="n">
        <f aca="false">CE107</f>
        <v>0</v>
      </c>
      <c r="CF154" s="10" t="n">
        <f aca="false">CF107</f>
        <v>0</v>
      </c>
      <c r="CG154" s="10" t="n">
        <f aca="false">CG107</f>
        <v>0</v>
      </c>
      <c r="CH154" s="10" t="n">
        <f aca="false">CH107</f>
        <v>0</v>
      </c>
      <c r="CI154" s="25"/>
      <c r="CJ154" s="56"/>
      <c r="CK154" s="56"/>
    </row>
    <row r="155" customFormat="false" ht="15" hidden="false" customHeight="true" outlineLevel="0" collapsed="false">
      <c r="A155" s="9" t="s">
        <v>171</v>
      </c>
      <c r="B155" s="24"/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25"/>
      <c r="CJ155" s="56"/>
      <c r="CK155" s="56"/>
    </row>
    <row r="156" customFormat="false" ht="15" hidden="false" customHeight="true" outlineLevel="0" collapsed="false">
      <c r="A156" s="59" t="s">
        <v>42</v>
      </c>
      <c r="B156" s="60"/>
      <c r="C156" s="61" t="n">
        <f aca="false">C151+C152+C153+C154+C155</f>
        <v>378431.156666667</v>
      </c>
      <c r="D156" s="61" t="n">
        <f aca="false">D151+D152+D153+D154+D155</f>
        <v>305231.153333333</v>
      </c>
      <c r="E156" s="61" t="n">
        <f aca="false">E151+E152+E153+E154+E155</f>
        <v>232031.15</v>
      </c>
      <c r="F156" s="61" t="n">
        <f aca="false">F151+F152+F153+F154+F155</f>
        <v>135831.146666667</v>
      </c>
      <c r="G156" s="61" t="n">
        <f aca="false">G151+G152+G153+G154+G155</f>
        <v>62631.1433333333</v>
      </c>
      <c r="H156" s="61" t="n">
        <f aca="false">H151+H152+H153+H154+H155</f>
        <v>-11402.19</v>
      </c>
      <c r="I156" s="61" t="n">
        <f aca="false">I151+I152+I153+I154+I155</f>
        <v>-215435.523333333</v>
      </c>
      <c r="J156" s="61" t="n">
        <f aca="false">J151+J152+J153+J154+J155</f>
        <v>-428843.856666667</v>
      </c>
      <c r="K156" s="61" t="n">
        <f aca="false">K151+K152+K153+K154+K155</f>
        <v>-663252.19</v>
      </c>
      <c r="L156" s="61" t="n">
        <f aca="false">L151+L152+L153+L154+L155</f>
        <v>-864528.692933333</v>
      </c>
      <c r="M156" s="61" t="n">
        <f aca="false">M151+M152+M153+M154+M155</f>
        <v>-1315805.19586667</v>
      </c>
      <c r="N156" s="61" t="n">
        <f aca="false">N151+N152+N153+N154+N155</f>
        <v>-1517081.6988</v>
      </c>
      <c r="O156" s="61" t="n">
        <f aca="false">O151+O152+O153+O154+O155</f>
        <v>-1720694.4934</v>
      </c>
      <c r="P156" s="61" t="n">
        <f aca="false">P151+P152+P153+P154+P155</f>
        <v>-1924307.288</v>
      </c>
      <c r="Q156" s="61" t="n">
        <f aca="false">Q151+Q152+Q153+Q154+Q155</f>
        <v>-2127920.0826</v>
      </c>
      <c r="R156" s="61" t="n">
        <f aca="false">R151+R152+R153+R154+R155</f>
        <v>-2374827.2648</v>
      </c>
      <c r="S156" s="61" t="n">
        <f aca="false">S151+S152+S153+S154+S155</f>
        <v>-2581702.1846</v>
      </c>
      <c r="T156" s="61" t="n">
        <f aca="false">T151+T152+T153+T154+T155</f>
        <v>-2772004.842</v>
      </c>
      <c r="U156" s="61" t="n">
        <f aca="false">U151+U152+U153+U154+U155</f>
        <v>-2945735.2434</v>
      </c>
      <c r="V156" s="61" t="n">
        <f aca="false">V151+V152+V153+V154+V155</f>
        <v>-3102893.376</v>
      </c>
      <c r="W156" s="61" t="n">
        <f aca="false">W151+W152+W153+W154+W155</f>
        <v>-3143493.49588545</v>
      </c>
      <c r="X156" s="61" t="n">
        <f aca="false">X151+X152+X153+X154+X155</f>
        <v>-3137507.11648545</v>
      </c>
      <c r="Y156" s="61" t="n">
        <f aca="false">Y151+Y152+Y153+Y154+Y155</f>
        <v>-3364948.47468545</v>
      </c>
      <c r="Z156" s="61" t="n">
        <f aca="false">Z151+Z152+Z153+Z154+Z155</f>
        <v>-3268442.56408545</v>
      </c>
      <c r="AA156" s="61" t="n">
        <f aca="false">AA151+AA152+AA153+AA154+AA155</f>
        <v>-3215122.41498545</v>
      </c>
      <c r="AB156" s="61" t="n">
        <f aca="false">AB151+AB152+AB153+AB154+AB155</f>
        <v>-3145229.99708545</v>
      </c>
      <c r="AC156" s="61" t="n">
        <f aca="false">AC151+AC152+AC153+AC154+AC155</f>
        <v>-2972558.09918545</v>
      </c>
      <c r="AD156" s="61" t="n">
        <f aca="false">AD151+AD152+AD153+AD154+AD155</f>
        <v>-2938354.30528545</v>
      </c>
      <c r="AE156" s="61" t="n">
        <f aca="false">AE151+AE152+AE153+AE154+AE155</f>
        <v>-2879720.75458545</v>
      </c>
      <c r="AF156" s="61" t="n">
        <f aca="false">AF151+AF152+AF153+AF154+AF155</f>
        <v>-2820586.65988545</v>
      </c>
      <c r="AG156" s="61" t="n">
        <f aca="false">AG151+AG152+AG153+AG154+AG155</f>
        <v>-2770452.01478545</v>
      </c>
      <c r="AH156" s="61" t="n">
        <f aca="false">AH151+AH152+AH153+AH154+AH155</f>
        <v>-2719816.82568545</v>
      </c>
      <c r="AI156" s="61" t="n">
        <f aca="false">AI151+AI152+AI153+AI154+AI155</f>
        <v>-2673957.22378545</v>
      </c>
      <c r="AJ156" s="61" t="n">
        <f aca="false">AJ151+AJ152+AJ153+AJ154+AJ155</f>
        <v>-2622320.92748545</v>
      </c>
      <c r="AK156" s="61" t="n">
        <f aca="false">AK151+AK152+AK153+AK154+AK155</f>
        <v>-2836756.34318545</v>
      </c>
      <c r="AL156" s="61" t="n">
        <f aca="false">AL151+AL152+AL153+AL154+AL155</f>
        <v>-2817263.47088545</v>
      </c>
      <c r="AM156" s="61" t="n">
        <f aca="false">AM151+AM152+AM153+AM154+AM155</f>
        <v>-2816272.99483545</v>
      </c>
      <c r="AN156" s="61" t="n">
        <f aca="false">AN151+AN152+AN153+AN154+AN155</f>
        <v>-2831354.22438545</v>
      </c>
      <c r="AO156" s="61" t="n">
        <f aca="false">AO151+AO152+AO153+AO154+AO155</f>
        <v>-2862507.16593545</v>
      </c>
      <c r="AP156" s="61" t="n">
        <f aca="false">AP151+AP152+AP153+AP154+AP155</f>
        <v>-2934139.60988545</v>
      </c>
      <c r="AQ156" s="61" t="n">
        <f aca="false">AQ151+AQ152+AQ153+AQ154+AQ155</f>
        <v>-2997435.97543545</v>
      </c>
      <c r="AR156" s="61" t="n">
        <f aca="false">AR151+AR152+AR153+AR154+AR155</f>
        <v>-3076804.05298545</v>
      </c>
      <c r="AS156" s="61" t="n">
        <f aca="false">AS151+AS152+AS153+AS154+AS155</f>
        <v>-3104468.55933545</v>
      </c>
      <c r="AT156" s="61" t="n">
        <f aca="false">AT151+AT152+AT153+AT154+AT155</f>
        <v>-3148705.32168545</v>
      </c>
      <c r="AU156" s="61" t="n">
        <f aca="false">AU151+AU152+AU153+AU154+AU155</f>
        <v>-3247871.42003545</v>
      </c>
      <c r="AV156" s="61" t="n">
        <f aca="false">AV151+AV152+AV153+AV154+AV155</f>
        <v>-3325252.70078545</v>
      </c>
      <c r="AW156" s="61" t="n">
        <f aca="false">AW151+AW152+AW153+AW154+AW155</f>
        <v>-3403134.53833545</v>
      </c>
      <c r="AX156" s="61" t="n">
        <f aca="false">AX151+AX152+AX153+AX154+AX155</f>
        <v>-3481516.91988545</v>
      </c>
      <c r="AY156" s="61" t="n">
        <f aca="false">AY151+AY152+AY153+AY154+AY155</f>
        <v>-3562879.14324245</v>
      </c>
      <c r="AZ156" s="61" t="n">
        <f aca="false">AZ151+AZ152+AZ153+AZ154+AZ155</f>
        <v>-3644741.91699945</v>
      </c>
      <c r="BA156" s="61" t="n">
        <f aca="false">BA151+BA152+BA153+BA154+BA155</f>
        <v>-3727105.24115645</v>
      </c>
      <c r="BB156" s="61" t="n">
        <f aca="false">BB151+BB152+BB153+BB154+BB155</f>
        <v>-3834865.05539345</v>
      </c>
      <c r="BC156" s="61" t="n">
        <f aca="false">BC151+BC152+BC153+BC154+BC155</f>
        <v>-3918229.48035045</v>
      </c>
      <c r="BD156" s="61" t="n">
        <f aca="false">BD151+BD152+BD153+BD154+BD155</f>
        <v>-4002094.45570745</v>
      </c>
      <c r="BE156" s="61" t="n">
        <f aca="false">BE151+BE152+BE153+BE154+BE155</f>
        <v>-4086459.98146445</v>
      </c>
      <c r="BF156" s="61" t="n">
        <f aca="false">BF151+BF152+BF153+BF154+BF155</f>
        <v>-4171326.05762145</v>
      </c>
      <c r="BG156" s="61" t="n">
        <f aca="false">BG151+BG152+BG153+BG154+BG155</f>
        <v>-4279423.75313845</v>
      </c>
      <c r="BH156" s="61" t="n">
        <f aca="false">BH151+BH152+BH153+BH154+BH155</f>
        <v>-4336090.13009545</v>
      </c>
      <c r="BI156" s="61" t="n">
        <f aca="false">BI151+BI152+BI153+BI154+BI155</f>
        <v>-4393257.05745245</v>
      </c>
      <c r="BJ156" s="61" t="n">
        <f aca="false">BJ151+BJ152+BJ153+BJ154+BJ155</f>
        <v>-4383149.24560945</v>
      </c>
      <c r="BK156" s="61" t="n">
        <f aca="false">BK151+BK152+BK153+BK154+BK155</f>
        <v>-4512121.98460159</v>
      </c>
      <c r="BL156" s="61" t="n">
        <f aca="false">BL151+BL152+BL153+BL154+BL155</f>
        <v>-4641094.72359373</v>
      </c>
      <c r="BM156" s="61" t="n">
        <f aca="false">BM151+BM152+BM153+BM154+BM155</f>
        <v>-4770067.46258587</v>
      </c>
      <c r="BN156" s="61" t="n">
        <f aca="false">BN151+BN152+BN153+BN154+BN155</f>
        <v>-4924434.0600516</v>
      </c>
      <c r="BO156" s="61" t="n">
        <f aca="false">BO151+BO152+BO153+BO154+BO155</f>
        <v>-5053406.79904374</v>
      </c>
      <c r="BP156" s="61" t="n">
        <f aca="false">BP151+BP152+BP153+BP154+BP155</f>
        <v>-5130866.01803588</v>
      </c>
      <c r="BQ156" s="61" t="n">
        <f aca="false">BQ151+BQ152+BQ153+BQ154+BQ155</f>
        <v>-5259838.75702802</v>
      </c>
      <c r="BR156" s="61" t="n">
        <f aca="false">BR151+BR152+BR153+BR154+BR155</f>
        <v>-5388811.49602016</v>
      </c>
      <c r="BS156" s="61" t="n">
        <f aca="false">BS151+BS152+BS153+BS154+BS155</f>
        <v>-5473207.9318795</v>
      </c>
      <c r="BT156" s="61" t="n">
        <f aca="false">BT151+BT152+BT153+BT154+BT155</f>
        <v>-5602180.67087164</v>
      </c>
      <c r="BU156" s="61" t="n">
        <f aca="false">BU151+BU152+BU153+BU154+BU155</f>
        <v>-5731153.40986378</v>
      </c>
      <c r="BV156" s="61" t="n">
        <f aca="false">BV151+BV152+BV153+BV154+BV155</f>
        <v>-5792364.14885592</v>
      </c>
      <c r="BW156" s="61" t="n">
        <f aca="false">BW151+BW152+BW153+BW154+BW155</f>
        <v>-5923916.34262791</v>
      </c>
      <c r="BX156" s="61" t="n">
        <f aca="false">BX151+BX152+BX153+BX154+BX155</f>
        <v>-6055468.53639989</v>
      </c>
      <c r="BY156" s="61" t="n">
        <f aca="false">BY151+BY152+BY153+BY154+BY155</f>
        <v>-6119258.73017187</v>
      </c>
      <c r="BZ156" s="61" t="n">
        <f aca="false">BZ151+BZ152+BZ153+BZ154+BZ155</f>
        <v>-6276712.65958693</v>
      </c>
      <c r="CA156" s="61" t="n">
        <f aca="false">CA151+CA152+CA153+CA154+CA155</f>
        <v>-6408264.85335891</v>
      </c>
      <c r="CB156" s="61" t="n">
        <f aca="false">CB151+CB152+CB153+CB154+CB155</f>
        <v>-6463318.04713089</v>
      </c>
      <c r="CC156" s="61" t="n">
        <f aca="false">CC151+CC152+CC153+CC154+CC155</f>
        <v>-6594870.24090287</v>
      </c>
      <c r="CD156" s="61" t="n">
        <f aca="false">CD151+CD152+CD153+CD154+CD155</f>
        <v>-6726422.43467486</v>
      </c>
      <c r="CE156" s="61" t="n">
        <f aca="false">CE151+CE152+CE153+CE154+CE155</f>
        <v>-6805125.03925138</v>
      </c>
      <c r="CF156" s="61" t="n">
        <f aca="false">CF151+CF152+CF153+CF154+CF155</f>
        <v>-6936677.23302337</v>
      </c>
      <c r="CG156" s="61" t="n">
        <f aca="false">CG151+CG152+CG153+CG154+CG155</f>
        <v>-7068229.42679535</v>
      </c>
      <c r="CH156" s="61" t="n">
        <f aca="false">CH151+CH152+CH153+CH154+CH155</f>
        <v>-7116674.59396085</v>
      </c>
      <c r="CI156" s="25"/>
      <c r="CJ156" s="56"/>
      <c r="CK156" s="56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5"/>
      <c r="CJ157" s="56"/>
      <c r="CK157" s="56"/>
    </row>
    <row r="158" customFormat="false" ht="15" hidden="false" customHeight="true" outlineLevel="0" collapsed="false">
      <c r="A158" s="8" t="s">
        <v>172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25"/>
      <c r="CJ158" s="56"/>
      <c r="CK158" s="56"/>
    </row>
    <row r="159" customFormat="false" ht="15" hidden="false" customHeight="true" outlineLevel="0" collapsed="false">
      <c r="A159" s="9" t="s">
        <v>173</v>
      </c>
      <c r="B159" s="24"/>
      <c r="C159" s="10" t="n">
        <f aca="false">C146+C151</f>
        <v>2103546.85</v>
      </c>
      <c r="D159" s="10" t="n">
        <f aca="false">D146+D151</f>
        <v>2115534.05534537</v>
      </c>
      <c r="E159" s="10" t="n">
        <f aca="false">E146+E151</f>
        <v>2095006.34562692</v>
      </c>
      <c r="F159" s="10" t="n">
        <f aca="false">F146+F151</f>
        <v>2046808.7099298</v>
      </c>
      <c r="G159" s="10" t="n">
        <f aca="false">G146+G151</f>
        <v>2435611.13419285</v>
      </c>
      <c r="H159" s="10" t="n">
        <f aca="false">H146+H151</f>
        <v>2529500.22417493</v>
      </c>
      <c r="I159" s="10" t="n">
        <f aca="false">I146+I151</f>
        <v>2628203.9125605</v>
      </c>
      <c r="J159" s="10" t="n">
        <f aca="false">J146+J151</f>
        <v>2928692.7896048</v>
      </c>
      <c r="K159" s="10" t="n">
        <f aca="false">K146+K151</f>
        <v>3268156.54810076</v>
      </c>
      <c r="L159" s="10" t="n">
        <f aca="false">L146+L151</f>
        <v>3364792.1951103</v>
      </c>
      <c r="M159" s="10" t="n">
        <f aca="false">M146+M151</f>
        <v>3503647.13167772</v>
      </c>
      <c r="N159" s="10" t="n">
        <f aca="false">N146+N151</f>
        <v>3399001.9796822</v>
      </c>
      <c r="O159" s="10" t="n">
        <f aca="false">O146+O151</f>
        <v>3548108.09768715</v>
      </c>
      <c r="P159" s="10" t="n">
        <f aca="false">P146+P151</f>
        <v>3027724.31111749</v>
      </c>
      <c r="Q159" s="10" t="n">
        <f aca="false">Q146+Q151</f>
        <v>3302264.91442391</v>
      </c>
      <c r="R159" s="10" t="n">
        <f aca="false">R146+R151</f>
        <v>3719585.9708946</v>
      </c>
      <c r="S159" s="10" t="n">
        <f aca="false">S146+S151</f>
        <v>3917171.39225613</v>
      </c>
      <c r="T159" s="10" t="n">
        <f aca="false">T146+T151</f>
        <v>3967919.03565209</v>
      </c>
      <c r="U159" s="10" t="n">
        <f aca="false">U146+U151</f>
        <v>4035067.70563179</v>
      </c>
      <c r="V159" s="10" t="n">
        <f aca="false">V146+V151</f>
        <v>4136288.78100173</v>
      </c>
      <c r="W159" s="10" t="n">
        <f aca="false">W146+W151</f>
        <v>4207189.877412</v>
      </c>
      <c r="X159" s="10" t="n">
        <f aca="false">X146+X151</f>
        <v>4383626.41108975</v>
      </c>
      <c r="Y159" s="10" t="n">
        <f aca="false">Y146+Y151</f>
        <v>4592909.11117588</v>
      </c>
      <c r="Z159" s="10" t="n">
        <f aca="false">Z146+Z151</f>
        <v>4553099.31566356</v>
      </c>
      <c r="AA159" s="10" t="n">
        <f aca="false">AA146+AA151</f>
        <v>4820422.67500801</v>
      </c>
      <c r="AB159" s="10" t="n">
        <f aca="false">AB146+AB151</f>
        <v>5102040.74853297</v>
      </c>
      <c r="AC159" s="10" t="n">
        <f aca="false">AC146+AC151</f>
        <v>5248185.97700597</v>
      </c>
      <c r="AD159" s="10" t="n">
        <f aca="false">AD146+AD151</f>
        <v>4855000.048125</v>
      </c>
      <c r="AE159" s="10" t="n">
        <f aca="false">AE146+AE151</f>
        <v>5009240.49145858</v>
      </c>
      <c r="AF159" s="10" t="n">
        <f aca="false">AF146+AF151</f>
        <v>5190023.74290449</v>
      </c>
      <c r="AG159" s="10" t="n">
        <f aca="false">AG146+AG151</f>
        <v>5372604.50168132</v>
      </c>
      <c r="AH159" s="10" t="n">
        <f aca="false">AH146+AH151</f>
        <v>5667502.31648806</v>
      </c>
      <c r="AI159" s="10" t="n">
        <f aca="false">AI146+AI151</f>
        <v>5787170.09676339</v>
      </c>
      <c r="AJ159" s="10" t="n">
        <f aca="false">AJ146+AJ151</f>
        <v>6145210.08922424</v>
      </c>
      <c r="AK159" s="10" t="n">
        <f aca="false">AK146+AK151</f>
        <v>6174849.11894414</v>
      </c>
      <c r="AL159" s="10" t="n">
        <f aca="false">AL146+AL151</f>
        <v>5936077.56955442</v>
      </c>
      <c r="AM159" s="10" t="n">
        <f aca="false">AM146+AM151</f>
        <v>6018304.73144792</v>
      </c>
      <c r="AN159" s="10" t="n">
        <f aca="false">AN146+AN151</f>
        <v>5943007.80213266</v>
      </c>
      <c r="AO159" s="10" t="n">
        <f aca="false">AO146+AO151</f>
        <v>5849045.19072663</v>
      </c>
      <c r="AP159" s="10" t="n">
        <f aca="false">AP146+AP151</f>
        <v>5735748.10710588</v>
      </c>
      <c r="AQ159" s="10" t="n">
        <f aca="false">AQ146+AQ151</f>
        <v>5578068.1603717</v>
      </c>
      <c r="AR159" s="10" t="n">
        <f aca="false">AR146+AR151</f>
        <v>5424218.36499008</v>
      </c>
      <c r="AS159" s="10" t="n">
        <f aca="false">AS146+AS151</f>
        <v>5506432.4358259</v>
      </c>
      <c r="AT159" s="10" t="n">
        <f aca="false">AT146+AT151</f>
        <v>5255476.41781529</v>
      </c>
      <c r="AU159" s="10" t="n">
        <f aca="false">AU146+AU151</f>
        <v>4986226.15304039</v>
      </c>
      <c r="AV159" s="10" t="n">
        <f aca="false">AV146+AV151</f>
        <v>4659524.79245735</v>
      </c>
      <c r="AW159" s="10" t="n">
        <f aca="false">AW146+AW151</f>
        <v>4351363.25354517</v>
      </c>
      <c r="AX159" s="10" t="n">
        <f aca="false">AX146+AX151</f>
        <v>4038822.8519672</v>
      </c>
      <c r="AY159" s="10" t="n">
        <f aca="false">AY146+AY151</f>
        <v>3721375.52335573</v>
      </c>
      <c r="AZ159" s="10" t="n">
        <f aca="false">AZ146+AZ151</f>
        <v>3393369.15545522</v>
      </c>
      <c r="BA159" s="10" t="n">
        <f aca="false">BA146+BA151</f>
        <v>3059753.66455399</v>
      </c>
      <c r="BB159" s="10" t="n">
        <f aca="false">BB146+BB151</f>
        <v>2720358.7648987</v>
      </c>
      <c r="BC159" s="10" t="n">
        <f aca="false">BC146+BC151</f>
        <v>2350233.03044026</v>
      </c>
      <c r="BD159" s="10" t="n">
        <f aca="false">BD146+BD151</f>
        <v>1999218.08693853</v>
      </c>
      <c r="BE159" s="10" t="n">
        <f aca="false">BE146+BE151</f>
        <v>1642563.40726695</v>
      </c>
      <c r="BF159" s="10" t="n">
        <f aca="false">BF146+BF151</f>
        <v>1280492.85022486</v>
      </c>
      <c r="BG159" s="10" t="n">
        <f aca="false">BG146+BG151</f>
        <v>1148266.74091914</v>
      </c>
      <c r="BH159" s="10" t="n">
        <f aca="false">BH146+BH151</f>
        <v>641996.516527959</v>
      </c>
      <c r="BI159" s="10" t="n">
        <f aca="false">BI146+BI151</f>
        <v>187157.610696781</v>
      </c>
      <c r="BJ159" s="10" t="n">
        <f aca="false">BJ146+BJ151</f>
        <v>-268181.845534398</v>
      </c>
      <c r="BK159" s="10" t="n">
        <f aca="false">BK146+BK151</f>
        <v>-656246.562565576</v>
      </c>
      <c r="BL159" s="10" t="n">
        <f aca="false">BL146+BL151</f>
        <v>-1186210.46100938</v>
      </c>
      <c r="BM159" s="10" t="n">
        <f aca="false">BM146+BM151</f>
        <v>-1716174.35945318</v>
      </c>
      <c r="BN159" s="10" t="n">
        <f aca="false">BN146+BN151</f>
        <v>-2246138.25789698</v>
      </c>
      <c r="BO159" s="10" t="n">
        <f aca="false">BO146+BO151</f>
        <v>-2801496.01481438</v>
      </c>
      <c r="BP159" s="10" t="n">
        <f aca="false">BP146+BP151</f>
        <v>-3331459.91325819</v>
      </c>
      <c r="BQ159" s="10" t="n">
        <f aca="false">BQ146+BQ151</f>
        <v>-3809910.29170199</v>
      </c>
      <c r="BR159" s="10" t="n">
        <f aca="false">BR146+BR151</f>
        <v>-4339874.19014579</v>
      </c>
      <c r="BS159" s="10" t="n">
        <f aca="false">BS146+BS151</f>
        <v>-4869838.08858959</v>
      </c>
      <c r="BT159" s="10" t="n">
        <f aca="false">BT146+BT151</f>
        <v>-5355225.68390059</v>
      </c>
      <c r="BU159" s="10" t="n">
        <f aca="false">BU146+BU151</f>
        <v>-5885189.5823444</v>
      </c>
      <c r="BV159" s="10" t="n">
        <f aca="false">BV146+BV151</f>
        <v>-6415153.4807882</v>
      </c>
      <c r="BW159" s="10" t="n">
        <f aca="false">BW146+BW151</f>
        <v>-6877355.379232</v>
      </c>
      <c r="BX159" s="10" t="n">
        <f aca="false">BX146+BX151</f>
        <v>-7412773.73564468</v>
      </c>
      <c r="BY159" s="10" t="n">
        <f aca="false">BY146+BY151</f>
        <v>-7948192.09205736</v>
      </c>
      <c r="BZ159" s="10" t="n">
        <f aca="false">BZ146+BZ151</f>
        <v>-8415848.44847003</v>
      </c>
      <c r="CA159" s="10" t="n">
        <f aca="false">CA146+CA151</f>
        <v>-8977168.54052578</v>
      </c>
      <c r="CB159" s="10" t="n">
        <f aca="false">CB146+CB151</f>
        <v>-9512586.89693846</v>
      </c>
      <c r="CC159" s="10" t="n">
        <f aca="false">CC146+CC151</f>
        <v>-9971506.25335114</v>
      </c>
      <c r="CD159" s="10" t="n">
        <f aca="false">CD146+CD151</f>
        <v>-10506924.6097638</v>
      </c>
      <c r="CE159" s="10" t="n">
        <f aca="false">CE146+CE151</f>
        <v>-11042342.9661765</v>
      </c>
      <c r="CF159" s="10" t="n">
        <f aca="false">CF146+CF151</f>
        <v>-11524911.7333937</v>
      </c>
      <c r="CG159" s="10" t="n">
        <f aca="false">CG146+CG151</f>
        <v>-12060330.0898064</v>
      </c>
      <c r="CH159" s="10" t="n">
        <f aca="false">CH146+CH151</f>
        <v>-12595748.4462191</v>
      </c>
      <c r="CI159" s="25"/>
      <c r="CJ159" s="56"/>
      <c r="CK159" s="56"/>
    </row>
    <row r="160" customFormat="false" ht="15" hidden="false" customHeight="true" outlineLevel="0" collapsed="false">
      <c r="A160" s="9" t="s">
        <v>43</v>
      </c>
      <c r="B160" s="24"/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f aca="false">IF((C96+D96+E96+F96+G96+H96+I96+J96+K96)&gt;0,-(C96+D96+E96+F96+G96+H96+I96+J96+K96)*0.3,0)</f>
        <v>-495373.603533091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f aca="false">IF((L96+M96+N96+O96+P96+Q96+R96+S96+T96+U96+V96+W96)&gt;0,-(L96+M96+N96+O96+P96+Q96+R96+S96+T96+U96+V96+W96)*0.3,0)</f>
        <v>-829441.037779468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f aca="false">IF((X96+Y96+Z96+AA96+AB96+AC96+AD96+AE96+AF96+AG96+AH96+AI96)&gt;0,-(X96+Y96+Z96+AA96+AB96+AC96+AD96+AE96+AF96+AG96+AH96+AI96)*0.3,0)</f>
        <v>-603475.103440348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f aca="false">IF((AJ96+AK96+AL96+AM96+AN96+AO96+AP96+AQ96+AR96+AS96+AT96+AU96)&gt;0,-(AJ96+AK96+AL96+AM96+AN96+AO96+AP96+AQ96+AR96+AS96+AT96+AU96)*0.3,0)</f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f aca="false">IF((AV96+AW96+AX96+AY96+AZ96+BA96+BB96+BC96+BD96+BE96+BF96+BG96)&gt;0,-(AV96+AW96+AX96+AY96+AZ96+BA96+BB96+BC96+BD96+BE96+BF96+BG96)*0.3,0)</f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f aca="false">IF((BH96+BI96+BJ96+BK96+BL96+BM96+BN96+BO96+BP96+BQ96+BR96+BS96)&gt;0,-(BH96+BI96+BJ96+BK96+BL96+BM96+BN96+BO96+BP96+BQ96+BR96+BS96)*0.3,0)</f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f aca="false">IF((BT96+BU96+BV96+BW96+BX96+BY96+BZ96+CA96+CB96+CC96+CD96+CE96)&gt;0,-(BT96+BU96+BV96+BW96+BX96+BY96+BZ96+CA96+CB96+CC96+CD96+CE96)*0.3,0)</f>
        <v>0</v>
      </c>
      <c r="CI160" s="25"/>
      <c r="CJ160" s="56"/>
      <c r="CK160" s="56"/>
    </row>
    <row r="161" customFormat="false" ht="15" hidden="false" customHeight="true" outlineLevel="0" collapsed="false">
      <c r="A161" s="59" t="s">
        <v>44</v>
      </c>
      <c r="B161" s="60"/>
      <c r="C161" s="61" t="n">
        <f aca="false">C159+C147+C152+C153+C154+C155+C160</f>
        <v>2115534.05534537</v>
      </c>
      <c r="D161" s="61" t="n">
        <f aca="false">D159+D147+D152+D153+D154+D155+D160</f>
        <v>2095006.34562692</v>
      </c>
      <c r="E161" s="61" t="n">
        <f aca="false">E159+E147+E152+E153+E154+E155+E160</f>
        <v>2046808.7099298</v>
      </c>
      <c r="F161" s="61" t="n">
        <f aca="false">F159+F147+F152+F153+F154+F155+F160</f>
        <v>2435611.13419285</v>
      </c>
      <c r="G161" s="61" t="n">
        <f aca="false">G159+G147+G152+G153+G154+G155+G160</f>
        <v>2529500.22417493</v>
      </c>
      <c r="H161" s="61" t="n">
        <f aca="false">H159+H147+H152+H153+H154+H155+H160</f>
        <v>2628203.9125605</v>
      </c>
      <c r="I161" s="61" t="n">
        <f aca="false">I159+I147+I152+I153+I154+I155+I160</f>
        <v>2928692.7896048</v>
      </c>
      <c r="J161" s="61" t="n">
        <f aca="false">J159+J147+J152+J153+J154+J155+J160</f>
        <v>3268156.54810076</v>
      </c>
      <c r="K161" s="61" t="n">
        <f aca="false">K159+K147+K152+K153+K154+K155+K160</f>
        <v>3364792.1951103</v>
      </c>
      <c r="L161" s="61" t="n">
        <f aca="false">L159+L147+L152+L153+L154+L155+L160</f>
        <v>3503647.13167772</v>
      </c>
      <c r="M161" s="61" t="n">
        <f aca="false">M159+M147+M152+M153+M154+M155+M160</f>
        <v>3399001.97968221</v>
      </c>
      <c r="N161" s="61" t="n">
        <f aca="false">N159+N147+N152+N153+N154+N155+N160</f>
        <v>3052734.49415406</v>
      </c>
      <c r="O161" s="61" t="n">
        <f aca="false">O159+O147+O152+O153+O154+O155+O160</f>
        <v>3027724.31111749</v>
      </c>
      <c r="P161" s="61" t="n">
        <f aca="false">P159+P147+P152+P153+P154+P155+P160</f>
        <v>3302264.91442391</v>
      </c>
      <c r="Q161" s="61" t="n">
        <f aca="false">Q159+Q147+Q152+Q153+Q154+Q155+Q160</f>
        <v>3719585.9708946</v>
      </c>
      <c r="R161" s="61" t="n">
        <f aca="false">R159+R147+R152+R153+R154+R155+R160</f>
        <v>3917171.39225613</v>
      </c>
      <c r="S161" s="61" t="n">
        <f aca="false">S159+S147+S152+S153+S154+S155+S160</f>
        <v>3967919.03565209</v>
      </c>
      <c r="T161" s="61" t="n">
        <f aca="false">T159+T147+T152+T153+T154+T155+T160</f>
        <v>4035067.70563179</v>
      </c>
      <c r="U161" s="61" t="n">
        <f aca="false">U159+U147+U152+U153+U154+U155+U160</f>
        <v>4136288.78100172</v>
      </c>
      <c r="V161" s="61" t="n">
        <f aca="false">V159+V147+V152+V153+V154+V155+V160</f>
        <v>4207189.877412</v>
      </c>
      <c r="W161" s="61" t="n">
        <f aca="false">W159+W147+W152+W153+W154+W155+W160</f>
        <v>4383626.41108975</v>
      </c>
      <c r="X161" s="61" t="n">
        <f aca="false">X159+X147+X152+X153+X154+X155+X160</f>
        <v>4592909.11117588</v>
      </c>
      <c r="Y161" s="61" t="n">
        <f aca="false">Y159+Y147+Y152+Y153+Y154+Y155+Y160</f>
        <v>4553099.31566356</v>
      </c>
      <c r="Z161" s="61" t="n">
        <f aca="false">Z159+Z147+Z152+Z153+Z154+Z155+Z160</f>
        <v>3990981.63722854</v>
      </c>
      <c r="AA161" s="61" t="n">
        <f aca="false">AA159+AA147+AA152+AA153+AA154+AA155+AA160</f>
        <v>5102040.74853297</v>
      </c>
      <c r="AB161" s="61" t="n">
        <f aca="false">AB159+AB147+AB152+AB153+AB154+AB155+AB160</f>
        <v>5248185.97700597</v>
      </c>
      <c r="AC161" s="61" t="n">
        <f aca="false">AC159+AC147+AC152+AC153+AC154+AC155+AC160</f>
        <v>4855000.048125</v>
      </c>
      <c r="AD161" s="61" t="n">
        <f aca="false">AD159+AD147+AD152+AD153+AD154+AD155+AD160</f>
        <v>5009240.49145858</v>
      </c>
      <c r="AE161" s="61" t="n">
        <f aca="false">AE159+AE147+AE152+AE153+AE154+AE155+AE160</f>
        <v>5190023.74290449</v>
      </c>
      <c r="AF161" s="61" t="n">
        <f aca="false">AF159+AF147+AF152+AF153+AF154+AF155+AF160</f>
        <v>5372604.50168132</v>
      </c>
      <c r="AG161" s="61" t="n">
        <f aca="false">AG159+AG147+AG152+AG153+AG154+AG155+AG160</f>
        <v>5667502.31648806</v>
      </c>
      <c r="AH161" s="61" t="n">
        <f aca="false">AH159+AH147+AH152+AH153+AH154+AH155+AH160</f>
        <v>5787170.09676339</v>
      </c>
      <c r="AI161" s="61" t="n">
        <f aca="false">AI159+AI147+AI152+AI153+AI154+AI155+AI160</f>
        <v>6145210.08922424</v>
      </c>
      <c r="AJ161" s="61" t="n">
        <f aca="false">AJ159+AJ147+AJ152+AJ153+AJ154+AJ155+AJ160</f>
        <v>6174849.11894414</v>
      </c>
      <c r="AK161" s="61" t="n">
        <f aca="false">AK159+AK147+AK152+AK153+AK154+AK155+AK160</f>
        <v>5936077.56955442</v>
      </c>
      <c r="AL161" s="61" t="n">
        <f aca="false">AL159+AL147+AL152+AL153+AL154+AL155+AL160</f>
        <v>5414829.62800757</v>
      </c>
      <c r="AM161" s="61" t="n">
        <f aca="false">AM159+AM147+AM152+AM153+AM154+AM155+AM160</f>
        <v>5943007.80213266</v>
      </c>
      <c r="AN161" s="61" t="n">
        <f aca="false">AN159+AN147+AN152+AN153+AN154+AN155+AN160</f>
        <v>5849045.19072663</v>
      </c>
      <c r="AO161" s="61" t="n">
        <f aca="false">AO159+AO147+AO152+AO153+AO154+AO155+AO160</f>
        <v>5735748.10710588</v>
      </c>
      <c r="AP161" s="61" t="n">
        <f aca="false">AP159+AP147+AP152+AP153+AP154+AP155+AP160</f>
        <v>5578068.1603717</v>
      </c>
      <c r="AQ161" s="61" t="n">
        <f aca="false">AQ159+AQ147+AQ152+AQ153+AQ154+AQ155+AQ160</f>
        <v>5424218.36499008</v>
      </c>
      <c r="AR161" s="61" t="n">
        <f aca="false">AR159+AR147+AR152+AR153+AR154+AR155+AR160</f>
        <v>5506432.4358259</v>
      </c>
      <c r="AS161" s="61" t="n">
        <f aca="false">AS159+AS147+AS152+AS153+AS154+AS155+AS160</f>
        <v>5255476.41781528</v>
      </c>
      <c r="AT161" s="61" t="n">
        <f aca="false">AT159+AT147+AT152+AT153+AT154+AT155+AT160</f>
        <v>4986226.15304039</v>
      </c>
      <c r="AU161" s="61" t="n">
        <f aca="false">AU159+AU147+AU152+AU153+AU154+AU155+AU160</f>
        <v>4659524.79245735</v>
      </c>
      <c r="AV161" s="61" t="n">
        <f aca="false">AV159+AV147+AV152+AV153+AV154+AV155+AV160</f>
        <v>4351363.25354517</v>
      </c>
      <c r="AW161" s="61" t="n">
        <f aca="false">AW159+AW147+AW152+AW153+AW154+AW155+AW160</f>
        <v>4038822.8519672</v>
      </c>
      <c r="AX161" s="61" t="n">
        <f aca="false">AX159+AX147+AX152+AX153+AX154+AX155+AX160</f>
        <v>3721375.52335573</v>
      </c>
      <c r="AY161" s="61" t="n">
        <f aca="false">AY159+AY147+AY152+AY153+AY154+AY155+AY160</f>
        <v>3393369.15545522</v>
      </c>
      <c r="AZ161" s="61" t="n">
        <f aca="false">AZ159+AZ147+AZ152+AZ153+AZ154+AZ155+AZ160</f>
        <v>3059753.66455399</v>
      </c>
      <c r="BA161" s="61" t="n">
        <f aca="false">BA159+BA147+BA152+BA153+BA154+BA155+BA160</f>
        <v>2720358.7648987</v>
      </c>
      <c r="BB161" s="61" t="n">
        <f aca="false">BB159+BB147+BB152+BB153+BB154+BB155+BB160</f>
        <v>2350233.03044026</v>
      </c>
      <c r="BC161" s="61" t="n">
        <f aca="false">BC159+BC147+BC152+BC153+BC154+BC155+BC160</f>
        <v>1999218.08693853</v>
      </c>
      <c r="BD161" s="61" t="n">
        <f aca="false">BD159+BD147+BD152+BD153+BD154+BD155+BD160</f>
        <v>1642563.40726695</v>
      </c>
      <c r="BE161" s="61" t="n">
        <f aca="false">BE159+BE147+BE152+BE153+BE154+BE155+BE160</f>
        <v>1280492.85022486</v>
      </c>
      <c r="BF161" s="61" t="n">
        <f aca="false">BF159+BF147+BF152+BF153+BF154+BF155+BF160</f>
        <v>1148266.74091914</v>
      </c>
      <c r="BG161" s="61" t="n">
        <f aca="false">BG159+BG147+BG152+BG153+BG154+BG155+BG160</f>
        <v>641996.516527959</v>
      </c>
      <c r="BH161" s="61" t="n">
        <f aca="false">BH159+BH147+BH152+BH153+BH154+BH155+BH160</f>
        <v>187157.610696781</v>
      </c>
      <c r="BI161" s="61" t="n">
        <f aca="false">BI159+BI147+BI152+BI153+BI154+BI155+BI160</f>
        <v>-268181.845534398</v>
      </c>
      <c r="BJ161" s="61" t="n">
        <f aca="false">BJ159+BJ147+BJ152+BJ153+BJ154+BJ155+BJ160</f>
        <v>-656246.562565577</v>
      </c>
      <c r="BK161" s="61" t="n">
        <f aca="false">BK159+BK147+BK152+BK153+BK154+BK155+BK160</f>
        <v>-1186210.46100938</v>
      </c>
      <c r="BL161" s="61" t="n">
        <f aca="false">BL159+BL147+BL152+BL153+BL154+BL155+BL160</f>
        <v>-1716174.35945318</v>
      </c>
      <c r="BM161" s="61" t="n">
        <f aca="false">BM159+BM147+BM152+BM153+BM154+BM155+BM160</f>
        <v>-2246138.25789698</v>
      </c>
      <c r="BN161" s="61" t="n">
        <f aca="false">BN159+BN147+BN152+BN153+BN154+BN155+BN160</f>
        <v>-2801496.01481438</v>
      </c>
      <c r="BO161" s="61" t="n">
        <f aca="false">BO159+BO147+BO152+BO153+BO154+BO155+BO160</f>
        <v>-3331459.91325819</v>
      </c>
      <c r="BP161" s="61" t="n">
        <f aca="false">BP159+BP147+BP152+BP153+BP154+BP155+BP160</f>
        <v>-3809910.29170199</v>
      </c>
      <c r="BQ161" s="61" t="n">
        <f aca="false">BQ159+BQ147+BQ152+BQ153+BQ154+BQ155+BQ160</f>
        <v>-4339874.19014579</v>
      </c>
      <c r="BR161" s="61" t="n">
        <f aca="false">BR159+BR147+BR152+BR153+BR154+BR155+BR160</f>
        <v>-4869838.08858959</v>
      </c>
      <c r="BS161" s="61" t="n">
        <f aca="false">BS159+BS147+BS152+BS153+BS154+BS155+BS160</f>
        <v>-5355225.68390059</v>
      </c>
      <c r="BT161" s="61" t="n">
        <f aca="false">BT159+BT147+BT152+BT153+BT154+BT155+BT160</f>
        <v>-5885189.58234439</v>
      </c>
      <c r="BU161" s="61" t="n">
        <f aca="false">BU159+BU147+BU152+BU153+BU154+BU155+BU160</f>
        <v>-6415153.4807882</v>
      </c>
      <c r="BV161" s="61" t="n">
        <f aca="false">BV159+BV147+BV152+BV153+BV154+BV155+BV160</f>
        <v>-6877355.379232</v>
      </c>
      <c r="BW161" s="61" t="n">
        <f aca="false">BW159+BW147+BW152+BW153+BW154+BW155+BW160</f>
        <v>-7412773.73564468</v>
      </c>
      <c r="BX161" s="61" t="n">
        <f aca="false">BX159+BX147+BX152+BX153+BX154+BX155+BX160</f>
        <v>-7948192.09205736</v>
      </c>
      <c r="BY161" s="61" t="n">
        <f aca="false">BY159+BY147+BY152+BY153+BY154+BY155+BY160</f>
        <v>-8415848.44847003</v>
      </c>
      <c r="BZ161" s="61" t="n">
        <f aca="false">BZ159+BZ147+BZ152+BZ153+BZ154+BZ155+BZ160</f>
        <v>-8977168.54052578</v>
      </c>
      <c r="CA161" s="61" t="n">
        <f aca="false">CA159+CA147+CA152+CA153+CA154+CA155+CA160</f>
        <v>-9512586.89693846</v>
      </c>
      <c r="CB161" s="61" t="n">
        <f aca="false">CB159+CB147+CB152+CB153+CB154+CB155+CB160</f>
        <v>-9971506.25335114</v>
      </c>
      <c r="CC161" s="61" t="n">
        <f aca="false">CC159+CC147+CC152+CC153+CC154+CC155+CC160</f>
        <v>-10506924.6097638</v>
      </c>
      <c r="CD161" s="61" t="n">
        <f aca="false">CD159+CD147+CD152+CD153+CD154+CD155+CD160</f>
        <v>-11042342.9661765</v>
      </c>
      <c r="CE161" s="61" t="n">
        <f aca="false">CE159+CE147+CE152+CE153+CE154+CE155+CE160</f>
        <v>-11524911.7333937</v>
      </c>
      <c r="CF161" s="61" t="n">
        <f aca="false">CF159+CF147+CF152+CF153+CF154+CF155+CF160</f>
        <v>-12060330.0898064</v>
      </c>
      <c r="CG161" s="61" t="n">
        <f aca="false">CG159+CG147+CG152+CG153+CG154+CG155+CG160</f>
        <v>-12595748.4462191</v>
      </c>
      <c r="CH161" s="61" t="n">
        <f aca="false">CH159+CH147+CH152+CH153+CH154+CH155+CH160</f>
        <v>-13048059.7760253</v>
      </c>
      <c r="CI161" s="25"/>
      <c r="CJ161" s="56"/>
      <c r="CK161" s="56"/>
    </row>
    <row r="162" customFormat="false" ht="1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2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3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64" t="s">
        <v>178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5"/>
      <c r="CJ167" s="56"/>
      <c r="CK167" s="56"/>
    </row>
    <row r="168" customFormat="false" ht="15" hidden="false" customHeight="true" outlineLevel="0" collapsed="false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</row>
    <row r="169" customFormat="false" ht="15" hidden="false" customHeight="true" outlineLevel="0" collapsed="false">
      <c r="A169" s="6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5"/>
      <c r="CJ169" s="56"/>
      <c r="CK169" s="56"/>
    </row>
    <row r="170" customFormat="false" ht="15" hidden="false" customHeight="true" outlineLevel="0" collapsed="false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179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  <c r="G2" s="5" t="s">
        <v>185</v>
      </c>
      <c r="H2" s="5" t="s">
        <v>186</v>
      </c>
      <c r="I2" s="5" t="s">
        <v>187</v>
      </c>
      <c r="J2" s="5" t="s">
        <v>188</v>
      </c>
      <c r="K2" s="5" t="s">
        <v>189</v>
      </c>
      <c r="L2" s="5" t="s">
        <v>190</v>
      </c>
      <c r="M2" s="5" t="s">
        <v>191</v>
      </c>
      <c r="N2" s="5" t="s">
        <v>192</v>
      </c>
      <c r="O2" s="5" t="s">
        <v>193</v>
      </c>
      <c r="P2" s="5" t="s">
        <v>194</v>
      </c>
      <c r="Q2" s="5" t="s">
        <v>195</v>
      </c>
      <c r="R2" s="5" t="s">
        <v>196</v>
      </c>
      <c r="S2" s="5" t="s">
        <v>197</v>
      </c>
      <c r="T2" s="5" t="s">
        <v>198</v>
      </c>
      <c r="U2" s="5" t="s">
        <v>199</v>
      </c>
      <c r="V2" s="5" t="s">
        <v>200</v>
      </c>
      <c r="W2" s="5" t="s">
        <v>201</v>
      </c>
      <c r="X2" s="5" t="s">
        <v>202</v>
      </c>
      <c r="Y2" s="5" t="s">
        <v>203</v>
      </c>
      <c r="Z2" s="5" t="s">
        <v>204</v>
      </c>
      <c r="AA2" s="5" t="s">
        <v>205</v>
      </c>
      <c r="AB2" s="5" t="s">
        <v>206</v>
      </c>
      <c r="AC2" s="5" t="s">
        <v>207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16700979.110481</v>
      </c>
      <c r="D3" s="65" t="n">
        <f aca="false">Model!I7+Model!J7+Model!K7</f>
        <v>20341786.1339069</v>
      </c>
      <c r="E3" s="65" t="n">
        <f aca="false">Model!L7+Model!M7+Model!N7</f>
        <v>21680815.1071276</v>
      </c>
      <c r="F3" s="65" t="n">
        <f aca="false">Model!O7+Model!P7+Model!Q7</f>
        <v>24337637.2874382</v>
      </c>
      <c r="G3" s="65" t="n">
        <f aca="false">Model!R7+Model!S7+Model!T7</f>
        <v>21378563.495225</v>
      </c>
      <c r="H3" s="65" t="n">
        <f aca="false">Model!U7+Model!V7+Model!W7</f>
        <v>19821720.735296</v>
      </c>
      <c r="I3" s="65" t="n">
        <f aca="false">Model!X7+Model!Y7+Model!Z7</f>
        <v>17143021.497728</v>
      </c>
      <c r="J3" s="65" t="n">
        <f aca="false">Model!AA7+Model!AB7+Model!AC7</f>
        <v>13569035.117488</v>
      </c>
      <c r="K3" s="65" t="n">
        <f aca="false">Model!AD7+Model!AE7+Model!AF7</f>
        <v>10431100.051765</v>
      </c>
      <c r="L3" s="65" t="n">
        <f aca="false">Model!AG7+Model!AH7+Model!AI7</f>
        <v>10532644.011073</v>
      </c>
      <c r="M3" s="65" t="n">
        <f aca="false">Model!AJ7+Model!AK7+Model!AL7</f>
        <v>10209949.058484</v>
      </c>
      <c r="N3" s="65" t="n">
        <f aca="false">Model!AM7+Model!AN7+Model!AO7</f>
        <v>8960352.488294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497246.06700487</v>
      </c>
      <c r="C5" s="10" t="n">
        <f aca="false">Model!F8+Model!G8+Model!H8</f>
        <v>696044.892978896</v>
      </c>
      <c r="D5" s="10" t="n">
        <f aca="false">Model!I8+Model!J8+Model!K8</f>
        <v>937472.015097403</v>
      </c>
      <c r="E5" s="10" t="n">
        <f aca="false">Model!L8+Model!M8+Model!N8</f>
        <v>922419.80119724</v>
      </c>
      <c r="F5" s="10" t="n">
        <f aca="false">Model!O8+Model!P8+Model!Q8</f>
        <v>1193132.25736607</v>
      </c>
      <c r="G5" s="10" t="n">
        <f aca="false">Model!R8+Model!S8+Model!T8</f>
        <v>837932.883583604</v>
      </c>
      <c r="H5" s="10" t="n">
        <f aca="false">Model!U8+Model!V8+Model!W8</f>
        <v>728550.555458604</v>
      </c>
      <c r="I5" s="10" t="n">
        <f aca="false">Model!X8+Model!Y8+Model!Z8</f>
        <v>704050.555458604</v>
      </c>
      <c r="J5" s="10" t="n">
        <f aca="false">Model!AA8+Model!AB8+Model!AC8</f>
        <v>734648.3515625</v>
      </c>
      <c r="K5" s="10" t="n">
        <f aca="false">Model!AD8+Model!AE8+Model!AF8</f>
        <v>795843.943770292</v>
      </c>
      <c r="L5" s="10" t="n">
        <f aca="false">Model!AG8+Model!AH8+Model!AI8</f>
        <v>870271.204525162</v>
      </c>
      <c r="M5" s="10" t="n">
        <f aca="false">Model!AJ8+Model!AK8+Model!AL8</f>
        <v>512656.22849026</v>
      </c>
      <c r="N5" s="10" t="n">
        <f aca="false">Model!AM8+Model!AN8+Model!AO8</f>
        <v>400764.603409091</v>
      </c>
      <c r="O5" s="10" t="n">
        <f aca="false">Model!AP8+Model!AQ8+Model!AR8</f>
        <v>510992.12775974</v>
      </c>
      <c r="P5" s="10" t="n">
        <f aca="false">Model!AS8+Model!AT8+Model!AU8</f>
        <v>191332.307142857</v>
      </c>
      <c r="Q5" s="10" t="n">
        <f aca="false">Model!AV8+Model!AW8+Model!AX8</f>
        <v>191332.307142857</v>
      </c>
      <c r="R5" s="10" t="n">
        <f aca="false">Model!AY8+Model!AZ8+Model!BA8</f>
        <v>191332.307142857</v>
      </c>
      <c r="S5" s="10" t="n">
        <f aca="false">Model!BB8+Model!BC8+Model!BD8</f>
        <v>191332.307142857</v>
      </c>
      <c r="T5" s="10" t="n">
        <f aca="false">Model!BE8+Model!BF8+Model!BG8</f>
        <v>228256.085714286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590218.787048309</v>
      </c>
      <c r="C6" s="10" t="n">
        <f aca="false">Model!F9+Model!G9+Model!H9</f>
        <v>772691.4036505</v>
      </c>
      <c r="D6" s="10" t="n">
        <f aca="false">Model!I9+Model!J9+Model!K9</f>
        <v>954097.177461602</v>
      </c>
      <c r="E6" s="10" t="n">
        <f aca="false">Model!L9+Model!M9+Model!N9</f>
        <v>1003089.65998886</v>
      </c>
      <c r="F6" s="10" t="n">
        <f aca="false">Model!O9+Model!P9+Model!Q9</f>
        <v>1187290.97596102</v>
      </c>
      <c r="G6" s="10" t="n">
        <f aca="false">Model!R9+Model!S9+Model!T9</f>
        <v>1037763.40521739</v>
      </c>
      <c r="H6" s="10" t="n">
        <f aca="false">Model!U9+Model!V9+Model!W9</f>
        <v>926945.067298597</v>
      </c>
      <c r="I6" s="10" t="n">
        <f aca="false">Model!X9+Model!Y9+Model!Z9</f>
        <v>793143.040073454</v>
      </c>
      <c r="J6" s="10" t="n">
        <f aca="false">Model!AA9+Model!AB9+Model!AC9</f>
        <v>660967.790338325</v>
      </c>
      <c r="K6" s="10" t="n">
        <f aca="false">Model!AD9+Model!AE9+Model!AF9</f>
        <v>482607.713433933</v>
      </c>
      <c r="L6" s="10" t="n">
        <f aca="false">Model!AG9+Model!AH9+Model!AI9</f>
        <v>643714.502947371</v>
      </c>
      <c r="M6" s="10" t="n">
        <f aca="false">Model!AJ9+Model!AK9+Model!AL9</f>
        <v>510959.208874666</v>
      </c>
      <c r="N6" s="10" t="n">
        <f aca="false">Model!AM9+Model!AN9+Model!AO9</f>
        <v>414561.762851265</v>
      </c>
      <c r="O6" s="10" t="n">
        <f aca="false">Model!AP9+Model!AQ9+Model!AR9</f>
        <v>489885.875445789</v>
      </c>
      <c r="P6" s="10" t="n">
        <f aca="false">Model!AS9+Model!AT9+Model!AU9</f>
        <v>255277.477513071</v>
      </c>
      <c r="Q6" s="10" t="n">
        <f aca="false">Model!AV9+Model!AW9+Model!AX9</f>
        <v>226613.98458</v>
      </c>
      <c r="R6" s="10" t="n">
        <f aca="false">Model!AY9+Model!AZ9+Model!BA9</f>
        <v>183979.406579357</v>
      </c>
      <c r="S6" s="10" t="n">
        <f aca="false">Model!BB9+Model!BC9+Model!BD9</f>
        <v>136601.700684643</v>
      </c>
      <c r="T6" s="10" t="n">
        <f aca="false">Model!BE9+Model!BF9+Model!BG9</f>
        <v>166938.5456955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125585.610876623</v>
      </c>
      <c r="C7" s="10" t="n">
        <f aca="false">Model!F10+Model!G10+Model!H10</f>
        <v>191851.886201299</v>
      </c>
      <c r="D7" s="10" t="n">
        <f aca="false">Model!I10+Model!J10+Model!K10</f>
        <v>273610.078990801</v>
      </c>
      <c r="E7" s="10" t="n">
        <f aca="false">Model!L10+Model!M10+Model!N10</f>
        <v>273955.795190747</v>
      </c>
      <c r="F7" s="10" t="n">
        <f aca="false">Model!O10+Model!P10+Model!Q10</f>
        <v>364193.280580357</v>
      </c>
      <c r="G7" s="10" t="n">
        <f aca="false">Model!R10+Model!S10+Model!T10</f>
        <v>254001.987236201</v>
      </c>
      <c r="H7" s="10" t="n">
        <f aca="false">Model!U10+Model!V10+Model!W10</f>
        <v>234683.518486201</v>
      </c>
      <c r="I7" s="10" t="n">
        <f aca="false">Model!X10+Model!Y10+Model!Z10</f>
        <v>234683.518486201</v>
      </c>
      <c r="J7" s="10" t="n">
        <f aca="false">Model!AA10+Model!AB10+Model!AC10</f>
        <v>244882.783854167</v>
      </c>
      <c r="K7" s="10" t="n">
        <f aca="false">Model!AD10+Model!AE10+Model!AF10</f>
        <v>265281.314590097</v>
      </c>
      <c r="L7" s="10" t="n">
        <f aca="false">Model!AG10+Model!AH10+Model!AI10</f>
        <v>290090.401508387</v>
      </c>
      <c r="M7" s="10" t="n">
        <f aca="false">Model!AJ10+Model!AK10+Model!AL10</f>
        <v>170885.409496753</v>
      </c>
      <c r="N7" s="10" t="n">
        <f aca="false">Model!AM10+Model!AN10+Model!AO10</f>
        <v>133588.201136364</v>
      </c>
      <c r="O7" s="10" t="n">
        <f aca="false">Model!AP10+Model!AQ10+Model!AR10</f>
        <v>170330.709253247</v>
      </c>
      <c r="P7" s="10" t="n">
        <f aca="false">Model!AS10+Model!AT10+Model!AU10</f>
        <v>63777.4357142857</v>
      </c>
      <c r="Q7" s="10" t="n">
        <f aca="false">Model!AV10+Model!AW10+Model!AX10</f>
        <v>63777.4357142857</v>
      </c>
      <c r="R7" s="10" t="n">
        <f aca="false">Model!AY10+Model!AZ10+Model!BA10</f>
        <v>63777.4357142857</v>
      </c>
      <c r="S7" s="10" t="n">
        <f aca="false">Model!BB10+Model!BC10+Model!BD10</f>
        <v>63777.4357142857</v>
      </c>
      <c r="T7" s="10" t="n">
        <f aca="false">Model!BE10+Model!BF10+Model!BG10</f>
        <v>76085.3619047619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1213050.4649298</v>
      </c>
      <c r="C9" s="12" t="n">
        <f aca="false">Model!F12+Model!G12+Model!H12</f>
        <v>2305114.9028307</v>
      </c>
      <c r="D9" s="12" t="n">
        <f aca="false">Model!I12+Model!J12+Model!K12</f>
        <v>2926190.17154981</v>
      </c>
      <c r="E9" s="12" t="n">
        <f aca="false">Model!L12+Model!M12+Model!N12</f>
        <v>2199465.25637685</v>
      </c>
      <c r="F9" s="12" t="n">
        <f aca="false">Model!O12+Model!P12+Model!Q12</f>
        <v>3423618.06390745</v>
      </c>
      <c r="G9" s="12" t="n">
        <f aca="false">Model!R12+Model!S12+Model!T12</f>
        <v>2129698.27603719</v>
      </c>
      <c r="H9" s="12" t="n">
        <f aca="false">Model!U12+Model!V12+Model!W12</f>
        <v>1890179.1412434</v>
      </c>
      <c r="I9" s="12" t="n">
        <f aca="false">Model!X12+Model!Y12+Model!Z12</f>
        <v>1731877.11401826</v>
      </c>
      <c r="J9" s="12" t="n">
        <f aca="false">Model!AA12+Model!AB12+Model!AC12</f>
        <v>2260818.40575499</v>
      </c>
      <c r="K9" s="12" t="n">
        <f aca="false">Model!AD12+Model!AE12+Model!AF12</f>
        <v>1543732.97179432</v>
      </c>
      <c r="L9" s="12" t="n">
        <f aca="false">Model!AG12+Model!AH12+Model!AI12</f>
        <v>1804076.10898092</v>
      </c>
      <c r="M9" s="12" t="n">
        <f aca="false">Model!AJ12+Model!AK12+Model!AL12</f>
        <v>1194500.84686168</v>
      </c>
      <c r="N9" s="12" t="n">
        <f aca="false">Model!AM12+Model!AN12+Model!AO12</f>
        <v>948914.567396719</v>
      </c>
      <c r="O9" s="12" t="n">
        <f aca="false">Model!AP12+Model!AQ12+Model!AR12</f>
        <v>1171208.71245878</v>
      </c>
      <c r="P9" s="12" t="n">
        <f aca="false">Model!AS12+Model!AT12+Model!AU12</f>
        <v>510387.220370214</v>
      </c>
      <c r="Q9" s="12" t="n">
        <f aca="false">Model!AV12+Model!AW12+Model!AX12</f>
        <v>481723.727437143</v>
      </c>
      <c r="R9" s="12" t="n">
        <f aca="false">Model!AY12+Model!AZ12+Model!BA12</f>
        <v>439089.1494365</v>
      </c>
      <c r="S9" s="12" t="n">
        <f aca="false">Model!BB12+Model!BC12+Model!BD12</f>
        <v>391711.443541786</v>
      </c>
      <c r="T9" s="12" t="n">
        <f aca="false">Model!BE12+Model!BF12+Model!BG12</f>
        <v>471279.993314548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Model!C16+Model!D16+Model!E16+Model!C17+Model!D17+Model!E17</f>
        <v>-675473</v>
      </c>
      <c r="C13" s="10" t="n">
        <f aca="false">Model!F16+Model!G16+Model!H16+Model!F17+Model!G17+Model!H17</f>
        <v>-771723</v>
      </c>
      <c r="D13" s="10" t="n">
        <f aca="false">Model!I16+Model!J16+Model!K16+Model!I17+Model!J17+Model!K17</f>
        <v>-771723</v>
      </c>
      <c r="E13" s="10" t="n">
        <f aca="false">Model!L16+Model!M16+Model!N16+Model!L17+Model!M17+Model!N17</f>
        <v>-771723</v>
      </c>
      <c r="F13" s="10" t="n">
        <f aca="false">Model!O16+Model!P16+Model!Q16+Model!O17+Model!P17+Model!Q17</f>
        <v>-771723</v>
      </c>
      <c r="G13" s="10" t="n">
        <f aca="false">Model!R16+Model!S16+Model!T16+Model!R17+Model!S17+Model!T17</f>
        <v>-771723</v>
      </c>
      <c r="H13" s="10" t="n">
        <f aca="false">Model!U16+Model!V16+Model!W16+Model!U17+Model!V17+Model!W17</f>
        <v>-771723</v>
      </c>
      <c r="I13" s="10" t="n">
        <f aca="false">Model!X16+Model!Y16+Model!Z16+Model!X17+Model!Y17+Model!Z17</f>
        <v>-771723</v>
      </c>
      <c r="J13" s="10" t="n">
        <f aca="false">Model!AA16+Model!AB16+Model!AC16+Model!AA17+Model!AB17+Model!AC17</f>
        <v>-771723</v>
      </c>
      <c r="K13" s="10" t="n">
        <f aca="false">Model!AD16+Model!AE16+Model!AF16+Model!AD17+Model!AE17+Model!AF17</f>
        <v>-771723</v>
      </c>
      <c r="L13" s="10" t="n">
        <f aca="false">Model!AG16+Model!AH16+Model!AI16+Model!AG17+Model!AH17+Model!AI17</f>
        <v>-771723</v>
      </c>
      <c r="M13" s="10" t="n">
        <f aca="false">Model!AJ16+Model!AK16+Model!AL16+Model!AJ17+Model!AK17+Model!AL17</f>
        <v>-771723</v>
      </c>
      <c r="N13" s="10" t="n">
        <f aca="false">Model!AM16+Model!AN16+Model!AO16+Model!AM17+Model!AN17+Model!AO17</f>
        <v>-771723</v>
      </c>
      <c r="O13" s="10" t="n">
        <f aca="false">Model!AP16+Model!AQ16+Model!AR16+Model!AP17+Model!AQ17+Model!AR17</f>
        <v>-771723</v>
      </c>
      <c r="P13" s="10" t="n">
        <f aca="false">Model!AS16+Model!AT16+Model!AU16+Model!AS17+Model!AT17+Model!AU17</f>
        <v>-771723</v>
      </c>
      <c r="Q13" s="10" t="n">
        <f aca="false">Model!AV16+Model!AW16+Model!AX16+Model!AV17+Model!AW17+Model!AX17</f>
        <v>-771723</v>
      </c>
      <c r="R13" s="10" t="n">
        <f aca="false">Model!AY16+Model!AZ16+Model!BA16+Model!AY17+Model!AZ17+Model!BA17</f>
        <v>-771723</v>
      </c>
      <c r="S13" s="10" t="n">
        <f aca="false">Model!BB16+Model!BC16+Model!BD16+Model!BB17+Model!BC17+Model!BD17</f>
        <v>-771723</v>
      </c>
      <c r="T13" s="10" t="n">
        <f aca="false">Model!BE16+Model!BF16+Model!BG16+Model!BE17+Model!BF17+Model!BG17</f>
        <v>-771723</v>
      </c>
      <c r="U13" s="10" t="n">
        <f aca="false">Model!BH16+Model!BI16+Model!BJ16+Model!BH17+Model!BI17+Model!BJ17</f>
        <v>-771723</v>
      </c>
      <c r="V13" s="10" t="n">
        <f aca="false">Model!BK16+Model!BL16+Model!BM16+Model!BK17+Model!BL17+Model!BM17</f>
        <v>-771723</v>
      </c>
      <c r="W13" s="10" t="n">
        <f aca="false">Model!BN16+Model!BO16+Model!BP16+Model!BN17+Model!BO17+Model!BP17</f>
        <v>-771723</v>
      </c>
      <c r="X13" s="10" t="n">
        <f aca="false">Model!BQ16+Model!BR16+Model!BS16+Model!BQ17+Model!BR17+Model!BS17</f>
        <v>-771723</v>
      </c>
      <c r="Y13" s="10" t="n">
        <f aca="false">Model!BT16+Model!BU16+Model!BV16+Model!BT17+Model!BU17+Model!BV17</f>
        <v>-771723</v>
      </c>
      <c r="Z13" s="10" t="n">
        <f aca="false">Model!BW16+Model!BX16+Model!BY16+Model!BW17+Model!BX17+Model!BY17</f>
        <v>-771723</v>
      </c>
      <c r="AA13" s="10" t="n">
        <f aca="false">Model!BZ16+Model!CA16+Model!CB16+Model!BZ17+Model!CA17+Model!CB17</f>
        <v>-771723</v>
      </c>
      <c r="AB13" s="10" t="n">
        <f aca="false">Model!CC16+Model!CD16+Model!CE16+Model!CC17+Model!CD17+Model!CE17</f>
        <v>-771723</v>
      </c>
      <c r="AC13" s="10" t="n">
        <f aca="false">Model!CF16+Model!CG16+Model!CH16+Model!CF17+Model!CG17+Model!CH17</f>
        <v>-771723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</f>
        <v>-163750</v>
      </c>
      <c r="C14" s="10" t="n">
        <f aca="false">Model!F18+Model!G18+Model!H18</f>
        <v>-163750</v>
      </c>
      <c r="D14" s="10" t="n">
        <f aca="false">Model!I18+Model!J18+Model!K18</f>
        <v>-163750</v>
      </c>
      <c r="E14" s="10" t="n">
        <f aca="false">Model!L18+Model!M18+Model!N18</f>
        <v>-163750</v>
      </c>
      <c r="F14" s="10" t="n">
        <f aca="false">Model!O18+Model!P18+Model!Q18</f>
        <v>-167025</v>
      </c>
      <c r="G14" s="10" t="n">
        <f aca="false">Model!R18+Model!S18+Model!T18</f>
        <v>-167025</v>
      </c>
      <c r="H14" s="10" t="n">
        <f aca="false">Model!U18+Model!V18+Model!W18</f>
        <v>-167025</v>
      </c>
      <c r="I14" s="10" t="n">
        <f aca="false">Model!X18+Model!Y18+Model!Z18</f>
        <v>-167025</v>
      </c>
      <c r="J14" s="10" t="n">
        <f aca="false">Model!AA18+Model!AB18+Model!AC18</f>
        <v>-170365.5</v>
      </c>
      <c r="K14" s="10" t="n">
        <f aca="false">Model!AD18+Model!AE18+Model!AF18</f>
        <v>-170365.5</v>
      </c>
      <c r="L14" s="10" t="n">
        <f aca="false">Model!AG18+Model!AH18+Model!AI18</f>
        <v>-170365.5</v>
      </c>
      <c r="M14" s="10" t="n">
        <f aca="false">Model!AJ18+Model!AK18+Model!AL18</f>
        <v>-170365.5</v>
      </c>
      <c r="N14" s="10" t="n">
        <f aca="false">Model!AM18+Model!AN18+Model!AO18</f>
        <v>-173772.81</v>
      </c>
      <c r="O14" s="10" t="n">
        <f aca="false">Model!AP18+Model!AQ18+Model!AR18</f>
        <v>-173772.81</v>
      </c>
      <c r="P14" s="10" t="n">
        <f aca="false">Model!AS18+Model!AT18+Model!AU18</f>
        <v>-173772.81</v>
      </c>
      <c r="Q14" s="10" t="n">
        <f aca="false">Model!AV18+Model!AW18+Model!AX18</f>
        <v>-173772.81</v>
      </c>
      <c r="R14" s="10" t="n">
        <f aca="false">Model!AY18+Model!AZ18+Model!BA18</f>
        <v>-177248.2662</v>
      </c>
      <c r="S14" s="10" t="n">
        <f aca="false">Model!BB18+Model!BC18+Model!BD18</f>
        <v>-177248.2662</v>
      </c>
      <c r="T14" s="10" t="n">
        <f aca="false">Model!BE18+Model!BF18+Model!BG18</f>
        <v>-177248.2662</v>
      </c>
      <c r="U14" s="10" t="n">
        <f aca="false">Model!BH18+Model!BI18+Model!BJ18</f>
        <v>-177248.2662</v>
      </c>
      <c r="V14" s="10" t="n">
        <f aca="false">Model!BK18+Model!BL18+Model!BM18</f>
        <v>-180793.231524</v>
      </c>
      <c r="W14" s="10" t="n">
        <f aca="false">Model!BN18+Model!BO18+Model!BP18</f>
        <v>-180793.231524</v>
      </c>
      <c r="X14" s="10" t="n">
        <f aca="false">Model!BQ18+Model!BR18+Model!BS18</f>
        <v>-180793.231524</v>
      </c>
      <c r="Y14" s="10" t="n">
        <f aca="false">Model!BT18+Model!BU18+Model!BV18</f>
        <v>-180793.231524</v>
      </c>
      <c r="Z14" s="10" t="n">
        <f aca="false">Model!BW18+Model!BX18+Model!BY18</f>
        <v>-184409.09615448</v>
      </c>
      <c r="AA14" s="10" t="n">
        <f aca="false">Model!BZ18+Model!CA18+Model!CB18</f>
        <v>-184409.09615448</v>
      </c>
      <c r="AB14" s="10" t="n">
        <f aca="false">Model!CC18+Model!CD18+Model!CE18</f>
        <v>-184409.09615448</v>
      </c>
      <c r="AC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</f>
        <v>-1050188.595</v>
      </c>
      <c r="C15" s="12" t="n">
        <f aca="false">Model!F39+Model!G39+Model!H39</f>
        <v>-1480286.3602</v>
      </c>
      <c r="D15" s="12" t="n">
        <f aca="false">Model!I39+Model!J39+Model!K39</f>
        <v>-1537751.889</v>
      </c>
      <c r="E15" s="12" t="n">
        <f aca="false">Model!L39+Model!M39+Model!N39</f>
        <v>-1162319.845</v>
      </c>
      <c r="F15" s="12" t="n">
        <f aca="false">Model!O39+Model!P39+Model!Q39</f>
        <v>-2641301.8069</v>
      </c>
      <c r="G15" s="12" t="n">
        <f aca="false">Model!R39+Model!S39+Model!T39</f>
        <v>-1170131.7819</v>
      </c>
      <c r="H15" s="12" t="n">
        <f aca="false">Model!U39+Model!V39+Model!W39</f>
        <v>-1170131.7819</v>
      </c>
      <c r="I15" s="12" t="n">
        <f aca="false">Model!X39+Model!Y39+Model!Z39</f>
        <v>-1170131.7819</v>
      </c>
      <c r="J15" s="12" t="n">
        <f aca="false">Model!AA39+Model!AB39+Model!AC39</f>
        <v>-2522125.497538</v>
      </c>
      <c r="K15" s="12" t="n">
        <f aca="false">Model!AD39+Model!AE39+Model!AF39</f>
        <v>-1178099.957538</v>
      </c>
      <c r="L15" s="12" t="n">
        <f aca="false">Model!AG39+Model!AH39+Model!AI39</f>
        <v>-1178099.957538</v>
      </c>
      <c r="M15" s="12" t="n">
        <f aca="false">Model!AJ39+Model!AK39+Model!AL39</f>
        <v>-1178099.957538</v>
      </c>
      <c r="N15" s="12" t="n">
        <f aca="false">Model!AM39+Model!AN39+Model!AO39</f>
        <v>-1186227.49668876</v>
      </c>
      <c r="O15" s="12" t="n">
        <f aca="false">Model!AP39+Model!AQ39+Model!AR39</f>
        <v>-1186227.49668876</v>
      </c>
      <c r="P15" s="12" t="n">
        <f aca="false">Model!AS39+Model!AT39+Model!AU39</f>
        <v>-1186227.49668876</v>
      </c>
      <c r="Q15" s="12" t="n">
        <f aca="false">Model!AV39+Model!AW39+Model!AX39</f>
        <v>-1186227.49668876</v>
      </c>
      <c r="R15" s="12" t="n">
        <f aca="false">Model!AY39+Model!AZ39+Model!BA39</f>
        <v>-1194517.58662254</v>
      </c>
      <c r="S15" s="12" t="n">
        <f aca="false">Model!BB39+Model!BC39+Model!BD39</f>
        <v>-1194517.58662254</v>
      </c>
      <c r="T15" s="12" t="n">
        <f aca="false">Model!BE39+Model!BF39+Model!BG39</f>
        <v>-1194517.58662254</v>
      </c>
      <c r="U15" s="12" t="n">
        <f aca="false">Model!BH39+Model!BI39+Model!BJ39</f>
        <v>-1194517.58662254</v>
      </c>
      <c r="V15" s="12" t="n">
        <f aca="false">Model!BK39+Model!BL39+Model!BM39</f>
        <v>-1202973.47835499</v>
      </c>
      <c r="W15" s="12" t="n">
        <f aca="false">Model!BN39+Model!BO39+Model!BP39</f>
        <v>-1202973.47835499</v>
      </c>
      <c r="X15" s="12" t="n">
        <f aca="false">Model!BQ39+Model!BR39+Model!BS39</f>
        <v>-1202973.47835499</v>
      </c>
      <c r="Y15" s="12" t="n">
        <f aca="false">Model!BT39+Model!BU39+Model!BV39</f>
        <v>-1202973.47835499</v>
      </c>
      <c r="Z15" s="12" t="n">
        <f aca="false">Model!BW39+Model!BX39+Model!BY39</f>
        <v>-1211598.48792209</v>
      </c>
      <c r="AA15" s="12" t="n">
        <f aca="false">Model!BZ39+Model!CA39+Model!CB39</f>
        <v>-1211598.48792209</v>
      </c>
      <c r="AB15" s="12" t="n">
        <f aca="false">Model!CC39+Model!CD39+Model!CE39</f>
        <v>-1211598.48792209</v>
      </c>
      <c r="AC15" s="12" t="n">
        <f aca="false">Model!CF39+Model!CG39+Model!CH39</f>
        <v>-1211598.48792209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</f>
        <v>162861.869929803</v>
      </c>
      <c r="C16" s="16" t="n">
        <f aca="false">Model!F41+Model!G41+Model!H41</f>
        <v>824828.542630695</v>
      </c>
      <c r="D16" s="16" t="n">
        <f aca="false">Model!I41+Model!J41+Model!K41</f>
        <v>1388438.28254981</v>
      </c>
      <c r="E16" s="16" t="n">
        <f aca="false">Model!L41+Model!M41+Model!N41</f>
        <v>1037145.41137685</v>
      </c>
      <c r="F16" s="16" t="n">
        <f aca="false">Model!O41+Model!P41+Model!Q41</f>
        <v>782316.25700745</v>
      </c>
      <c r="G16" s="16" t="n">
        <f aca="false">Model!R41+Model!S41+Model!T41</f>
        <v>959566.494137194</v>
      </c>
      <c r="H16" s="16" t="n">
        <f aca="false">Model!U41+Model!V41+Model!W41</f>
        <v>720047.359343402</v>
      </c>
      <c r="I16" s="16" t="n">
        <f aca="false">Model!X41+Model!Y41+Model!Z41</f>
        <v>561745.33211826</v>
      </c>
      <c r="J16" s="16" t="n">
        <f aca="false">Model!AA41+Model!AB41+Model!AC41</f>
        <v>-261307.091783009</v>
      </c>
      <c r="K16" s="16" t="n">
        <f aca="false">Model!AD41+Model!AE41+Model!AF41</f>
        <v>365633.014256322</v>
      </c>
      <c r="L16" s="16" t="n">
        <f aca="false">Model!AG41+Model!AH41+Model!AI41</f>
        <v>625976.15144292</v>
      </c>
      <c r="M16" s="16" t="n">
        <f aca="false">Model!AJ41+Model!AK41+Model!AL41</f>
        <v>16400.8893236784</v>
      </c>
      <c r="N16" s="16" t="n">
        <f aca="false">Model!AM41+Model!AN41+Model!AO41</f>
        <v>-237312.929292041</v>
      </c>
      <c r="O16" s="16" t="n">
        <f aca="false">Model!AP41+Model!AQ41+Model!AR41</f>
        <v>-15018.784229984</v>
      </c>
      <c r="P16" s="16" t="n">
        <f aca="false">Model!AS41+Model!AT41+Model!AU41</f>
        <v>-675840.276318546</v>
      </c>
      <c r="Q16" s="16" t="n">
        <f aca="false">Model!AV41+Model!AW41+Model!AX41</f>
        <v>-704503.769251617</v>
      </c>
      <c r="R16" s="16" t="n">
        <f aca="false">Model!AY41+Model!AZ41+Model!BA41</f>
        <v>-755428.437186036</v>
      </c>
      <c r="S16" s="16" t="n">
        <f aca="false">Model!BB41+Model!BC41+Model!BD41</f>
        <v>-802806.14308075</v>
      </c>
      <c r="T16" s="16" t="n">
        <f aca="false">Model!BE41+Model!BF41+Model!BG41</f>
        <v>-723237.593307988</v>
      </c>
      <c r="U16" s="16" t="n">
        <f aca="false">Model!BH41+Model!BI41+Model!BJ41</f>
        <v>-1194517.58662254</v>
      </c>
      <c r="V16" s="16" t="n">
        <f aca="false">Model!BK41+Model!BL41+Model!BM41</f>
        <v>-1202973.47835499</v>
      </c>
      <c r="W16" s="16" t="n">
        <f aca="false">Model!BN41+Model!BO41+Model!BP41</f>
        <v>-1202973.47835499</v>
      </c>
      <c r="X16" s="16" t="n">
        <f aca="false">Model!BQ41+Model!BR41+Model!BS41</f>
        <v>-1202973.47835499</v>
      </c>
      <c r="Y16" s="16" t="n">
        <f aca="false">Model!BT41+Model!BU41+Model!BV41</f>
        <v>-1202973.47835499</v>
      </c>
      <c r="Z16" s="16" t="n">
        <f aca="false">Model!BW41+Model!BX41+Model!BY41</f>
        <v>-1211598.48792209</v>
      </c>
      <c r="AA16" s="16" t="n">
        <f aca="false">Model!BZ41+Model!CA41+Model!CB41</f>
        <v>-1211598.48792209</v>
      </c>
      <c r="AB16" s="16" t="n">
        <f aca="false">Model!CC41+Model!CD41+Model!CE41</f>
        <v>-1211598.48792209</v>
      </c>
      <c r="AC16" s="16" t="n">
        <f aca="false">Model!CF41+Model!CG41+Model!CH41</f>
        <v>-1211598.48792209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IF((Model!C12+Model!D12+Model!E12)&lt;&gt;0,(Model!C41+Model!D41+Model!E41)/(Model!C12+Model!D12+Model!E12),0)</f>
        <v>0.134258115913774</v>
      </c>
      <c r="C17" s="17" t="n">
        <f aca="false">IF((Model!F12+Model!G12+Model!H12)&lt;&gt;0,(Model!F41+Model!G41+Model!H41)/(Model!F12+Model!G12+Model!H12),0)</f>
        <v>0.357825348149804</v>
      </c>
      <c r="D17" s="17" t="n">
        <f aca="false">IF((Model!I12+Model!J12+Model!K12)&lt;&gt;0,(Model!I41+Model!J41+Model!K41)/(Model!I12+Model!J12+Model!K12),0)</f>
        <v>0.474486687860907</v>
      </c>
      <c r="E17" s="17" t="n">
        <f aca="false">IF((Model!L12+Model!M12+Model!N12)&lt;&gt;0,(Model!L41+Model!M41+Model!N41)/(Model!L12+Model!M12+Model!N12),0)</f>
        <v>0.471544348504656</v>
      </c>
      <c r="F17" s="17" t="n">
        <f aca="false">IF((Model!O12+Model!P12+Model!Q12)&lt;&gt;0,(Model!O41+Model!P41+Model!Q41)/(Model!O12+Model!P12+Model!Q12),0)</f>
        <v>0.228505704317548</v>
      </c>
      <c r="G17" s="17" t="n">
        <f aca="false">IF((Model!R12+Model!S12+Model!T12)&lt;&gt;0,(Model!R41+Model!S41+Model!T41)/(Model!R12+Model!S12+Model!T12),0)</f>
        <v>0.450564525939653</v>
      </c>
      <c r="H17" s="17" t="n">
        <f aca="false">IF((Model!U12+Model!V12+Model!W12)&lt;&gt;0,(Model!U41+Model!V41+Model!W41)/(Model!U12+Model!V12+Model!W12),0)</f>
        <v>0.380941331766966</v>
      </c>
      <c r="I17" s="17" t="n">
        <f aca="false">IF((Model!X12+Model!Y12+Model!Z12)&lt;&gt;0,(Model!X41+Model!Y41+Model!Z41)/(Model!X12+Model!Y12+Model!Z12),0)</f>
        <v>0.32435634582347</v>
      </c>
      <c r="J17" s="17" t="n">
        <f aca="false">IF((Model!AA12+Model!AB12+Model!AC12)&lt;&gt;0,(Model!AA41+Model!AB41+Model!AC41)/(Model!AA12+Model!AB12+Model!AC12),0)</f>
        <v>-0.115580752137298</v>
      </c>
      <c r="K17" s="17" t="n">
        <f aca="false">IF((Model!AD12+Model!AE12+Model!AF12)&lt;&gt;0,(Model!AD41+Model!AE41+Model!AF41)/(Model!AD12+Model!AE12+Model!AF12),0)</f>
        <v>0.236849909237436</v>
      </c>
      <c r="L17" s="17" t="n">
        <f aca="false">IF((Model!AG12+Model!AH12+Model!AI12)&lt;&gt;0,(Model!AG41+Model!AH41+Model!AI41)/(Model!AG12+Model!AH12+Model!AI12),0)</f>
        <v>0.346978793370596</v>
      </c>
      <c r="M17" s="17" t="n">
        <f aca="false">IF((Model!AJ12+Model!AK12+Model!AL12)&lt;&gt;0,(Model!AJ41+Model!AK41+Model!AL41)/(Model!AJ12+Model!AK12+Model!AL12),0)</f>
        <v>0.0137303287534442</v>
      </c>
      <c r="N17" s="17" t="n">
        <f aca="false">IF((Model!AM12+Model!AN12+Model!AO12)&lt;&gt;0,(Model!AM41+Model!AN41+Model!AO41)/(Model!AM12+Model!AN12+Model!AO12),0)</f>
        <v>-0.250088825112141</v>
      </c>
      <c r="O17" s="17" t="n">
        <f aca="false">IF((Model!AP12+Model!AQ12+Model!AR12)&lt;&gt;0,(Model!AP41+Model!AQ41+Model!AR41)/(Model!AP12+Model!AQ12+Model!AR12),0)</f>
        <v>-0.0128233201053076</v>
      </c>
      <c r="P17" s="17" t="n">
        <f aca="false">IF((Model!AS12+Model!AT12+Model!AU12)&lt;&gt;0,(Model!AS41+Model!AT41+Model!AU41)/(Model!AS12+Model!AT12+Model!AU12),0)</f>
        <v>-1.32417162762876</v>
      </c>
      <c r="Q17" s="17" t="n">
        <f aca="false">IF((Model!AV12+Model!AW12+Model!AX12)&lt;&gt;0,(Model!AV41+Model!AW41+Model!AX41)/(Model!AV12+Model!AW12+Model!AX12),0)</f>
        <v>-1.46246433199316</v>
      </c>
      <c r="R17" s="17" t="n">
        <f aca="false">IF((Model!AY12+Model!AZ12+Model!BA12)&lt;&gt;0,(Model!AY41+Model!AZ41+Model!BA41)/(Model!AY12+Model!AZ12+Model!BA12),0)</f>
        <v>-1.72044432925638</v>
      </c>
      <c r="S17" s="17" t="n">
        <f aca="false">IF((Model!BB12+Model!BC12+Model!BD12)&lt;&gt;0,(Model!BB41+Model!BC41+Model!BD41)/(Model!BB12+Model!BC12+Model!BD12),0)</f>
        <v>-2.04948350709879</v>
      </c>
      <c r="T17" s="17" t="n">
        <f aca="false">IF((Model!BE12+Model!BF12+Model!BG12)&lt;&gt;0,(Model!BE41+Model!BF41+Model!BG41)/(Model!BE12+Model!BF12+Model!BG12),0)</f>
        <v>-1.53462401028612</v>
      </c>
      <c r="U17" s="17" t="n">
        <f aca="false">IF((Model!BH12+Model!BI12+Model!BJ12)&lt;&gt;0,(Model!BH41+Model!BI41+Model!BJ41)/(Model!BH12+Model!BI12+Model!BJ12),0)</f>
        <v>0</v>
      </c>
      <c r="V17" s="17" t="n">
        <f aca="false">IF((Model!BK12+Model!BL12+Model!BM12)&lt;&gt;0,(Model!BK41+Model!BL41+Model!BM41)/(Model!BK12+Model!BL12+Model!BM12),0)</f>
        <v>0</v>
      </c>
      <c r="W17" s="17" t="n">
        <f aca="false">IF((Model!BN12+Model!BO12+Model!BP12)&lt;&gt;0,(Model!BN41+Model!BO41+Model!BP41)/(Model!BN12+Model!BO12+Model!BP12),0)</f>
        <v>0</v>
      </c>
      <c r="X17" s="17" t="n">
        <f aca="false">IF((Model!BQ12+Model!BR12+Model!BS12)&lt;&gt;0,(Model!BQ41+Model!BR41+Model!BS41)/(Model!BQ12+Model!BR12+Model!BS12),0)</f>
        <v>0</v>
      </c>
      <c r="Y17" s="17" t="n">
        <f aca="false">IF((Model!BT12+Model!BU12+Model!BV12)&lt;&gt;0,(Model!BT41+Model!BU41+Model!BV41)/(Model!BT12+Model!BU12+Model!BV12),0)</f>
        <v>0</v>
      </c>
      <c r="Z17" s="17" t="n">
        <f aca="false">IF((Model!BW12+Model!BX12+Model!BY12)&lt;&gt;0,(Model!BW41+Model!BX41+Model!BY41)/(Model!BW12+Model!BX12+Model!BY12),0)</f>
        <v>0</v>
      </c>
      <c r="AA17" s="17" t="n">
        <f aca="false">IF((Model!BZ12+Model!CA12+Model!CB12)&lt;&gt;0,(Model!BZ41+Model!CA41+Model!CB41)/(Model!BZ12+Model!CA12+Model!CB12),0)</f>
        <v>0</v>
      </c>
      <c r="AB17" s="17" t="n">
        <f aca="false">IF((Model!CC12+Model!CD12+Model!CE12)&lt;&gt;0,(Model!CC41+Model!CD41+Model!CE41)/(Model!CC12+Model!CD12+Model!CE12),0)</f>
        <v>0</v>
      </c>
      <c r="AC17" s="17" t="n">
        <f aca="false">IF((Model!CF12+Model!CG12+Model!CH12)&lt;&gt;0,(Model!CF41+Model!CG41+Model!CH41)/(Model!CF12+Model!CG12+Model!CH12),0)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Model!C64+Model!D64+Model!E64</f>
        <v>130843.74</v>
      </c>
      <c r="C19" s="19" t="n">
        <f aca="false">Model!F64+Model!G64+Model!H64</f>
        <v>130010.41</v>
      </c>
      <c r="D19" s="19" t="n">
        <f aca="false">Model!I64+Model!J64+Model!K64</f>
        <v>109593.75</v>
      </c>
      <c r="E19" s="19" t="n">
        <f aca="false">Model!L64+Model!M64+Model!N64</f>
        <v>136614.2412</v>
      </c>
      <c r="F19" s="19" t="n">
        <f aca="false">Model!O64+Model!P64+Model!Q64</f>
        <v>136614.2412</v>
      </c>
      <c r="G19" s="19" t="n">
        <f aca="false">Model!R64+Model!S64+Model!T64</f>
        <v>126827.8656</v>
      </c>
      <c r="H19" s="19" t="n">
        <f aca="false">Model!U64+Model!V64+Model!W64</f>
        <v>333353.2144</v>
      </c>
      <c r="I19" s="19" t="n">
        <f aca="false">Model!X64+Model!Y64+Model!Z64</f>
        <v>482503.5568</v>
      </c>
      <c r="J19" s="19" t="n">
        <f aca="false">Model!AA64+Model!AB64+Model!AC64</f>
        <v>660486.1424</v>
      </c>
      <c r="K19" s="19" t="n">
        <f aca="false">Model!AD64+Model!AE64+Model!AF64</f>
        <v>540502.3168</v>
      </c>
      <c r="L19" s="19" t="n">
        <f aca="false">Model!AG64+Model!AH64+Model!AI64</f>
        <v>533079.5136</v>
      </c>
      <c r="M19" s="19" t="n">
        <f aca="false">Model!AJ64+Model!AK64+Model!AL64</f>
        <v>471295.4304</v>
      </c>
      <c r="N19" s="19" t="n">
        <f aca="false">Model!AM64+Model!AN64+Model!AO64</f>
        <v>326650.016</v>
      </c>
      <c r="O19" s="19" t="n">
        <f aca="false">Model!AP64+Model!AQ64+Model!AR64</f>
        <v>263687.608</v>
      </c>
      <c r="P19" s="19" t="n">
        <f aca="false">Model!AS64+Model!AT64+Model!AU64</f>
        <v>304793.712</v>
      </c>
      <c r="Q19" s="19" t="n">
        <f aca="false">Model!AV64+Model!AW64+Model!AX64</f>
        <v>219930.2112</v>
      </c>
      <c r="R19" s="19" t="n">
        <f aca="false">Model!AY64+Model!AZ64+Model!BA64</f>
        <v>1067264.264</v>
      </c>
      <c r="S19" s="19" t="n">
        <f aca="false">Model!BB64+Model!BC64+Model!BD64</f>
        <v>260116.3104</v>
      </c>
      <c r="T19" s="19" t="n">
        <f aca="false">Model!BE64+Model!BF64+Model!BG64</f>
        <v>255609.3632</v>
      </c>
      <c r="U19" s="19" t="n">
        <f aca="false">Model!BH64+Model!BI64+Model!BJ64</f>
        <v>406482.0928</v>
      </c>
      <c r="V19" s="19" t="n">
        <f aca="false">Model!BK64+Model!BL64+Model!BM64</f>
        <v>130876</v>
      </c>
      <c r="W19" s="19" t="n">
        <f aca="false">Model!BN64+Model!BO64+Model!BP64</f>
        <v>142406</v>
      </c>
      <c r="X19" s="19" t="n">
        <f aca="false">Model!BQ64+Model!BR64+Model!BS64</f>
        <v>142402</v>
      </c>
      <c r="Y19" s="19" t="n">
        <f aca="false">Model!BT64+Model!BU64+Model!BV64</f>
        <v>142402</v>
      </c>
      <c r="Z19" s="19" t="n">
        <f aca="false">Model!BW64+Model!BX64+Model!BY64</f>
        <v>215558</v>
      </c>
      <c r="AA19" s="19" t="n">
        <f aca="false">Model!BZ64+Model!CA64+Model!CB64</f>
        <v>231017</v>
      </c>
      <c r="AB19" s="19" t="n">
        <f aca="false">Model!CC64+Model!CD64+Model!CE64</f>
        <v>231016</v>
      </c>
      <c r="AC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</f>
        <v>-350443.75</v>
      </c>
      <c r="C20" s="10" t="n">
        <f aca="false">Model!F85+Model!G85+Model!H85</f>
        <v>-373443.75</v>
      </c>
      <c r="D20" s="10" t="n">
        <f aca="false">Model!I85+Model!J85+Model!K85</f>
        <v>-371443.75</v>
      </c>
      <c r="E20" s="10" t="n">
        <f aca="false">Model!L85+Model!M85+Model!N85</f>
        <v>-350443.75</v>
      </c>
      <c r="F20" s="10" t="n">
        <f aca="false">Model!O85+Model!P85+Model!Q85</f>
        <v>-357452.625</v>
      </c>
      <c r="G20" s="10" t="n">
        <f aca="false">Model!R85+Model!S85+Model!T85</f>
        <v>-380912.625</v>
      </c>
      <c r="H20" s="10" t="n">
        <f aca="false">Model!U85+Model!V85+Model!W85</f>
        <v>-378872.625</v>
      </c>
      <c r="I20" s="10" t="n">
        <f aca="false">Model!X85+Model!Y85+Model!Z85</f>
        <v>-357452.625</v>
      </c>
      <c r="J20" s="10" t="n">
        <f aca="false">Model!AA85+Model!AB85+Model!AC85</f>
        <v>-364601.6775</v>
      </c>
      <c r="K20" s="10" t="n">
        <f aca="false">Model!AD85+Model!AE85+Model!AF85</f>
        <v>-388530.8775</v>
      </c>
      <c r="L20" s="10" t="n">
        <f aca="false">Model!AG85+Model!AH85+Model!AI85</f>
        <v>-386450.0775</v>
      </c>
      <c r="M20" s="10" t="n">
        <f aca="false">Model!AJ85+Model!AK85+Model!AL85</f>
        <v>-364601.6775</v>
      </c>
      <c r="N20" s="10" t="n">
        <f aca="false">Model!AM85+Model!AN85+Model!AO85</f>
        <v>-371893.71105</v>
      </c>
      <c r="O20" s="10" t="n">
        <f aca="false">Model!AP85+Model!AQ85+Model!AR85</f>
        <v>-477984.49505</v>
      </c>
      <c r="P20" s="10" t="n">
        <f aca="false">Model!AS85+Model!AT85+Model!AU85</f>
        <v>-475861.07905</v>
      </c>
      <c r="Q20" s="10" t="n">
        <f aca="false">Model!AV85+Model!AW85+Model!AX85</f>
        <v>-453575.71105</v>
      </c>
      <c r="R20" s="10" t="n">
        <f aca="false">Model!AY85+Model!AZ85+Model!BA85</f>
        <v>-1312852.585271</v>
      </c>
      <c r="S20" s="10" t="n">
        <f aca="false">Model!BB85+Model!BC85+Model!BD85</f>
        <v>-535105.524951</v>
      </c>
      <c r="T20" s="10" t="n">
        <f aca="false">Model!BE85+Model!BF85+Model!BG85</f>
        <v>-532938.660631</v>
      </c>
      <c r="U20" s="10" t="n">
        <f aca="false">Model!BH85+Model!BI85+Model!BJ85</f>
        <v>-510207.585271</v>
      </c>
      <c r="V20" s="10" t="n">
        <f aca="false">Model!BK85+Model!BL85+Model!BM85</f>
        <v>-517794.21697642</v>
      </c>
      <c r="W20" s="10" t="n">
        <f aca="false">Model!BN85+Model!BO85+Model!BP85</f>
        <v>-503204.55545002</v>
      </c>
      <c r="X20" s="10" t="n">
        <f aca="false">Model!BQ85+Model!BR85+Model!BS85</f>
        <v>-484743.91384362</v>
      </c>
      <c r="Y20" s="10" t="n">
        <f aca="false">Model!BT85+Model!BU85+Model!BV85</f>
        <v>-461558.21697642</v>
      </c>
      <c r="Z20" s="10" t="n">
        <f aca="false">Model!BW85+Model!BX85+Model!BY85</f>
        <v>-542452.581315948</v>
      </c>
      <c r="AA20" s="10" t="n">
        <f aca="false">Model!BZ85+Model!CA85+Model!CB85</f>
        <v>-575076.31695902</v>
      </c>
      <c r="AB20" s="10" t="n">
        <f aca="false">Model!CC85+Model!CD85+Model!CE85</f>
        <v>-572822.992120492</v>
      </c>
      <c r="AC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</f>
        <v>-219600.01</v>
      </c>
      <c r="C21" s="16" t="n">
        <f aca="false">Model!F87+Model!G87+Model!H87</f>
        <v>-243433.34</v>
      </c>
      <c r="D21" s="16" t="n">
        <f aca="false">Model!I87+Model!J87+Model!K87</f>
        <v>-261850</v>
      </c>
      <c r="E21" s="16" t="n">
        <f aca="false">Model!L87+Model!M87+Model!N87</f>
        <v>-213829.5088</v>
      </c>
      <c r="F21" s="16" t="n">
        <f aca="false">Model!O87+Model!P87+Model!Q87</f>
        <v>-220838.3838</v>
      </c>
      <c r="G21" s="16" t="n">
        <f aca="false">Model!R87+Model!S87+Model!T87</f>
        <v>-254084.7594</v>
      </c>
      <c r="H21" s="16" t="n">
        <f aca="false">Model!U87+Model!V87+Model!W87</f>
        <v>-45519.4106</v>
      </c>
      <c r="I21" s="16" t="n">
        <f aca="false">Model!X87+Model!Y87+Model!Z87</f>
        <v>125050.9318</v>
      </c>
      <c r="J21" s="16" t="n">
        <f aca="false">Model!AA87+Model!AB87+Model!AC87</f>
        <v>295884.4649</v>
      </c>
      <c r="K21" s="16" t="n">
        <f aca="false">Model!AD87+Model!AE87+Model!AF87</f>
        <v>151971.4393</v>
      </c>
      <c r="L21" s="16" t="n">
        <f aca="false">Model!AG87+Model!AH87+Model!AI87</f>
        <v>146629.4361</v>
      </c>
      <c r="M21" s="16" t="n">
        <f aca="false">Model!AJ87+Model!AK87+Model!AL87</f>
        <v>106693.7529</v>
      </c>
      <c r="N21" s="16" t="n">
        <f aca="false">Model!AM87+Model!AN87+Model!AO87</f>
        <v>-45243.69505</v>
      </c>
      <c r="O21" s="16" t="n">
        <f aca="false">Model!AP87+Model!AQ87+Model!AR87</f>
        <v>-214296.88705</v>
      </c>
      <c r="P21" s="16" t="n">
        <f aca="false">Model!AS87+Model!AT87+Model!AU87</f>
        <v>-171067.36705</v>
      </c>
      <c r="Q21" s="16" t="n">
        <f aca="false">Model!AV87+Model!AW87+Model!AX87</f>
        <v>-233645.49985</v>
      </c>
      <c r="R21" s="16" t="n">
        <f aca="false">Model!AY87+Model!AZ87+Model!BA87</f>
        <v>-245588.321271</v>
      </c>
      <c r="S21" s="16" t="n">
        <f aca="false">Model!BB87+Model!BC87+Model!BD87</f>
        <v>-274989.214551</v>
      </c>
      <c r="T21" s="16" t="n">
        <f aca="false">Model!BE87+Model!BF87+Model!BG87</f>
        <v>-277329.297431</v>
      </c>
      <c r="U21" s="16" t="n">
        <f aca="false">Model!BH87+Model!BI87+Model!BJ87</f>
        <v>-103725.492471</v>
      </c>
      <c r="V21" s="16" t="n">
        <f aca="false">Model!BK87+Model!BL87+Model!BM87</f>
        <v>-386918.21697642</v>
      </c>
      <c r="W21" s="16" t="n">
        <f aca="false">Model!BN87+Model!BO87+Model!BP87</f>
        <v>-360798.55545002</v>
      </c>
      <c r="X21" s="16" t="n">
        <f aca="false">Model!BQ87+Model!BR87+Model!BS87</f>
        <v>-342341.91384362</v>
      </c>
      <c r="Y21" s="16" t="n">
        <f aca="false">Model!BT87+Model!BU87+Model!BV87</f>
        <v>-319156.21697642</v>
      </c>
      <c r="Z21" s="16" t="n">
        <f aca="false">Model!BW87+Model!BX87+Model!BY87</f>
        <v>-326894.581315948</v>
      </c>
      <c r="AA21" s="16" t="n">
        <f aca="false">Model!BZ87+Model!CA87+Model!CB87</f>
        <v>-344059.31695902</v>
      </c>
      <c r="AB21" s="16" t="n">
        <f aca="false">Model!CC87+Model!CD87+Model!CE87</f>
        <v>-341806.992120492</v>
      </c>
      <c r="AC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</f>
        <v>-56738.1400701969</v>
      </c>
      <c r="C23" s="16" t="n">
        <f aca="false">Model!F96+Model!G96+Model!H96</f>
        <v>581395.202630695</v>
      </c>
      <c r="D23" s="16" t="n">
        <f aca="false">Model!I96+Model!J96+Model!K96</f>
        <v>1126588.28254981</v>
      </c>
      <c r="E23" s="16" t="n">
        <f aca="false">Model!L96+Model!M96+Model!N96</f>
        <v>823315.902576845</v>
      </c>
      <c r="F23" s="16" t="n">
        <f aca="false">Model!O96+Model!P96+Model!Q96</f>
        <v>561477.873207451</v>
      </c>
      <c r="G23" s="16" t="n">
        <f aca="false">Model!R96+Model!S96+Model!T96</f>
        <v>705481.734737194</v>
      </c>
      <c r="H23" s="16" t="n">
        <f aca="false">Model!U96+Model!V96+Model!W96</f>
        <v>674527.948743402</v>
      </c>
      <c r="I23" s="16" t="n">
        <f aca="false">Model!X96+Model!Y96+Model!Z96</f>
        <v>686796.263918259</v>
      </c>
      <c r="J23" s="16" t="n">
        <f aca="false">Model!AA96+Model!AB96+Model!AC96</f>
        <v>34577.3731169909</v>
      </c>
      <c r="K23" s="16" t="n">
        <f aca="false">Model!AD96+Model!AE96+Model!AF96</f>
        <v>517604.453556322</v>
      </c>
      <c r="L23" s="16" t="n">
        <f aca="false">Model!AG96+Model!AH96+Model!AI96</f>
        <v>772605.587542921</v>
      </c>
      <c r="M23" s="16" t="n">
        <f aca="false">Model!AJ96+Model!AK96+Model!AL96</f>
        <v>123094.642223678</v>
      </c>
      <c r="N23" s="16" t="n">
        <f aca="false">Model!AM96+Model!AN96+Model!AO96</f>
        <v>-282556.624342041</v>
      </c>
      <c r="O23" s="16" t="n">
        <f aca="false">Model!AP96+Model!AQ96+Model!AR96</f>
        <v>-229315.671279984</v>
      </c>
      <c r="P23" s="16" t="n">
        <f aca="false">Model!AS96+Model!AT96+Model!AU96</f>
        <v>-846907.643368546</v>
      </c>
      <c r="Q23" s="16" t="n">
        <f aca="false">Model!AV96+Model!AW96+Model!AX96</f>
        <v>-938149.269101617</v>
      </c>
      <c r="R23" s="16" t="n">
        <f aca="false">Model!AY96+Model!AZ96+Model!BA96</f>
        <v>-1001016.75845704</v>
      </c>
      <c r="S23" s="16" t="n">
        <f aca="false">Model!BB96+Model!BC96+Model!BD96</f>
        <v>-1077795.35763175</v>
      </c>
      <c r="T23" s="16" t="n">
        <f aca="false">Model!BE96+Model!BF96+Model!BG96</f>
        <v>-1000566.89073899</v>
      </c>
      <c r="U23" s="16" t="n">
        <f aca="false">Model!BH96+Model!BI96+Model!BJ96</f>
        <v>-1298243.07909354</v>
      </c>
      <c r="V23" s="16" t="n">
        <f aca="false">Model!BK96+Model!BL96+Model!BM96</f>
        <v>-1589891.69533141</v>
      </c>
      <c r="W23" s="16" t="n">
        <f aca="false">Model!BN96+Model!BO96+Model!BP96</f>
        <v>-1563772.03380501</v>
      </c>
      <c r="X23" s="16" t="n">
        <f aca="false">Model!BQ96+Model!BR96+Model!BS96</f>
        <v>-1545315.39219861</v>
      </c>
      <c r="Y23" s="16" t="n">
        <f aca="false">Model!BT96+Model!BU96+Model!BV96</f>
        <v>-1522129.69533141</v>
      </c>
      <c r="Z23" s="16" t="n">
        <f aca="false">Model!BW96+Model!BX96+Model!BY96</f>
        <v>-1538493.06923803</v>
      </c>
      <c r="AA23" s="16" t="n">
        <f aca="false">Model!BZ96+Model!CA96+Model!CB96</f>
        <v>-1555657.80488111</v>
      </c>
      <c r="AB23" s="16" t="n">
        <f aca="false">Model!CC96+Model!CD96+Model!CE96</f>
        <v>-1553405.48004258</v>
      </c>
      <c r="AC23" s="16" t="n">
        <f aca="false">Model!CF96+Model!CG96+Model!CH96</f>
        <v>-1523148.04263155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</f>
        <v>-0</v>
      </c>
      <c r="C26" s="10" t="n">
        <f aca="false">Model!F80+Model!G80+Model!H80</f>
        <v>-0</v>
      </c>
      <c r="D26" s="10" t="n">
        <f aca="false">Model!I80+Model!J80+Model!K80</f>
        <v>-0</v>
      </c>
      <c r="E26" s="10" t="n">
        <f aca="false">Model!L80+Model!M80+Model!N80</f>
        <v>-0</v>
      </c>
      <c r="F26" s="10" t="n">
        <f aca="false">Model!O80+Model!P80+Model!Q80</f>
        <v>-0</v>
      </c>
      <c r="G26" s="10" t="n">
        <f aca="false">Model!R80+Model!S80+Model!T80</f>
        <v>-0</v>
      </c>
      <c r="H26" s="10" t="n">
        <f aca="false">Model!U80+Model!V80+Model!W80</f>
        <v>-0</v>
      </c>
      <c r="I26" s="10" t="n">
        <f aca="false">Model!X80+Model!Y80+Model!Z80</f>
        <v>-0</v>
      </c>
      <c r="J26" s="10" t="n">
        <f aca="false">Model!AA80+Model!AB80+Model!AC80</f>
        <v>-0</v>
      </c>
      <c r="K26" s="10" t="n">
        <f aca="false">Model!AD80+Model!AE80+Model!AF80</f>
        <v>-0</v>
      </c>
      <c r="L26" s="10" t="n">
        <f aca="false">Model!AG80+Model!AH80+Model!AI80</f>
        <v>-0</v>
      </c>
      <c r="M26" s="10" t="n">
        <f aca="false">Model!AJ80+Model!AK80+Model!AL80</f>
        <v>-0</v>
      </c>
      <c r="N26" s="10" t="n">
        <f aca="false">Model!AM80+Model!AN80+Model!AO80</f>
        <v>-0</v>
      </c>
      <c r="O26" s="10" t="n">
        <f aca="false">Model!AP80+Model!AQ80+Model!AR80</f>
        <v>-0</v>
      </c>
      <c r="P26" s="10" t="n">
        <f aca="false">Model!AS80+Model!AT80+Model!AU80</f>
        <v>-0</v>
      </c>
      <c r="Q26" s="10" t="n">
        <f aca="false">Model!AV80+Model!AW80+Model!AX80</f>
        <v>-0</v>
      </c>
      <c r="R26" s="10" t="n">
        <f aca="false">Model!AY80+Model!AZ80+Model!BA80</f>
        <v>-0</v>
      </c>
      <c r="S26" s="10" t="n">
        <f aca="false">Model!BB80+Model!BC80+Model!BD80</f>
        <v>-0</v>
      </c>
      <c r="T26" s="10" t="n">
        <f aca="false">Model!BE80+Model!BF80+Model!BG80</f>
        <v>-0</v>
      </c>
      <c r="U26" s="10" t="n">
        <f aca="false">Model!BH80+Model!BI80+Model!BJ80</f>
        <v>-0</v>
      </c>
      <c r="V26" s="10" t="n">
        <f aca="false">Model!BK80+Model!BL80+Model!BM80</f>
        <v>-0</v>
      </c>
      <c r="W26" s="10" t="n">
        <f aca="false">Model!BN80+Model!BO80+Model!BP80</f>
        <v>-0</v>
      </c>
      <c r="X26" s="10" t="n">
        <f aca="false">Model!BQ80+Model!BR80+Model!BS80</f>
        <v>-0</v>
      </c>
      <c r="Y26" s="10" t="n">
        <f aca="false">Model!BT80+Model!BU80+Model!BV80</f>
        <v>-0</v>
      </c>
      <c r="Z26" s="10" t="n">
        <f aca="false">Model!BW80+Model!BX80+Model!BY80</f>
        <v>-0</v>
      </c>
      <c r="AA26" s="10" t="n">
        <f aca="false">Model!BZ80+Model!CA80+Model!CB80</f>
        <v>-0</v>
      </c>
      <c r="AB26" s="10" t="n">
        <f aca="false">Model!CC80+Model!CD80+Model!CE80</f>
        <v>-0</v>
      </c>
      <c r="AC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</f>
        <v>-0</v>
      </c>
      <c r="C27" s="10" t="n">
        <f aca="false">Model!F81+Model!G81+Model!H81</f>
        <v>-0</v>
      </c>
      <c r="D27" s="10" t="n">
        <f aca="false">Model!I81+Model!J81+Model!K81</f>
        <v>-0</v>
      </c>
      <c r="E27" s="10" t="n">
        <f aca="false">Model!L81+Model!M81+Model!N81</f>
        <v>-0</v>
      </c>
      <c r="F27" s="10" t="n">
        <f aca="false">Model!O81+Model!P81+Model!Q81</f>
        <v>-0</v>
      </c>
      <c r="G27" s="10" t="n">
        <f aca="false">Model!R81+Model!S81+Model!T81</f>
        <v>-0</v>
      </c>
      <c r="H27" s="10" t="n">
        <f aca="false">Model!U81+Model!V81+Model!W81</f>
        <v>-0</v>
      </c>
      <c r="I27" s="10" t="n">
        <f aca="false">Model!X81+Model!Y81+Model!Z81</f>
        <v>-0</v>
      </c>
      <c r="J27" s="10" t="n">
        <f aca="false">Model!AA81+Model!AB81+Model!AC81</f>
        <v>-0</v>
      </c>
      <c r="K27" s="10" t="n">
        <f aca="false">Model!AD81+Model!AE81+Model!AF81</f>
        <v>-0</v>
      </c>
      <c r="L27" s="10" t="n">
        <f aca="false">Model!AG81+Model!AH81+Model!AI81</f>
        <v>-0</v>
      </c>
      <c r="M27" s="10" t="n">
        <f aca="false">Model!AJ81+Model!AK81+Model!AL81</f>
        <v>-0</v>
      </c>
      <c r="N27" s="10" t="n">
        <f aca="false">Model!AM81+Model!AN81+Model!AO81</f>
        <v>-0</v>
      </c>
      <c r="O27" s="10" t="n">
        <f aca="false">Model!AP81+Model!AQ81+Model!AR81</f>
        <v>-0</v>
      </c>
      <c r="P27" s="10" t="n">
        <f aca="false">Model!AS81+Model!AT81+Model!AU81</f>
        <v>-0</v>
      </c>
      <c r="Q27" s="10" t="n">
        <f aca="false">Model!AV81+Model!AW81+Model!AX81</f>
        <v>-0</v>
      </c>
      <c r="R27" s="10" t="n">
        <f aca="false">Model!AY81+Model!AZ81+Model!BA81</f>
        <v>-0</v>
      </c>
      <c r="S27" s="10" t="n">
        <f aca="false">Model!BB81+Model!BC81+Model!BD81</f>
        <v>-0</v>
      </c>
      <c r="T27" s="10" t="n">
        <f aca="false">Model!BE81+Model!BF81+Model!BG81</f>
        <v>-0</v>
      </c>
      <c r="U27" s="10" t="n">
        <f aca="false">Model!BH81+Model!BI81+Model!BJ81</f>
        <v>-0</v>
      </c>
      <c r="V27" s="10" t="n">
        <f aca="false">Model!BK81+Model!BL81+Model!BM81</f>
        <v>-0</v>
      </c>
      <c r="W27" s="10" t="n">
        <f aca="false">Model!BN81+Model!BO81+Model!BP81</f>
        <v>-0</v>
      </c>
      <c r="X27" s="10" t="n">
        <f aca="false">Model!BQ81+Model!BR81+Model!BS81</f>
        <v>-0</v>
      </c>
      <c r="Y27" s="10" t="n">
        <f aca="false">Model!BT81+Model!BU81+Model!BV81</f>
        <v>-0</v>
      </c>
      <c r="Z27" s="10" t="n">
        <f aca="false">Model!BW81+Model!BX81+Model!BY81</f>
        <v>-0</v>
      </c>
      <c r="AA27" s="10" t="n">
        <f aca="false">Model!BZ81+Model!CA81+Model!CB81</f>
        <v>-0</v>
      </c>
      <c r="AB27" s="10" t="n">
        <f aca="false">Model!CC81+Model!CD81+Model!CE81</f>
        <v>-0</v>
      </c>
      <c r="AC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</f>
        <v>-0</v>
      </c>
      <c r="C28" s="10" t="n">
        <f aca="false">Model!F82+Model!G82+Model!H82</f>
        <v>-0</v>
      </c>
      <c r="D28" s="10" t="n">
        <f aca="false">Model!I82+Model!J82+Model!K82</f>
        <v>-0</v>
      </c>
      <c r="E28" s="10" t="n">
        <f aca="false">Model!L82+Model!M82+Model!N82</f>
        <v>-0</v>
      </c>
      <c r="F28" s="10" t="n">
        <f aca="false">Model!O82+Model!P82+Model!Q82</f>
        <v>-0</v>
      </c>
      <c r="G28" s="10" t="n">
        <f aca="false">Model!R82+Model!S82+Model!T82</f>
        <v>-0</v>
      </c>
      <c r="H28" s="10" t="n">
        <f aca="false">Model!U82+Model!V82+Model!W82</f>
        <v>-0</v>
      </c>
      <c r="I28" s="10" t="n">
        <f aca="false">Model!X82+Model!Y82+Model!Z82</f>
        <v>-0</v>
      </c>
      <c r="J28" s="10" t="n">
        <f aca="false">Model!AA82+Model!AB82+Model!AC82</f>
        <v>-0</v>
      </c>
      <c r="K28" s="10" t="n">
        <f aca="false">Model!AD82+Model!AE82+Model!AF82</f>
        <v>-0</v>
      </c>
      <c r="L28" s="10" t="n">
        <f aca="false">Model!AG82+Model!AH82+Model!AI82</f>
        <v>-0</v>
      </c>
      <c r="M28" s="10" t="n">
        <f aca="false">Model!AJ82+Model!AK82+Model!AL82</f>
        <v>-0</v>
      </c>
      <c r="N28" s="10" t="n">
        <f aca="false">Model!AM82+Model!AN82+Model!AO82</f>
        <v>-0</v>
      </c>
      <c r="O28" s="10" t="n">
        <f aca="false">Model!AP82+Model!AQ82+Model!AR82</f>
        <v>-81683</v>
      </c>
      <c r="P28" s="10" t="n">
        <f aca="false">Model!AS82+Model!AT82+Model!AU82</f>
        <v>-81682</v>
      </c>
      <c r="Q28" s="10" t="n">
        <f aca="false">Model!AV82+Model!AW82+Model!AX82</f>
        <v>-81682</v>
      </c>
      <c r="R28" s="10" t="n">
        <f aca="false">Model!AY82+Model!AZ82+Model!BA82</f>
        <v>-81682</v>
      </c>
      <c r="S28" s="10" t="n">
        <f aca="false">Model!BB82+Model!BC82+Model!BD82</f>
        <v>-59178</v>
      </c>
      <c r="T28" s="10" t="n">
        <f aca="false">Model!BE82+Model!BF82+Model!BG82</f>
        <v>-59176</v>
      </c>
      <c r="U28" s="10" t="n">
        <f aca="false">Model!BH82+Model!BI82+Model!BJ82</f>
        <v>-59176</v>
      </c>
      <c r="V28" s="10" t="n">
        <f aca="false">Model!BK82+Model!BL82+Model!BM82</f>
        <v>-59176</v>
      </c>
      <c r="W28" s="10" t="n">
        <f aca="false">Model!BN82+Model!BO82+Model!BP82</f>
        <v>-16249.48</v>
      </c>
      <c r="X28" s="10" t="n">
        <f aca="false">Model!BQ82+Model!BR82+Model!BS82</f>
        <v>-0</v>
      </c>
      <c r="Y28" s="10" t="n">
        <f aca="false">Model!BT82+Model!BU82+Model!BV82</f>
        <v>-0</v>
      </c>
      <c r="Z28" s="10" t="n">
        <f aca="false">Model!BW82+Model!BX82+Model!BY82</f>
        <v>-0</v>
      </c>
      <c r="AA28" s="10" t="n">
        <f aca="false">Model!BZ82+Model!CA82+Model!CB82</f>
        <v>-0</v>
      </c>
      <c r="AB28" s="10" t="n">
        <f aca="false">Model!CC82+Model!CD82+Model!CE82</f>
        <v>-0</v>
      </c>
      <c r="AC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</f>
        <v>-0</v>
      </c>
      <c r="C29" s="10" t="n">
        <f aca="false">Model!F83+Model!G83+Model!H83</f>
        <v>-0</v>
      </c>
      <c r="D29" s="10" t="n">
        <f aca="false">Model!I83+Model!J83+Model!K83</f>
        <v>-0</v>
      </c>
      <c r="E29" s="10" t="n">
        <f aca="false">Model!L83+Model!M83+Model!N83</f>
        <v>-0</v>
      </c>
      <c r="F29" s="10" t="n">
        <f aca="false">Model!O83+Model!P83+Model!Q83</f>
        <v>-0</v>
      </c>
      <c r="G29" s="10" t="n">
        <f aca="false">Model!R83+Model!S83+Model!T83</f>
        <v>-0</v>
      </c>
      <c r="H29" s="10" t="n">
        <f aca="false">Model!U83+Model!V83+Model!W83</f>
        <v>-0</v>
      </c>
      <c r="I29" s="10" t="n">
        <f aca="false">Model!X83+Model!Y83+Model!Z83</f>
        <v>-0</v>
      </c>
      <c r="J29" s="10" t="n">
        <f aca="false">Model!AA83+Model!AB83+Model!AC83</f>
        <v>-0</v>
      </c>
      <c r="K29" s="10" t="n">
        <f aca="false">Model!AD83+Model!AE83+Model!AF83</f>
        <v>-0</v>
      </c>
      <c r="L29" s="10" t="n">
        <f aca="false">Model!AG83+Model!AH83+Model!AI83</f>
        <v>-0</v>
      </c>
      <c r="M29" s="10" t="n">
        <f aca="false">Model!AJ83+Model!AK83+Model!AL83</f>
        <v>-0</v>
      </c>
      <c r="N29" s="10" t="n">
        <f aca="false">Model!AM83+Model!AN83+Model!AO83</f>
        <v>-0</v>
      </c>
      <c r="O29" s="10" t="n">
        <f aca="false">Model!AP83+Model!AQ83+Model!AR83</f>
        <v>-0</v>
      </c>
      <c r="P29" s="10" t="n">
        <f aca="false">Model!AS83+Model!AT83+Model!AU83</f>
        <v>-0</v>
      </c>
      <c r="Q29" s="10" t="n">
        <f aca="false">Model!AV83+Model!AW83+Model!AX83</f>
        <v>-0</v>
      </c>
      <c r="R29" s="10" t="n">
        <f aca="false">Model!AY83+Model!AZ83+Model!BA83</f>
        <v>-851839</v>
      </c>
      <c r="S29" s="10" t="n">
        <f aca="false">Model!BB83+Model!BC83+Model!BD83</f>
        <v>-71700</v>
      </c>
      <c r="T29" s="10" t="n">
        <f aca="false">Model!BE83+Model!BF83+Model!BG83</f>
        <v>-71700</v>
      </c>
      <c r="U29" s="10" t="n">
        <f aca="false">Model!BH83+Model!BI83+Model!BJ83</f>
        <v>-71700</v>
      </c>
      <c r="V29" s="10" t="n">
        <f aca="false">Model!BK83+Model!BL83+Model!BM83</f>
        <v>-71700</v>
      </c>
      <c r="W29" s="10" t="n">
        <f aca="false">Model!BN83+Model!BO83+Model!BP83</f>
        <v>-74643</v>
      </c>
      <c r="X29" s="10" t="n">
        <f aca="false">Model!BQ83+Model!BR83+Model!BS83</f>
        <v>-74640</v>
      </c>
      <c r="Y29" s="10" t="n">
        <f aca="false">Model!BT83+Model!BU83+Model!BV83</f>
        <v>-74640</v>
      </c>
      <c r="Z29" s="10" t="n">
        <f aca="false">Model!BW83+Model!BX83+Model!BY83</f>
        <v>-74640</v>
      </c>
      <c r="AA29" s="10" t="n">
        <f aca="false">Model!BZ83+Model!CA83+Model!CB83</f>
        <v>-81363</v>
      </c>
      <c r="AB29" s="10" t="n">
        <f aca="false">Model!CC83+Model!CD83+Model!CE83</f>
        <v>-81362</v>
      </c>
      <c r="AC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</f>
        <v>-0</v>
      </c>
      <c r="C30" s="10" t="n">
        <f aca="false">Model!F84+Model!G84+Model!H84</f>
        <v>-0</v>
      </c>
      <c r="D30" s="10" t="n">
        <f aca="false">Model!I84+Model!J84+Model!K84</f>
        <v>-0</v>
      </c>
      <c r="E30" s="10" t="n">
        <f aca="false">Model!L84+Model!M84+Model!N84</f>
        <v>-0</v>
      </c>
      <c r="F30" s="10" t="n">
        <f aca="false">Model!O84+Model!P84+Model!Q84</f>
        <v>-0</v>
      </c>
      <c r="G30" s="10" t="n">
        <f aca="false">Model!R84+Model!S84+Model!T84</f>
        <v>-0</v>
      </c>
      <c r="H30" s="10" t="n">
        <f aca="false">Model!U84+Model!V84+Model!W84</f>
        <v>-0</v>
      </c>
      <c r="I30" s="10" t="n">
        <f aca="false">Model!X84+Model!Y84+Model!Z84</f>
        <v>-0</v>
      </c>
      <c r="J30" s="10" t="n">
        <f aca="false">Model!AA84+Model!AB84+Model!AC84</f>
        <v>-0</v>
      </c>
      <c r="K30" s="10" t="n">
        <f aca="false">Model!AD84+Model!AE84+Model!AF84</f>
        <v>-0</v>
      </c>
      <c r="L30" s="10" t="n">
        <f aca="false">Model!AG84+Model!AH84+Model!AI84</f>
        <v>-0</v>
      </c>
      <c r="M30" s="10" t="n">
        <f aca="false">Model!AJ84+Model!AK84+Model!AL84</f>
        <v>-0</v>
      </c>
      <c r="N30" s="10" t="n">
        <f aca="false">Model!AM84+Model!AN84+Model!AO84</f>
        <v>-0</v>
      </c>
      <c r="O30" s="10" t="n">
        <f aca="false">Model!AP84+Model!AQ84+Model!AR84</f>
        <v>-0</v>
      </c>
      <c r="P30" s="10" t="n">
        <f aca="false">Model!AS84+Model!AT84+Model!AU84</f>
        <v>-0</v>
      </c>
      <c r="Q30" s="10" t="n">
        <f aca="false">Model!AV84+Model!AW84+Model!AX84</f>
        <v>-0</v>
      </c>
      <c r="R30" s="10" t="n">
        <f aca="false">Model!AY84+Model!AZ84+Model!BA84</f>
        <v>-0</v>
      </c>
      <c r="S30" s="10" t="n">
        <f aca="false">Model!BB84+Model!BC84+Model!BD84</f>
        <v>-0</v>
      </c>
      <c r="T30" s="10" t="n">
        <f aca="false">Model!BE84+Model!BF84+Model!BG84</f>
        <v>-0</v>
      </c>
      <c r="U30" s="10" t="n">
        <f aca="false">Model!BH84+Model!BI84+Model!BJ84</f>
        <v>-0</v>
      </c>
      <c r="V30" s="10" t="n">
        <f aca="false">Model!BK84+Model!BL84+Model!BM84</f>
        <v>-0</v>
      </c>
      <c r="W30" s="10" t="n">
        <f aca="false">Model!BN84+Model!BO84+Model!BP84</f>
        <v>-0</v>
      </c>
      <c r="X30" s="10" t="n">
        <f aca="false">Model!BQ84+Model!BR84+Model!BS84</f>
        <v>-0</v>
      </c>
      <c r="Y30" s="10" t="n">
        <f aca="false">Model!BT84+Model!BU84+Model!BV84</f>
        <v>-0</v>
      </c>
      <c r="Z30" s="10" t="n">
        <f aca="false">Model!BW84+Model!BX84+Model!BY84</f>
        <v>-73156</v>
      </c>
      <c r="AA30" s="10" t="n">
        <f aca="false">Model!BZ84+Model!CA84+Model!CB84</f>
        <v>-73155</v>
      </c>
      <c r="AB30" s="10" t="n">
        <f aca="false">Model!CC84+Model!CD84+Model!CE84</f>
        <v>-73155</v>
      </c>
      <c r="AC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</f>
        <v>0</v>
      </c>
      <c r="C33" s="10" t="n">
        <f aca="false">Model!F101+Model!G101+Model!H101</f>
        <v>0</v>
      </c>
      <c r="D33" s="10" t="n">
        <f aca="false">Model!I101+Model!J101+Model!K101</f>
        <v>-390000</v>
      </c>
      <c r="E33" s="10" t="n">
        <f aca="false">Model!L101+Model!M101+Model!N101</f>
        <v>-390000</v>
      </c>
      <c r="F33" s="10" t="n">
        <f aca="false">Model!O101+Model!P101+Model!Q101</f>
        <v>-390000</v>
      </c>
      <c r="G33" s="10" t="n">
        <f aca="false">Model!R101+Model!S101+Model!T101</f>
        <v>-390000</v>
      </c>
      <c r="H33" s="10" t="n">
        <f aca="false">Model!U101+Model!V101+Model!W101</f>
        <v>-325969.243285445</v>
      </c>
      <c r="I33" s="10" t="n">
        <f aca="false">Model!X101+Model!Y101+Model!Z101</f>
        <v>0</v>
      </c>
      <c r="J33" s="10" t="n">
        <f aca="false">Model!AA101+Model!AB101+Model!AC101</f>
        <v>0</v>
      </c>
      <c r="K33" s="10" t="n">
        <f aca="false">Model!AD101+Model!AE101+Model!AF101</f>
        <v>0</v>
      </c>
      <c r="L33" s="10" t="n">
        <f aca="false">Model!AG101+Model!AH101+Model!AI101</f>
        <v>0</v>
      </c>
      <c r="M33" s="10" t="n">
        <f aca="false">Model!AJ101+Model!AK101+Model!AL101</f>
        <v>0</v>
      </c>
      <c r="N33" s="10" t="n">
        <f aca="false">Model!AM101+Model!AN101+Model!AO101</f>
        <v>0</v>
      </c>
      <c r="O33" s="10" t="n">
        <f aca="false">Model!AP101+Model!AQ101+Model!AR101</f>
        <v>0</v>
      </c>
      <c r="P33" s="10" t="n">
        <f aca="false">Model!AS101+Model!AT101+Model!AU101</f>
        <v>0</v>
      </c>
      <c r="Q33" s="10" t="n">
        <f aca="false">Model!AV101+Model!AW101+Model!AX101</f>
        <v>0</v>
      </c>
      <c r="R33" s="10" t="n">
        <f aca="false">Model!AY101+Model!AZ101+Model!BA101</f>
        <v>0</v>
      </c>
      <c r="S33" s="10" t="n">
        <f aca="false">Model!BB101+Model!BC101+Model!BD101</f>
        <v>0</v>
      </c>
      <c r="T33" s="10" t="n">
        <f aca="false">Model!BE101+Model!BF101+Model!BG101</f>
        <v>0</v>
      </c>
      <c r="U33" s="10" t="n">
        <f aca="false">Model!BH101+Model!BI101+Model!BJ101</f>
        <v>0</v>
      </c>
      <c r="V33" s="10" t="n">
        <f aca="false">Model!BK101+Model!BL101+Model!BM101</f>
        <v>0</v>
      </c>
      <c r="W33" s="10" t="n">
        <f aca="false">Model!BN101+Model!BO101+Model!BP101</f>
        <v>0</v>
      </c>
      <c r="X33" s="10" t="n">
        <f aca="false">Model!BQ101+Model!BR101+Model!BS101</f>
        <v>0</v>
      </c>
      <c r="Y33" s="10" t="n">
        <f aca="false">Model!BT101+Model!BU101+Model!BV101</f>
        <v>0</v>
      </c>
      <c r="Z33" s="10" t="n">
        <f aca="false">Model!BW101+Model!BX101+Model!BY101</f>
        <v>0</v>
      </c>
      <c r="AA33" s="10" t="n">
        <f aca="false">Model!BZ101+Model!CA101+Model!CB101</f>
        <v>0</v>
      </c>
      <c r="AB33" s="10" t="n">
        <f aca="false">Model!CC101+Model!CD101+Model!CE101</f>
        <v>0</v>
      </c>
      <c r="AC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Model!E102</f>
        <v>1676065.6875</v>
      </c>
      <c r="C34" s="10" t="n">
        <f aca="false">Model!H102</f>
        <v>1738918.15078125</v>
      </c>
      <c r="D34" s="10" t="n">
        <f aca="false">Model!K102</f>
        <v>1404377.58143555</v>
      </c>
      <c r="E34" s="10" t="n">
        <f aca="false">Model!N102</f>
        <v>1057291.74073938</v>
      </c>
      <c r="F34" s="10" t="n">
        <f aca="false">Model!Q102</f>
        <v>697190.181017107</v>
      </c>
      <c r="G34" s="10" t="n">
        <f aca="false">Model!T102</f>
        <v>323584.812805248</v>
      </c>
      <c r="H34" s="10" t="n">
        <f aca="false">Model!W102</f>
        <v>0</v>
      </c>
      <c r="I34" s="10" t="n">
        <f aca="false">Model!Z102</f>
        <v>0</v>
      </c>
      <c r="J34" s="10" t="n">
        <f aca="false">Model!AC102</f>
        <v>0</v>
      </c>
      <c r="K34" s="10" t="n">
        <f aca="false">Model!AF102</f>
        <v>0</v>
      </c>
      <c r="L34" s="10" t="n">
        <f aca="false">Model!AI102</f>
        <v>0</v>
      </c>
      <c r="M34" s="10" t="n">
        <f aca="false">Model!AL102</f>
        <v>0</v>
      </c>
      <c r="N34" s="10" t="n">
        <f aca="false">Model!AO102</f>
        <v>0</v>
      </c>
      <c r="O34" s="10" t="n">
        <f aca="false">Model!AR102</f>
        <v>0</v>
      </c>
      <c r="P34" s="10" t="n">
        <f aca="false">Model!AU102</f>
        <v>0</v>
      </c>
      <c r="Q34" s="10" t="n">
        <f aca="false">Model!AX102</f>
        <v>0</v>
      </c>
      <c r="R34" s="10" t="n">
        <f aca="false">Model!BA102</f>
        <v>0</v>
      </c>
      <c r="S34" s="10" t="n">
        <f aca="false">Model!BD102</f>
        <v>0</v>
      </c>
      <c r="T34" s="10" t="n">
        <f aca="false">Model!BG102</f>
        <v>0</v>
      </c>
      <c r="U34" s="10" t="n">
        <f aca="false">Model!BJ102</f>
        <v>0</v>
      </c>
      <c r="V34" s="10" t="n">
        <f aca="false">Model!BM102</f>
        <v>0</v>
      </c>
      <c r="W34" s="10" t="n">
        <f aca="false">Model!BP102</f>
        <v>0</v>
      </c>
      <c r="X34" s="10" t="n">
        <f aca="false">Model!BS102</f>
        <v>0</v>
      </c>
      <c r="Y34" s="10" t="n">
        <f aca="false">Model!BV102</f>
        <v>0</v>
      </c>
      <c r="Z34" s="10" t="n">
        <f aca="false">Model!BY102</f>
        <v>0</v>
      </c>
      <c r="AA34" s="10" t="n">
        <f aca="false">Model!CB102</f>
        <v>0</v>
      </c>
      <c r="AB34" s="10" t="n">
        <f aca="false">Model!CE102</f>
        <v>0</v>
      </c>
      <c r="AC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</f>
        <v>0</v>
      </c>
      <c r="C35" s="10" t="n">
        <f aca="false">Model!F107+Model!G107+Model!H107</f>
        <v>0</v>
      </c>
      <c r="D35" s="10" t="n">
        <f aca="false">Model!I107+Model!J107+Model!K107</f>
        <v>0</v>
      </c>
      <c r="E35" s="10" t="n">
        <f aca="false">Model!L107+Model!M107+Model!N107</f>
        <v>-250000</v>
      </c>
      <c r="F35" s="10" t="n">
        <f aca="false">Model!O107+Model!P107+Model!Q107</f>
        <v>0</v>
      </c>
      <c r="G35" s="10" t="n">
        <f aca="false">Model!R107+Model!S107+Model!T107</f>
        <v>0</v>
      </c>
      <c r="H35" s="10" t="n">
        <f aca="false">Model!U107+Model!V107+Model!W107</f>
        <v>0</v>
      </c>
      <c r="I35" s="10" t="n">
        <f aca="false">Model!X107+Model!Y107+Model!Z107</f>
        <v>-250000</v>
      </c>
      <c r="J35" s="10" t="n">
        <f aca="false">Model!AA107+Model!AB107+Model!AC107</f>
        <v>0</v>
      </c>
      <c r="K35" s="10" t="n">
        <f aca="false">Model!AD107+Model!AE107+Model!AF107</f>
        <v>0</v>
      </c>
      <c r="L35" s="10" t="n">
        <f aca="false">Model!AG107+Model!AH107+Model!AI107</f>
        <v>0</v>
      </c>
      <c r="M35" s="10" t="n">
        <f aca="false">Model!AJ107+Model!AK107+Model!AL107</f>
        <v>-250000</v>
      </c>
      <c r="N35" s="10" t="n">
        <f aca="false">Model!AM107+Model!AN107+Model!AO107</f>
        <v>0</v>
      </c>
      <c r="O35" s="10" t="n">
        <f aca="false">Model!AP107+Model!AQ107+Model!AR107</f>
        <v>0</v>
      </c>
      <c r="P35" s="10" t="n">
        <f aca="false">Model!AS107+Model!AT107+Model!AU107</f>
        <v>0</v>
      </c>
      <c r="Q35" s="10" t="n">
        <f aca="false">Model!AV107+Model!AW107+Model!AX107</f>
        <v>0</v>
      </c>
      <c r="R35" s="10" t="n">
        <f aca="false">Model!AY107+Model!AZ107+Model!BA107</f>
        <v>0</v>
      </c>
      <c r="S35" s="10" t="n">
        <f aca="false">Model!BB107+Model!BC107+Model!BD107</f>
        <v>0</v>
      </c>
      <c r="T35" s="10" t="n">
        <f aca="false">Model!BE107+Model!BF107+Model!BG107</f>
        <v>0</v>
      </c>
      <c r="U35" s="10" t="n">
        <f aca="false">Model!BH107+Model!BI107+Model!BJ107</f>
        <v>0</v>
      </c>
      <c r="V35" s="10" t="n">
        <f aca="false">Model!BK107+Model!BL107+Model!BM107</f>
        <v>0</v>
      </c>
      <c r="W35" s="10" t="n">
        <f aca="false">Model!BN107+Model!BO107+Model!BP107</f>
        <v>0</v>
      </c>
      <c r="X35" s="10" t="n">
        <f aca="false">Model!BQ107+Model!BR107+Model!BS107</f>
        <v>0</v>
      </c>
      <c r="Y35" s="10" t="n">
        <f aca="false">Model!BT107+Model!BU107+Model!BV107</f>
        <v>0</v>
      </c>
      <c r="Z35" s="10" t="n">
        <f aca="false">Model!BW107+Model!BX107+Model!BY107</f>
        <v>0</v>
      </c>
      <c r="AA35" s="10" t="n">
        <f aca="false">Model!BZ107+Model!CA107+Model!CB107</f>
        <v>0</v>
      </c>
      <c r="AB35" s="10" t="n">
        <f aca="false">Model!CC107+Model!CD107+Model!CE107</f>
        <v>0</v>
      </c>
      <c r="AC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Model!E108</f>
        <v>1000000</v>
      </c>
      <c r="C36" s="10" t="n">
        <f aca="false">Model!H108</f>
        <v>1000000</v>
      </c>
      <c r="D36" s="10" t="n">
        <f aca="false">Model!K108</f>
        <v>1000000</v>
      </c>
      <c r="E36" s="10" t="n">
        <f aca="false">Model!N108</f>
        <v>750000</v>
      </c>
      <c r="F36" s="10" t="n">
        <f aca="false">Model!Q108</f>
        <v>750000</v>
      </c>
      <c r="G36" s="10" t="n">
        <f aca="false">Model!T108</f>
        <v>750000</v>
      </c>
      <c r="H36" s="10" t="n">
        <f aca="false">Model!W108</f>
        <v>750000</v>
      </c>
      <c r="I36" s="10" t="n">
        <f aca="false">Model!Z108</f>
        <v>500000</v>
      </c>
      <c r="J36" s="10" t="n">
        <f aca="false">Model!AC108</f>
        <v>500000</v>
      </c>
      <c r="K36" s="10" t="n">
        <f aca="false">Model!AF108</f>
        <v>500000</v>
      </c>
      <c r="L36" s="10" t="n">
        <f aca="false">Model!AI108</f>
        <v>500000</v>
      </c>
      <c r="M36" s="10" t="n">
        <f aca="false">Model!AL108</f>
        <v>250000</v>
      </c>
      <c r="N36" s="10" t="n">
        <f aca="false">Model!AO108</f>
        <v>250000</v>
      </c>
      <c r="O36" s="10" t="n">
        <f aca="false">Model!AR108</f>
        <v>250000</v>
      </c>
      <c r="P36" s="10" t="n">
        <f aca="false">Model!AU108</f>
        <v>250000</v>
      </c>
      <c r="Q36" s="10" t="n">
        <f aca="false">Model!AX108</f>
        <v>250000</v>
      </c>
      <c r="R36" s="10" t="n">
        <f aca="false">Model!BA108</f>
        <v>250000</v>
      </c>
      <c r="S36" s="10" t="n">
        <f aca="false">Model!BD108</f>
        <v>250000</v>
      </c>
      <c r="T36" s="10" t="n">
        <f aca="false">Model!BG108</f>
        <v>250000</v>
      </c>
      <c r="U36" s="10" t="n">
        <f aca="false">Model!BJ108</f>
        <v>250000</v>
      </c>
      <c r="V36" s="10" t="n">
        <f aca="false">Model!BM108</f>
        <v>250000</v>
      </c>
      <c r="W36" s="10" t="n">
        <f aca="false">Model!BP108</f>
        <v>250000</v>
      </c>
      <c r="X36" s="10" t="n">
        <f aca="false">Model!BS108</f>
        <v>250000</v>
      </c>
      <c r="Y36" s="10" t="n">
        <f aca="false">Model!BV108</f>
        <v>250000</v>
      </c>
      <c r="Z36" s="10" t="n">
        <f aca="false">Model!BY108</f>
        <v>250000</v>
      </c>
      <c r="AA36" s="10" t="n">
        <f aca="false">Model!CB108</f>
        <v>250000</v>
      </c>
      <c r="AB36" s="10" t="n">
        <f aca="false">Model!CE108</f>
        <v>250000</v>
      </c>
      <c r="AC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</f>
        <v>0</v>
      </c>
      <c r="C37" s="10" t="n">
        <f aca="false">Model!F155+Model!G155+Model!H155</f>
        <v>0</v>
      </c>
      <c r="D37" s="10" t="n">
        <f aca="false">Model!I155+Model!J155+Model!K155</f>
        <v>0</v>
      </c>
      <c r="E37" s="10" t="n">
        <f aca="false">Model!L155+Model!M155+Model!N155</f>
        <v>0</v>
      </c>
      <c r="F37" s="10" t="n">
        <f aca="false">Model!O155+Model!P155+Model!Q155</f>
        <v>0</v>
      </c>
      <c r="G37" s="10" t="n">
        <f aca="false">Model!R155+Model!S155+Model!T155</f>
        <v>0</v>
      </c>
      <c r="H37" s="10" t="n">
        <f aca="false">Model!U155+Model!V155+Model!W155</f>
        <v>0</v>
      </c>
      <c r="I37" s="10" t="n">
        <f aca="false">Model!X155+Model!Y155+Model!Z155</f>
        <v>0</v>
      </c>
      <c r="J37" s="10" t="n">
        <f aca="false">Model!AA155+Model!AB155+Model!AC155</f>
        <v>0</v>
      </c>
      <c r="K37" s="10" t="n">
        <f aca="false">Model!AD155+Model!AE155+Model!AF155</f>
        <v>0</v>
      </c>
      <c r="L37" s="10" t="n">
        <f aca="false">Model!AG155+Model!AH155+Model!AI155</f>
        <v>0</v>
      </c>
      <c r="M37" s="10" t="n">
        <f aca="false">Model!AJ155+Model!AK155+Model!AL155</f>
        <v>0</v>
      </c>
      <c r="N37" s="10" t="n">
        <f aca="false">Model!AM155+Model!AN155+Model!AO155</f>
        <v>0</v>
      </c>
      <c r="O37" s="10" t="n">
        <f aca="false">Model!AP155+Model!AQ155+Model!AR155</f>
        <v>0</v>
      </c>
      <c r="P37" s="10" t="n">
        <f aca="false">Model!AS155+Model!AT155+Model!AU155</f>
        <v>0</v>
      </c>
      <c r="Q37" s="10" t="n">
        <f aca="false">Model!AV155+Model!AW155+Model!AX155</f>
        <v>0</v>
      </c>
      <c r="R37" s="10" t="n">
        <f aca="false">Model!AY155+Model!AZ155+Model!BA155</f>
        <v>0</v>
      </c>
      <c r="S37" s="10" t="n">
        <f aca="false">Model!BB155+Model!BC155+Model!BD155</f>
        <v>0</v>
      </c>
      <c r="T37" s="10" t="n">
        <f aca="false">Model!BE155+Model!BF155+Model!BG155</f>
        <v>0</v>
      </c>
      <c r="U37" s="10" t="n">
        <f aca="false">Model!BH155+Model!BI155+Model!BJ155</f>
        <v>0</v>
      </c>
      <c r="V37" s="10" t="n">
        <f aca="false">Model!BK155+Model!BL155+Model!BM155</f>
        <v>0</v>
      </c>
      <c r="W37" s="10" t="n">
        <f aca="false">Model!BN155+Model!BO155+Model!BP155</f>
        <v>0</v>
      </c>
      <c r="X37" s="10" t="n">
        <f aca="false">Model!BQ155+Model!BR155+Model!BS155</f>
        <v>0</v>
      </c>
      <c r="Y37" s="10" t="n">
        <f aca="false">Model!BT155+Model!BU155+Model!BV155</f>
        <v>0</v>
      </c>
      <c r="Z37" s="10" t="n">
        <f aca="false">Model!BW155+Model!BX155+Model!BY155</f>
        <v>0</v>
      </c>
      <c r="AA37" s="10" t="n">
        <f aca="false">Model!BZ155+Model!CA155+Model!CB155</f>
        <v>0</v>
      </c>
      <c r="AB37" s="10" t="n">
        <f aca="false">Model!CC155+Model!CD155+Model!CE155</f>
        <v>0</v>
      </c>
      <c r="AC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Model!E115+Model!E120+Model!E125+Model!E130</f>
        <v>1738378.196875</v>
      </c>
      <c r="C38" s="10" t="n">
        <f aca="false">Model!H115+Model!H120+Model!H125+Model!H130</f>
        <v>2142433.65800781</v>
      </c>
      <c r="D38" s="10" t="n">
        <f aca="false">Model!K115+Model!K120+Model!K125+Model!K130</f>
        <v>2378399.92018311</v>
      </c>
      <c r="E38" s="10" t="n">
        <f aca="false">Model!N127</f>
        <v>69194.3230957031</v>
      </c>
      <c r="F38" s="10" t="n">
        <f aca="false">Model!Q127</f>
        <v>21164.110211792</v>
      </c>
      <c r="G38" s="10" t="n">
        <f aca="false">Model!T127</f>
        <v>21957.7643447342</v>
      </c>
      <c r="H38" s="10" t="n">
        <f aca="false">Model!W127</f>
        <v>22781.1805076617</v>
      </c>
      <c r="I38" s="10" t="n">
        <f aca="false">Model!Z127</f>
        <v>23635.474776699</v>
      </c>
      <c r="J38" s="10" t="n">
        <f aca="false">Model!AC127</f>
        <v>24521.8050808252</v>
      </c>
      <c r="K38" s="10" t="n">
        <f aca="false">Model!AF127</f>
        <v>25441.3727713562</v>
      </c>
      <c r="L38" s="10" t="n">
        <f aca="false">Model!AI127</f>
        <v>26395.424250282</v>
      </c>
      <c r="M38" s="10" t="n">
        <f aca="false">Model!AL127</f>
        <v>27385.2526596676</v>
      </c>
      <c r="N38" s="10" t="n">
        <f aca="false">Model!AO127</f>
        <v>28412.1996344052</v>
      </c>
      <c r="O38" s="10" t="n">
        <f aca="false">Model!AR127</f>
        <v>29477.6571206954</v>
      </c>
      <c r="P38" s="10" t="n">
        <f aca="false">Model!AU127</f>
        <v>30583.0692627214</v>
      </c>
      <c r="Q38" s="10" t="n">
        <f aca="false">Model!AX127</f>
        <v>31729.9343600735</v>
      </c>
      <c r="R38" s="10" t="n">
        <f aca="false">Model!BA127</f>
        <v>32919.8068985762</v>
      </c>
      <c r="S38" s="10" t="n">
        <f aca="false">Model!BD127</f>
        <v>24810.3759072728</v>
      </c>
      <c r="T38" s="10" t="n">
        <f aca="false">Model!BG127</f>
        <v>23052.0150037956</v>
      </c>
      <c r="U38" s="10" t="n">
        <f aca="false">Model!BJ127</f>
        <v>21227.7155664379</v>
      </c>
      <c r="V38" s="10" t="n">
        <f aca="false">Model!BM127</f>
        <v>19335.0049001793</v>
      </c>
      <c r="W38" s="10" t="n">
        <f aca="false">Model!BP127</f>
        <v>17371.3175839361</v>
      </c>
      <c r="X38" s="10" t="n">
        <f aca="false">Model!BS127</f>
        <v>15223.6294933337</v>
      </c>
      <c r="Y38" s="10" t="n">
        <f aca="false">Model!BV127</f>
        <v>12995.5155993337</v>
      </c>
      <c r="Z38" s="10" t="n">
        <f aca="false">Model!BY127</f>
        <v>10683.8474343087</v>
      </c>
      <c r="AA38" s="10" t="n">
        <f aca="false">Model!CB127</f>
        <v>8285.49171309526</v>
      </c>
      <c r="AB38" s="10" t="n">
        <f aca="false">Model!CE127</f>
        <v>5545.08515233633</v>
      </c>
      <c r="AC38" s="10" t="n">
        <f aca="false">Model!CH127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Model!E141</f>
        <v>19934994.8604503</v>
      </c>
      <c r="C40" s="10" t="n">
        <f aca="false">Model!H141</f>
        <v>53470466.1002521</v>
      </c>
      <c r="D40" s="10" t="n">
        <f aca="false">Model!K141</f>
        <v>89880219.2871105</v>
      </c>
      <c r="E40" s="10" t="n">
        <f aca="false">Model!N141</f>
        <v>72497927.0285711</v>
      </c>
      <c r="F40" s="10" t="n">
        <f aca="false">Model!Q141</f>
        <v>96517203.055075</v>
      </c>
      <c r="G40" s="10" t="n">
        <f aca="false">Model!T141</f>
        <v>76187589.600929</v>
      </c>
      <c r="H40" s="10" t="n">
        <f aca="false">Model!W141</f>
        <v>56473335.557832</v>
      </c>
      <c r="I40" s="10" t="n">
        <f aca="false">Model!Z141</f>
        <v>39330314.060104</v>
      </c>
      <c r="J40" s="10" t="n">
        <f aca="false">Model!AC141</f>
        <v>67115910.942616</v>
      </c>
      <c r="K40" s="10" t="n">
        <f aca="false">Model!AF141</f>
        <v>56684810.890851</v>
      </c>
      <c r="L40" s="10" t="n">
        <f aca="false">Model!AI141</f>
        <v>46152166.879778</v>
      </c>
      <c r="M40" s="10" t="n">
        <f aca="false">Model!AL141</f>
        <v>35942217.821294</v>
      </c>
      <c r="N40" s="10" t="n">
        <f aca="false">Model!AO141</f>
        <v>26981928.712532</v>
      </c>
      <c r="O40" s="10" t="n">
        <f aca="false">Model!AR141</f>
        <v>18775979.790616</v>
      </c>
      <c r="P40" s="10" t="n">
        <f aca="false">Model!AU141</f>
        <v>13258584.501624</v>
      </c>
      <c r="Q40" s="10" t="n">
        <f aca="false">Model!AX141</f>
        <v>8360541.887544</v>
      </c>
      <c r="R40" s="10" t="n">
        <f aca="false">Model!BA141</f>
        <v>4384004.53832</v>
      </c>
      <c r="S40" s="10" t="n">
        <f aca="false">Model!BD141</f>
        <v>1431490.58668</v>
      </c>
      <c r="T40" s="10" t="n">
        <f aca="false">Model!BG141</f>
        <v>0</v>
      </c>
      <c r="U40" s="10" t="n">
        <f aca="false">Model!BJ141</f>
        <v>0</v>
      </c>
      <c r="V40" s="10" t="n">
        <f aca="false">Model!BM141</f>
        <v>0</v>
      </c>
      <c r="W40" s="10" t="n">
        <f aca="false">Model!BP141</f>
        <v>0</v>
      </c>
      <c r="X40" s="10" t="n">
        <f aca="false">Model!BS141</f>
        <v>0</v>
      </c>
      <c r="Y40" s="10" t="n">
        <f aca="false">Model!BV141</f>
        <v>0</v>
      </c>
      <c r="Z40" s="10" t="n">
        <f aca="false">Model!BY141</f>
        <v>0</v>
      </c>
      <c r="AA40" s="10" t="n">
        <f aca="false">Model!CB141</f>
        <v>0</v>
      </c>
      <c r="AB40" s="10" t="n">
        <f aca="false">Model!CE141</f>
        <v>0</v>
      </c>
      <c r="AC40" s="10" t="n">
        <f aca="false">Model!CH141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Model!E148</f>
        <v>1814777.5599298</v>
      </c>
      <c r="C42" s="21" t="n">
        <f aca="false">Model!H148</f>
        <v>2639606.1025605</v>
      </c>
      <c r="D42" s="21" t="n">
        <f aca="false">Model!K148</f>
        <v>4028044.3851103</v>
      </c>
      <c r="E42" s="21" t="n">
        <f aca="false">Model!N148</f>
        <v>5065189.79648715</v>
      </c>
      <c r="F42" s="21" t="n">
        <f aca="false">Model!Q148</f>
        <v>5847506.0534946</v>
      </c>
      <c r="G42" s="21" t="n">
        <f aca="false">Model!T148</f>
        <v>6807072.54763179</v>
      </c>
      <c r="H42" s="21" t="n">
        <f aca="false">Model!W148</f>
        <v>7527119.9069752</v>
      </c>
      <c r="I42" s="21" t="n">
        <f aca="false">Model!Z148</f>
        <v>8088865.23909346</v>
      </c>
      <c r="J42" s="21" t="n">
        <f aca="false">Model!AC148</f>
        <v>7827558.14731045</v>
      </c>
      <c r="K42" s="21" t="n">
        <f aca="false">Model!AF148</f>
        <v>8193191.16156677</v>
      </c>
      <c r="L42" s="21" t="n">
        <f aca="false">Model!AI148</f>
        <v>8819167.31300969</v>
      </c>
      <c r="M42" s="21" t="n">
        <f aca="false">Model!AL148</f>
        <v>8835568.20233337</v>
      </c>
      <c r="N42" s="21" t="n">
        <f aca="false">Model!AO148</f>
        <v>8598255.27304133</v>
      </c>
      <c r="O42" s="21" t="n">
        <f aca="false">Model!AR148</f>
        <v>8583236.48881134</v>
      </c>
      <c r="P42" s="21" t="n">
        <f aca="false">Model!AU148</f>
        <v>7907396.2124928</v>
      </c>
      <c r="Q42" s="21" t="n">
        <f aca="false">Model!AX148</f>
        <v>7202892.44324118</v>
      </c>
      <c r="R42" s="21" t="n">
        <f aca="false">Model!BA148</f>
        <v>6447464.00605514</v>
      </c>
      <c r="S42" s="21" t="n">
        <f aca="false">Model!BD148</f>
        <v>5644657.86297439</v>
      </c>
      <c r="T42" s="21" t="n">
        <f aca="false">Model!BG148</f>
        <v>4921420.2696664</v>
      </c>
      <c r="U42" s="21" t="n">
        <f aca="false">Model!BJ148</f>
        <v>3726902.68304387</v>
      </c>
      <c r="V42" s="21" t="n">
        <f aca="false">Model!BM148</f>
        <v>2523929.20468888</v>
      </c>
      <c r="W42" s="21" t="n">
        <f aca="false">Model!BP148</f>
        <v>1320955.7263339</v>
      </c>
      <c r="X42" s="21" t="n">
        <f aca="false">Model!BS148</f>
        <v>117982.24797891</v>
      </c>
      <c r="Y42" s="21" t="n">
        <f aca="false">Model!BV148</f>
        <v>-1084991.23037608</v>
      </c>
      <c r="Z42" s="21" t="n">
        <f aca="false">Model!BY148</f>
        <v>-2296589.71829816</v>
      </c>
      <c r="AA42" s="21" t="n">
        <f aca="false">Model!CB148</f>
        <v>-3508188.20622025</v>
      </c>
      <c r="AB42" s="21" t="n">
        <f aca="false">Model!CE148</f>
        <v>-4719786.69414233</v>
      </c>
      <c r="AC42" s="21" t="n">
        <f aca="false">Model!CH148</f>
        <v>-5931385.18206442</v>
      </c>
    </row>
    <row r="43" customFormat="false" ht="15" hidden="false" customHeight="true" outlineLevel="0" collapsed="false">
      <c r="A43" s="20" t="s">
        <v>42</v>
      </c>
      <c r="B43" s="21" t="n">
        <f aca="false">Model!E156</f>
        <v>232031.15</v>
      </c>
      <c r="C43" s="21" t="n">
        <f aca="false">Model!H156</f>
        <v>-11402.19</v>
      </c>
      <c r="D43" s="21" t="n">
        <f aca="false">Model!K156</f>
        <v>-663252.19</v>
      </c>
      <c r="E43" s="21" t="n">
        <f aca="false">Model!N156</f>
        <v>-1517081.6988</v>
      </c>
      <c r="F43" s="21" t="n">
        <f aca="false">Model!Q156</f>
        <v>-2127920.0826</v>
      </c>
      <c r="G43" s="21" t="n">
        <f aca="false">Model!T156</f>
        <v>-2772004.842</v>
      </c>
      <c r="H43" s="21" t="n">
        <f aca="false">Model!W156</f>
        <v>-3143493.49588545</v>
      </c>
      <c r="I43" s="21" t="n">
        <f aca="false">Model!Z156</f>
        <v>-3268442.56408545</v>
      </c>
      <c r="J43" s="21" t="n">
        <f aca="false">Model!AC156</f>
        <v>-2972558.09918545</v>
      </c>
      <c r="K43" s="21" t="n">
        <f aca="false">Model!AF156</f>
        <v>-2820586.65988545</v>
      </c>
      <c r="L43" s="21" t="n">
        <f aca="false">Model!AI156</f>
        <v>-2673957.22378545</v>
      </c>
      <c r="M43" s="21" t="n">
        <f aca="false">Model!AL156</f>
        <v>-2817263.47088545</v>
      </c>
      <c r="N43" s="21" t="n">
        <f aca="false">Model!AO156</f>
        <v>-2862507.16593545</v>
      </c>
      <c r="O43" s="21" t="n">
        <f aca="false">Model!AR156</f>
        <v>-3076804.05298545</v>
      </c>
      <c r="P43" s="21" t="n">
        <f aca="false">Model!AU156</f>
        <v>-3247871.42003545</v>
      </c>
      <c r="Q43" s="21" t="n">
        <f aca="false">Model!AX156</f>
        <v>-3481516.91988545</v>
      </c>
      <c r="R43" s="21" t="n">
        <f aca="false">Model!BA156</f>
        <v>-3727105.24115645</v>
      </c>
      <c r="S43" s="21" t="n">
        <f aca="false">Model!BD156</f>
        <v>-4002094.45570745</v>
      </c>
      <c r="T43" s="21" t="n">
        <f aca="false">Model!BG156</f>
        <v>-4279423.75313845</v>
      </c>
      <c r="U43" s="21" t="n">
        <f aca="false">Model!BJ156</f>
        <v>-4383149.24560945</v>
      </c>
      <c r="V43" s="21" t="n">
        <f aca="false">Model!BM156</f>
        <v>-4770067.46258587</v>
      </c>
      <c r="W43" s="21" t="n">
        <f aca="false">Model!BP156</f>
        <v>-5130866.01803588</v>
      </c>
      <c r="X43" s="21" t="n">
        <f aca="false">Model!BS156</f>
        <v>-5473207.9318795</v>
      </c>
      <c r="Y43" s="21" t="n">
        <f aca="false">Model!BV156</f>
        <v>-5792364.14885592</v>
      </c>
      <c r="Z43" s="21" t="n">
        <f aca="false">Model!BY156</f>
        <v>-6119258.73017187</v>
      </c>
      <c r="AA43" s="21" t="n">
        <f aca="false">Model!CB156</f>
        <v>-6463318.04713089</v>
      </c>
      <c r="AB43" s="21" t="n">
        <f aca="false">Model!CE156</f>
        <v>-6805125.03925138</v>
      </c>
      <c r="AC43" s="21" t="n">
        <f aca="false">Model!CH156</f>
        <v>-7116674.59396085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</f>
        <v>0</v>
      </c>
      <c r="C44" s="21" t="n">
        <f aca="false">Model!F160+Model!G160+Model!H160</f>
        <v>0</v>
      </c>
      <c r="D44" s="21" t="n">
        <f aca="false">Model!I160+Model!J160+Model!K160</f>
        <v>0</v>
      </c>
      <c r="E44" s="21" t="n">
        <f aca="false">Model!L160+Model!M160+Model!N160</f>
        <v>-495373.603533091</v>
      </c>
      <c r="F44" s="21" t="n">
        <f aca="false">Model!O160+Model!P160+Model!Q160</f>
        <v>0</v>
      </c>
      <c r="G44" s="21" t="n">
        <f aca="false">Model!R160+Model!S160+Model!T160</f>
        <v>0</v>
      </c>
      <c r="H44" s="21" t="n">
        <f aca="false">Model!U160+Model!V160+Model!W160</f>
        <v>0</v>
      </c>
      <c r="I44" s="21" t="n">
        <f aca="false">Model!X160+Model!Y160+Model!Z160</f>
        <v>-829441.037779468</v>
      </c>
      <c r="J44" s="21" t="n">
        <f aca="false">Model!AA160+Model!AB160+Model!AC160</f>
        <v>0</v>
      </c>
      <c r="K44" s="21" t="n">
        <f aca="false">Model!AD160+Model!AE160+Model!AF160</f>
        <v>0</v>
      </c>
      <c r="L44" s="21" t="n">
        <f aca="false">Model!AG160+Model!AH160+Model!AI160</f>
        <v>0</v>
      </c>
      <c r="M44" s="21" t="n">
        <f aca="false">Model!AJ160+Model!AK160+Model!AL160</f>
        <v>-603475.103440348</v>
      </c>
      <c r="N44" s="21" t="n">
        <f aca="false">Model!AM160+Model!AN160+Model!AO160</f>
        <v>0</v>
      </c>
      <c r="O44" s="21" t="n">
        <f aca="false">Model!AP160+Model!AQ160+Model!AR160</f>
        <v>0</v>
      </c>
      <c r="P44" s="21" t="n">
        <f aca="false">Model!AS160+Model!AT160+Model!AU160</f>
        <v>0</v>
      </c>
      <c r="Q44" s="21" t="n">
        <f aca="false">Model!AV160+Model!AW160+Model!AX160</f>
        <v>0</v>
      </c>
      <c r="R44" s="21" t="n">
        <f aca="false">Model!AY160+Model!AZ160+Model!BA160</f>
        <v>0</v>
      </c>
      <c r="S44" s="21" t="n">
        <f aca="false">Model!BB160+Model!BC160+Model!BD160</f>
        <v>0</v>
      </c>
      <c r="T44" s="21" t="n">
        <f aca="false">Model!BE160+Model!BF160+Model!BG160</f>
        <v>0</v>
      </c>
      <c r="U44" s="21" t="n">
        <f aca="false">Model!BH160+Model!BI160+Model!BJ160</f>
        <v>0</v>
      </c>
      <c r="V44" s="21" t="n">
        <f aca="false">Model!BK160+Model!BL160+Model!BM160</f>
        <v>0</v>
      </c>
      <c r="W44" s="21" t="n">
        <f aca="false">Model!BN160+Model!BO160+Model!BP160</f>
        <v>0</v>
      </c>
      <c r="X44" s="21" t="n">
        <f aca="false">Model!BQ160+Model!BR160+Model!BS160</f>
        <v>0</v>
      </c>
      <c r="Y44" s="21" t="n">
        <f aca="false">Model!BT160+Model!BU160+Model!BV160</f>
        <v>0</v>
      </c>
      <c r="Z44" s="21" t="n">
        <f aca="false">Model!BW160+Model!BX160+Model!BY160</f>
        <v>0</v>
      </c>
      <c r="AA44" s="21" t="n">
        <f aca="false">Model!BZ160+Model!CA160+Model!CB160</f>
        <v>0</v>
      </c>
      <c r="AB44" s="21" t="n">
        <f aca="false">Model!CC160+Model!CD160+Model!CE160</f>
        <v>0</v>
      </c>
      <c r="AC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Model!E161</f>
        <v>2046808.7099298</v>
      </c>
      <c r="C45" s="23" t="n">
        <f aca="false">Model!H161</f>
        <v>2628203.9125605</v>
      </c>
      <c r="D45" s="23" t="n">
        <f aca="false">Model!K161</f>
        <v>3364792.1951103</v>
      </c>
      <c r="E45" s="23" t="n">
        <f aca="false">Model!N161</f>
        <v>3052734.49415406</v>
      </c>
      <c r="F45" s="23" t="n">
        <f aca="false">Model!Q161</f>
        <v>3719585.9708946</v>
      </c>
      <c r="G45" s="23" t="n">
        <f aca="false">Model!T161</f>
        <v>4035067.70563179</v>
      </c>
      <c r="H45" s="23" t="n">
        <f aca="false">Model!W161</f>
        <v>4383626.41108975</v>
      </c>
      <c r="I45" s="23" t="n">
        <f aca="false">Model!Z161</f>
        <v>3990981.63722854</v>
      </c>
      <c r="J45" s="23" t="n">
        <f aca="false">Model!AC161</f>
        <v>4855000.048125</v>
      </c>
      <c r="K45" s="23" t="n">
        <f aca="false">Model!AF161</f>
        <v>5372604.50168132</v>
      </c>
      <c r="L45" s="23" t="n">
        <f aca="false">Model!AI161</f>
        <v>6145210.08922424</v>
      </c>
      <c r="M45" s="23" t="n">
        <f aca="false">Model!AL161</f>
        <v>5414829.62800757</v>
      </c>
      <c r="N45" s="23" t="n">
        <f aca="false">Model!AO161</f>
        <v>5735748.10710588</v>
      </c>
      <c r="O45" s="23" t="n">
        <f aca="false">Model!AR161</f>
        <v>5506432.4358259</v>
      </c>
      <c r="P45" s="23" t="n">
        <f aca="false">Model!AU161</f>
        <v>4659524.79245735</v>
      </c>
      <c r="Q45" s="23" t="n">
        <f aca="false">Model!AX161</f>
        <v>3721375.52335573</v>
      </c>
      <c r="R45" s="23" t="n">
        <f aca="false">Model!BA161</f>
        <v>2720358.7648987</v>
      </c>
      <c r="S45" s="23" t="n">
        <f aca="false">Model!BD161</f>
        <v>1642563.40726695</v>
      </c>
      <c r="T45" s="23" t="n">
        <f aca="false">Model!BG161</f>
        <v>641996.516527959</v>
      </c>
      <c r="U45" s="23" t="n">
        <f aca="false">Model!BJ161</f>
        <v>-656246.562565577</v>
      </c>
      <c r="V45" s="23" t="n">
        <f aca="false">Model!BM161</f>
        <v>-2246138.25789698</v>
      </c>
      <c r="W45" s="23" t="n">
        <f aca="false">Model!BP161</f>
        <v>-3809910.29170199</v>
      </c>
      <c r="X45" s="23" t="n">
        <f aca="false">Model!BS161</f>
        <v>-5355225.68390059</v>
      </c>
      <c r="Y45" s="23" t="n">
        <f aca="false">Model!BV161</f>
        <v>-6877355.379232</v>
      </c>
      <c r="Z45" s="23" t="n">
        <f aca="false">Model!BY161</f>
        <v>-8415848.44847003</v>
      </c>
      <c r="AA45" s="23" t="n">
        <f aca="false">Model!CB161</f>
        <v>-9971506.25335114</v>
      </c>
      <c r="AB45" s="23" t="n">
        <f aca="false">Model!CE161</f>
        <v>-11524911.7333937</v>
      </c>
      <c r="AC45" s="23" t="n">
        <f aca="false">Model!CH161</f>
        <v>-13048059.7760253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208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210</v>
      </c>
      <c r="B4" s="3"/>
      <c r="C4" s="68" t="n">
        <f aca="false">Model!C52</f>
        <v>9375</v>
      </c>
      <c r="D4" s="68" t="n">
        <f aca="false">Model!D52</f>
        <v>9375</v>
      </c>
      <c r="E4" s="68" t="n">
        <f aca="false">Model!E52</f>
        <v>9375</v>
      </c>
      <c r="F4" s="68" t="n">
        <f aca="false">Model!F52</f>
        <v>9375</v>
      </c>
      <c r="G4" s="68" t="n">
        <f aca="false">Model!G52</f>
        <v>9375</v>
      </c>
      <c r="H4" s="68" t="n">
        <f aca="false">Model!H52</f>
        <v>9375</v>
      </c>
      <c r="I4" s="68" t="n">
        <f aca="false">Model!I52</f>
        <v>9375</v>
      </c>
      <c r="J4" s="68" t="n">
        <f aca="false">Model!J52</f>
        <v>0</v>
      </c>
      <c r="K4" s="68" t="n">
        <f aca="false">Model!K52</f>
        <v>0</v>
      </c>
      <c r="L4" s="68" t="n">
        <f aca="false">Model!L52</f>
        <v>0</v>
      </c>
      <c r="M4" s="68" t="n">
        <f aca="false">Model!M52</f>
        <v>0</v>
      </c>
      <c r="N4" s="68" t="n">
        <f aca="false">Model!N52</f>
        <v>0</v>
      </c>
      <c r="O4" s="68" t="n">
        <f aca="false">Model!O52</f>
        <v>0</v>
      </c>
      <c r="P4" s="68" t="n">
        <f aca="false">Model!P52</f>
        <v>0</v>
      </c>
      <c r="Q4" s="68" t="n">
        <f aca="false">Model!Q52</f>
        <v>0</v>
      </c>
      <c r="R4" s="68" t="n">
        <f aca="false">Model!R52</f>
        <v>0</v>
      </c>
      <c r="S4" s="68" t="n">
        <f aca="false">Model!S52</f>
        <v>0</v>
      </c>
      <c r="T4" s="68" t="n">
        <f aca="false">Model!T52</f>
        <v>0</v>
      </c>
      <c r="U4" s="68" t="n">
        <f aca="false">Model!U52</f>
        <v>0</v>
      </c>
      <c r="V4" s="68" t="n">
        <f aca="false">Model!V52</f>
        <v>0</v>
      </c>
      <c r="W4" s="68" t="n">
        <f aca="false">Model!W52</f>
        <v>0</v>
      </c>
      <c r="X4" s="68" t="n">
        <f aca="false">Model!X52</f>
        <v>0</v>
      </c>
      <c r="Y4" s="68" t="n">
        <f aca="false">Model!Y52</f>
        <v>0</v>
      </c>
      <c r="Z4" s="68" t="n">
        <f aca="false">Model!Z52</f>
        <v>0</v>
      </c>
      <c r="AA4" s="68" t="n">
        <f aca="false">Model!AA52</f>
        <v>0</v>
      </c>
      <c r="AB4" s="68" t="n">
        <f aca="false">Model!AB52</f>
        <v>0</v>
      </c>
      <c r="AC4" s="68" t="n">
        <f aca="false">Model!AC52</f>
        <v>0</v>
      </c>
      <c r="AD4" s="68" t="n">
        <f aca="false">Model!AD52</f>
        <v>0</v>
      </c>
      <c r="AE4" s="68" t="n">
        <f aca="false">Model!AE52</f>
        <v>0</v>
      </c>
      <c r="AF4" s="68" t="n">
        <f aca="false">Model!AF52</f>
        <v>0</v>
      </c>
      <c r="AG4" s="68" t="n">
        <f aca="false">Model!AG52</f>
        <v>0</v>
      </c>
      <c r="AH4" s="68" t="n">
        <f aca="false">Model!AH52</f>
        <v>0</v>
      </c>
      <c r="AI4" s="68" t="n">
        <f aca="false">Model!AI52</f>
        <v>0</v>
      </c>
      <c r="AJ4" s="68" t="n">
        <f aca="false">Model!AJ52</f>
        <v>0</v>
      </c>
      <c r="AK4" s="68" t="n">
        <f aca="false">Model!AK52</f>
        <v>0</v>
      </c>
      <c r="AL4" s="68" t="n">
        <f aca="false">Model!AL52</f>
        <v>0</v>
      </c>
      <c r="AM4" s="68" t="n">
        <f aca="false">Model!AM52</f>
        <v>0</v>
      </c>
      <c r="AN4" s="68" t="n">
        <f aca="false">Model!AN52</f>
        <v>0</v>
      </c>
      <c r="AO4" s="68" t="n">
        <f aca="false">Model!AO52</f>
        <v>0</v>
      </c>
      <c r="AP4" s="68" t="n">
        <f aca="false">Model!AP52</f>
        <v>0</v>
      </c>
      <c r="AQ4" s="68" t="n">
        <f aca="false">Model!AQ52</f>
        <v>0</v>
      </c>
      <c r="AR4" s="68" t="n">
        <f aca="false">Model!AR52</f>
        <v>0</v>
      </c>
      <c r="AS4" s="68" t="n">
        <f aca="false">Model!AS52</f>
        <v>0</v>
      </c>
      <c r="AT4" s="68" t="n">
        <f aca="false">Model!AT52</f>
        <v>0</v>
      </c>
      <c r="AU4" s="68" t="n">
        <f aca="false">Model!AU52</f>
        <v>0</v>
      </c>
      <c r="AV4" s="68" t="n">
        <f aca="false">Model!AV52</f>
        <v>0</v>
      </c>
      <c r="AW4" s="68" t="n">
        <f aca="false">Model!AW52</f>
        <v>0</v>
      </c>
      <c r="AX4" s="68" t="n">
        <f aca="false">Model!AX52</f>
        <v>0</v>
      </c>
      <c r="AY4" s="68" t="n">
        <f aca="false">Model!AY52</f>
        <v>0</v>
      </c>
      <c r="AZ4" s="68" t="n">
        <f aca="false">Model!AZ52</f>
        <v>0</v>
      </c>
      <c r="BA4" s="68" t="n">
        <f aca="false">Model!BA52</f>
        <v>0</v>
      </c>
      <c r="BB4" s="68" t="n">
        <f aca="false">Model!BB52</f>
        <v>0</v>
      </c>
      <c r="BC4" s="68" t="n">
        <f aca="false">Model!BC52</f>
        <v>0</v>
      </c>
      <c r="BD4" s="68" t="n">
        <f aca="false">Model!BD52</f>
        <v>0</v>
      </c>
      <c r="BE4" s="68" t="n">
        <f aca="false">Model!BE52</f>
        <v>0</v>
      </c>
      <c r="BF4" s="68" t="n">
        <f aca="false">Model!BF52</f>
        <v>0</v>
      </c>
      <c r="BG4" s="68" t="n">
        <f aca="false">Model!BG52</f>
        <v>0</v>
      </c>
      <c r="BH4" s="68" t="n">
        <f aca="false">Model!BH52</f>
        <v>0</v>
      </c>
      <c r="BI4" s="68" t="n">
        <f aca="false">Model!BI52</f>
        <v>0</v>
      </c>
      <c r="BJ4" s="68" t="n">
        <f aca="false">Model!BJ52</f>
        <v>0</v>
      </c>
      <c r="BK4" s="68" t="n">
        <f aca="false">Model!BK52</f>
        <v>0</v>
      </c>
      <c r="BL4" s="68" t="n">
        <f aca="false">Model!BL52</f>
        <v>0</v>
      </c>
      <c r="BM4" s="68" t="n">
        <f aca="false">Model!BM52</f>
        <v>0</v>
      </c>
      <c r="BN4" s="68" t="n">
        <f aca="false">Model!BN52</f>
        <v>0</v>
      </c>
      <c r="BO4" s="68" t="n">
        <f aca="false">Model!BO52</f>
        <v>0</v>
      </c>
      <c r="BP4" s="68" t="n">
        <f aca="false">Model!BP52</f>
        <v>0</v>
      </c>
      <c r="BQ4" s="68" t="n">
        <f aca="false">Model!BQ52</f>
        <v>0</v>
      </c>
      <c r="BR4" s="68" t="n">
        <f aca="false">Model!BR52</f>
        <v>0</v>
      </c>
      <c r="BS4" s="68" t="n">
        <f aca="false">Model!BS52</f>
        <v>0</v>
      </c>
      <c r="BT4" s="68" t="n">
        <f aca="false">Model!BT52</f>
        <v>0</v>
      </c>
      <c r="BU4" s="68" t="n">
        <f aca="false">Model!BU52</f>
        <v>0</v>
      </c>
      <c r="BV4" s="68" t="n">
        <f aca="false">Model!BV52</f>
        <v>0</v>
      </c>
      <c r="BW4" s="68" t="n">
        <f aca="false">Model!BW52</f>
        <v>0</v>
      </c>
      <c r="BX4" s="68" t="n">
        <f aca="false">Model!BX52</f>
        <v>0</v>
      </c>
      <c r="BY4" s="68" t="n">
        <f aca="false">Model!BY52</f>
        <v>0</v>
      </c>
      <c r="BZ4" s="68" t="n">
        <f aca="false">Model!BZ52</f>
        <v>0</v>
      </c>
      <c r="CA4" s="68" t="n">
        <f aca="false">Model!CA52</f>
        <v>0</v>
      </c>
      <c r="CB4" s="68" t="n">
        <f aca="false">Model!CB52</f>
        <v>0</v>
      </c>
      <c r="CC4" s="68" t="n">
        <f aca="false">Model!CC52</f>
        <v>0</v>
      </c>
      <c r="CD4" s="68" t="n">
        <f aca="false">Model!CD52</f>
        <v>0</v>
      </c>
      <c r="CE4" s="68" t="n">
        <f aca="false">Model!CE52</f>
        <v>0</v>
      </c>
      <c r="CF4" s="68" t="n">
        <f aca="false">Model!CF52</f>
        <v>0</v>
      </c>
      <c r="CG4" s="68" t="n">
        <f aca="false">Model!CG52</f>
        <v>0</v>
      </c>
      <c r="CH4" s="68" t="n">
        <f aca="false">Model!CH52</f>
        <v>0</v>
      </c>
    </row>
    <row r="5" customFormat="false" ht="15" hidden="false" customHeight="true" outlineLevel="0" collapsed="false">
      <c r="A5" s="30" t="s">
        <v>211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212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210</v>
      </c>
      <c r="B9" s="3"/>
      <c r="C9" s="68" t="n">
        <f aca="false">Model!C48+Model!C49+Model!C50+Model!C51</f>
        <v>23906.25</v>
      </c>
      <c r="D9" s="68" t="n">
        <f aca="false">Model!D48+Model!D49+Model!D50+Model!D51</f>
        <v>23906.25</v>
      </c>
      <c r="E9" s="68" t="n">
        <f aca="false">Model!E48+Model!E49+Model!E50+Model!E51</f>
        <v>23906.25</v>
      </c>
      <c r="F9" s="68" t="n">
        <f aca="false">Model!F48+Model!F49+Model!F50+Model!F51</f>
        <v>23906.25</v>
      </c>
      <c r="G9" s="68" t="n">
        <f aca="false">Model!G48+Model!G49+Model!G50+Model!G51</f>
        <v>23906.25</v>
      </c>
      <c r="H9" s="68" t="n">
        <f aca="false">Model!H48+Model!H49+Model!H50+Model!H51</f>
        <v>23906.25</v>
      </c>
      <c r="I9" s="68" t="n">
        <f aca="false">Model!I48+Model!I49+Model!I50+Model!I51</f>
        <v>23906.25</v>
      </c>
      <c r="J9" s="68" t="n">
        <f aca="false">Model!J48+Model!J49+Model!J50+Model!J51</f>
        <v>23906.25</v>
      </c>
      <c r="K9" s="68" t="n">
        <f aca="false">Model!K48+Model!K49+Model!K50+Model!K51</f>
        <v>23906.25</v>
      </c>
      <c r="L9" s="68" t="n">
        <f aca="false">Model!L48+Model!L49+Model!L50+Model!L51</f>
        <v>23906.25</v>
      </c>
      <c r="M9" s="68" t="n">
        <f aca="false">Model!M48+Model!M49+Model!M50+Model!M51</f>
        <v>23906.25</v>
      </c>
      <c r="N9" s="68" t="n">
        <f aca="false">Model!N48+Model!N49+Model!N50+Model!N51</f>
        <v>23906.25</v>
      </c>
      <c r="O9" s="68" t="n">
        <f aca="false">Model!O48+Model!O49+Model!O50+Model!O51</f>
        <v>23906.25</v>
      </c>
      <c r="P9" s="68" t="n">
        <f aca="false">Model!P48+Model!P49+Model!P50+Model!P51</f>
        <v>23906.25</v>
      </c>
      <c r="Q9" s="68" t="n">
        <f aca="false">Model!Q48+Model!Q49+Model!Q50+Model!Q51</f>
        <v>23906.25</v>
      </c>
      <c r="R9" s="68" t="n">
        <f aca="false">Model!R48+Model!R49+Model!R50+Model!R51</f>
        <v>0</v>
      </c>
      <c r="S9" s="68" t="n">
        <f aca="false">Model!S48+Model!S49+Model!S50+Model!S51</f>
        <v>0</v>
      </c>
      <c r="T9" s="68" t="n">
        <f aca="false">Model!T48+Model!T49+Model!T50+Model!T51</f>
        <v>0</v>
      </c>
      <c r="U9" s="68" t="n">
        <f aca="false">Model!U48+Model!U49+Model!U50+Model!U51</f>
        <v>0</v>
      </c>
      <c r="V9" s="68" t="n">
        <f aca="false">Model!V48+Model!V49+Model!V50+Model!V51</f>
        <v>0</v>
      </c>
      <c r="W9" s="68" t="n">
        <f aca="false">Model!W48+Model!W49+Model!W50+Model!W51</f>
        <v>57375</v>
      </c>
      <c r="X9" s="68" t="n">
        <f aca="false">Model!X48+Model!X49+Model!X50+Model!X51</f>
        <v>0</v>
      </c>
      <c r="Y9" s="68" t="n">
        <f aca="false">Model!Y48+Model!Y49+Model!Y50+Model!Y51</f>
        <v>0</v>
      </c>
      <c r="Z9" s="68" t="n">
        <f aca="false">Model!Z48+Model!Z49+Model!Z50+Model!Z51</f>
        <v>57375</v>
      </c>
      <c r="AA9" s="68" t="n">
        <f aca="false">Model!AA48+Model!AA49+Model!AA50+Model!AA51</f>
        <v>0</v>
      </c>
      <c r="AB9" s="68" t="n">
        <f aca="false">Model!AB48+Model!AB49+Model!AB50+Model!AB51</f>
        <v>0</v>
      </c>
      <c r="AC9" s="68" t="n">
        <f aca="false">Model!AC48+Model!AC49+Model!AC50+Model!AC51</f>
        <v>57375</v>
      </c>
      <c r="AD9" s="68" t="n">
        <f aca="false">Model!AD48+Model!AD49+Model!AD50+Model!AD51</f>
        <v>0</v>
      </c>
      <c r="AE9" s="68" t="n">
        <f aca="false">Model!AE48+Model!AE49+Model!AE50+Model!AE51</f>
        <v>0</v>
      </c>
      <c r="AF9" s="68" t="n">
        <f aca="false">Model!AF48+Model!AF49+Model!AF50+Model!AF51</f>
        <v>0</v>
      </c>
      <c r="AG9" s="68" t="n">
        <f aca="false">Model!AG48+Model!AG49+Model!AG50+Model!AG51</f>
        <v>0</v>
      </c>
      <c r="AH9" s="68" t="n">
        <f aca="false">Model!AH48+Model!AH49+Model!AH50+Model!AH51</f>
        <v>0</v>
      </c>
      <c r="AI9" s="68" t="n">
        <f aca="false">Model!AI48+Model!AI49+Model!AI50+Model!AI51</f>
        <v>0</v>
      </c>
      <c r="AJ9" s="68" t="n">
        <f aca="false">Model!AJ48+Model!AJ49+Model!AJ50+Model!AJ51</f>
        <v>0</v>
      </c>
      <c r="AK9" s="68" t="n">
        <f aca="false">Model!AK48+Model!AK49+Model!AK50+Model!AK51</f>
        <v>0</v>
      </c>
      <c r="AL9" s="68" t="n">
        <f aca="false">Model!AL48+Model!AL49+Model!AL50+Model!AL51</f>
        <v>0</v>
      </c>
      <c r="AM9" s="68" t="n">
        <f aca="false">Model!AM48+Model!AM49+Model!AM50+Model!AM51</f>
        <v>0</v>
      </c>
      <c r="AN9" s="68" t="n">
        <f aca="false">Model!AN48+Model!AN49+Model!AN50+Model!AN51</f>
        <v>0</v>
      </c>
      <c r="AO9" s="68" t="n">
        <f aca="false">Model!AO48+Model!AO49+Model!AO50+Model!AO51</f>
        <v>0</v>
      </c>
      <c r="AP9" s="68" t="n">
        <f aca="false">Model!AP48+Model!AP49+Model!AP50+Model!AP51</f>
        <v>0</v>
      </c>
      <c r="AQ9" s="68" t="n">
        <f aca="false">Model!AQ48+Model!AQ49+Model!AQ50+Model!AQ51</f>
        <v>0</v>
      </c>
      <c r="AR9" s="68" t="n">
        <f aca="false">Model!AR48+Model!AR49+Model!AR50+Model!AR51</f>
        <v>0</v>
      </c>
      <c r="AS9" s="68" t="n">
        <f aca="false">Model!AS48+Model!AS49+Model!AS50+Model!AS51</f>
        <v>0</v>
      </c>
      <c r="AT9" s="68" t="n">
        <f aca="false">Model!AT48+Model!AT49+Model!AT50+Model!AT51</f>
        <v>0</v>
      </c>
      <c r="AU9" s="68" t="n">
        <f aca="false">Model!AU48+Model!AU49+Model!AU50+Model!AU51</f>
        <v>0</v>
      </c>
      <c r="AV9" s="68" t="n">
        <f aca="false">Model!AV48+Model!AV49+Model!AV50+Model!AV51</f>
        <v>0</v>
      </c>
      <c r="AW9" s="68" t="n">
        <f aca="false">Model!AW48+Model!AW49+Model!AW50+Model!AW51</f>
        <v>0</v>
      </c>
      <c r="AX9" s="68" t="n">
        <f aca="false">Model!AX48+Model!AX49+Model!AX50+Model!AX51</f>
        <v>0</v>
      </c>
      <c r="AY9" s="68" t="n">
        <f aca="false">Model!AY48+Model!AY49+Model!AY50+Model!AY51</f>
        <v>0</v>
      </c>
      <c r="AZ9" s="68" t="n">
        <f aca="false">Model!AZ48+Model!AZ49+Model!AZ50+Model!AZ51</f>
        <v>0</v>
      </c>
      <c r="BA9" s="68" t="n">
        <f aca="false">Model!BA48+Model!BA49+Model!BA50+Model!BA51</f>
        <v>0</v>
      </c>
      <c r="BB9" s="68" t="n">
        <f aca="false">Model!BB48+Model!BB49+Model!BB50+Model!BB51</f>
        <v>0</v>
      </c>
      <c r="BC9" s="68" t="n">
        <f aca="false">Model!BC48+Model!BC49+Model!BC50+Model!BC51</f>
        <v>0</v>
      </c>
      <c r="BD9" s="68" t="n">
        <f aca="false">Model!BD48+Model!BD49+Model!BD50+Model!BD51</f>
        <v>0</v>
      </c>
      <c r="BE9" s="68" t="n">
        <f aca="false">Model!BE48+Model!BE49+Model!BE50+Model!BE51</f>
        <v>0</v>
      </c>
      <c r="BF9" s="68" t="n">
        <f aca="false">Model!BF48+Model!BF49+Model!BF50+Model!BF51</f>
        <v>0</v>
      </c>
      <c r="BG9" s="68" t="n">
        <f aca="false">Model!BG48+Model!BG49+Model!BG50+Model!BG51</f>
        <v>0</v>
      </c>
      <c r="BH9" s="68" t="n">
        <f aca="false">Model!BH48+Model!BH49+Model!BH50+Model!BH51</f>
        <v>0</v>
      </c>
      <c r="BI9" s="68" t="n">
        <f aca="false">Model!BI48+Model!BI49+Model!BI50+Model!BI51</f>
        <v>0</v>
      </c>
      <c r="BJ9" s="68" t="n">
        <f aca="false">Model!BJ48+Model!BJ49+Model!BJ50+Model!BJ51</f>
        <v>0</v>
      </c>
      <c r="BK9" s="68" t="n">
        <f aca="false">Model!BK48+Model!BK49+Model!BK50+Model!BK51</f>
        <v>0</v>
      </c>
      <c r="BL9" s="68" t="n">
        <f aca="false">Model!BL48+Model!BL49+Model!BL50+Model!BL51</f>
        <v>0</v>
      </c>
      <c r="BM9" s="68" t="n">
        <f aca="false">Model!BM48+Model!BM49+Model!BM50+Model!BM51</f>
        <v>0</v>
      </c>
      <c r="BN9" s="68" t="n">
        <f aca="false">Model!BN48+Model!BN49+Model!BN50+Model!BN51</f>
        <v>0</v>
      </c>
      <c r="BO9" s="68" t="n">
        <f aca="false">Model!BO48+Model!BO49+Model!BO50+Model!BO51</f>
        <v>0</v>
      </c>
      <c r="BP9" s="68" t="n">
        <f aca="false">Model!BP48+Model!BP49+Model!BP50+Model!BP51</f>
        <v>0</v>
      </c>
      <c r="BQ9" s="68" t="n">
        <f aca="false">Model!BQ48+Model!BQ49+Model!BQ50+Model!BQ51</f>
        <v>0</v>
      </c>
      <c r="BR9" s="68" t="n">
        <f aca="false">Model!BR48+Model!BR49+Model!BR50+Model!BR51</f>
        <v>0</v>
      </c>
      <c r="BS9" s="68" t="n">
        <f aca="false">Model!BS48+Model!BS49+Model!BS50+Model!BS51</f>
        <v>0</v>
      </c>
      <c r="BT9" s="68" t="n">
        <f aca="false">Model!BT48+Model!BT49+Model!BT50+Model!BT51</f>
        <v>0</v>
      </c>
      <c r="BU9" s="68" t="n">
        <f aca="false">Model!BU48+Model!BU49+Model!BU50+Model!BU51</f>
        <v>0</v>
      </c>
      <c r="BV9" s="68" t="n">
        <f aca="false">Model!BV48+Model!BV49+Model!BV50+Model!BV51</f>
        <v>0</v>
      </c>
      <c r="BW9" s="68" t="n">
        <f aca="false">Model!BW48+Model!BW49+Model!BW50+Model!BW51</f>
        <v>0</v>
      </c>
      <c r="BX9" s="68" t="n">
        <f aca="false">Model!BX48+Model!BX49+Model!BX50+Model!BX51</f>
        <v>0</v>
      </c>
      <c r="BY9" s="68" t="n">
        <f aca="false">Model!BY48+Model!BY49+Model!BY50+Model!BY51</f>
        <v>0</v>
      </c>
      <c r="BZ9" s="68" t="n">
        <f aca="false">Model!BZ48+Model!BZ49+Model!BZ50+Model!BZ51</f>
        <v>0</v>
      </c>
      <c r="CA9" s="68" t="n">
        <f aca="false">Model!CA48+Model!CA49+Model!CA50+Model!CA51</f>
        <v>0</v>
      </c>
      <c r="CB9" s="68" t="n">
        <f aca="false">Model!CB48+Model!CB49+Model!CB50+Model!CB51</f>
        <v>0</v>
      </c>
      <c r="CC9" s="68" t="n">
        <f aca="false">Model!CC48+Model!CC49+Model!CC50+Model!CC51</f>
        <v>0</v>
      </c>
      <c r="CD9" s="68" t="n">
        <f aca="false">Model!CD48+Model!CD49+Model!CD50+Model!CD51</f>
        <v>0</v>
      </c>
      <c r="CE9" s="68" t="n">
        <f aca="false">Model!CE48+Model!CE49+Model!CE50+Model!CE51</f>
        <v>0</v>
      </c>
      <c r="CF9" s="68" t="n">
        <f aca="false">Model!CF48+Model!CF49+Model!CF50+Model!CF51</f>
        <v>0</v>
      </c>
      <c r="CG9" s="68" t="n">
        <f aca="false">Model!CG48+Model!CG49+Model!CG50+Model!CG51</f>
        <v>0</v>
      </c>
      <c r="CH9" s="68" t="n">
        <f aca="false">Model!CH48+Model!CH49+Model!CH50+Model!CH51</f>
        <v>0</v>
      </c>
    </row>
    <row r="10" customFormat="false" ht="15" hidden="false" customHeight="true" outlineLevel="0" collapsed="false">
      <c r="A10" s="30" t="s">
        <v>211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212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210</v>
      </c>
      <c r="B14" s="3"/>
      <c r="C14" s="68" t="n">
        <f aca="false">Model!C54+Model!C55+Model!C56</f>
        <v>0</v>
      </c>
      <c r="D14" s="68" t="n">
        <f aca="false">Model!D54+Model!D55+Model!D56</f>
        <v>0</v>
      </c>
      <c r="E14" s="68" t="n">
        <f aca="false">Model!E54+Model!E55+Model!E56</f>
        <v>0</v>
      </c>
      <c r="F14" s="68" t="n">
        <f aca="false">Model!F54+Model!F55+Model!F56</f>
        <v>0</v>
      </c>
      <c r="G14" s="68" t="n">
        <f aca="false">Model!G54+Model!G55+Model!G56</f>
        <v>0</v>
      </c>
      <c r="H14" s="68" t="n">
        <f aca="false">Model!H54+Model!H55+Model!H56</f>
        <v>0</v>
      </c>
      <c r="I14" s="68" t="n">
        <f aca="false">Model!I54+Model!I55+Model!I56</f>
        <v>0</v>
      </c>
      <c r="J14" s="68" t="n">
        <f aca="false">Model!J54+Model!J55+Model!J56</f>
        <v>0</v>
      </c>
      <c r="K14" s="68" t="n">
        <f aca="false">Model!K54+Model!K55+Model!K56</f>
        <v>0</v>
      </c>
      <c r="L14" s="68" t="n">
        <f aca="false">Model!L54+Model!L55+Model!L56</f>
        <v>0</v>
      </c>
      <c r="M14" s="68" t="n">
        <f aca="false">Model!M54+Model!M55+Model!M56</f>
        <v>0</v>
      </c>
      <c r="N14" s="68" t="n">
        <f aca="false">Model!N54+Model!N55+Model!N56</f>
        <v>0</v>
      </c>
      <c r="O14" s="68" t="n">
        <f aca="false">Model!O54+Model!O55+Model!O56</f>
        <v>0</v>
      </c>
      <c r="P14" s="68" t="n">
        <f aca="false">Model!P54+Model!P55+Model!P56</f>
        <v>0</v>
      </c>
      <c r="Q14" s="68" t="n">
        <f aca="false">Model!Q54+Model!Q55+Model!Q56</f>
        <v>0</v>
      </c>
      <c r="R14" s="68" t="n">
        <f aca="false">Model!R54+Model!R55+Model!R56</f>
        <v>0</v>
      </c>
      <c r="S14" s="68" t="n">
        <f aca="false">Model!S54+Model!S55+Model!S56</f>
        <v>0</v>
      </c>
      <c r="T14" s="68" t="n">
        <f aca="false">Model!T54+Model!T55+Model!T56</f>
        <v>0</v>
      </c>
      <c r="U14" s="68" t="n">
        <f aca="false">Model!U54+Model!U55+Model!U56</f>
        <v>0</v>
      </c>
      <c r="V14" s="68" t="n">
        <f aca="false">Model!V54+Model!V55+Model!V56</f>
        <v>0</v>
      </c>
      <c r="W14" s="68" t="n">
        <f aca="false">Model!W54+Model!W55+Model!W56</f>
        <v>0</v>
      </c>
      <c r="X14" s="68" t="n">
        <f aca="false">Model!X54+Model!X55+Model!X56</f>
        <v>0</v>
      </c>
      <c r="Y14" s="68" t="n">
        <f aca="false">Model!Y54+Model!Y55+Model!Y56</f>
        <v>0</v>
      </c>
      <c r="Z14" s="68" t="n">
        <f aca="false">Model!Z54+Model!Z55+Model!Z56</f>
        <v>0</v>
      </c>
      <c r="AA14" s="68" t="n">
        <f aca="false">Model!AA54+Model!AA55+Model!AA56</f>
        <v>0</v>
      </c>
      <c r="AB14" s="68" t="n">
        <f aca="false">Model!AB54+Model!AB55+Model!AB56</f>
        <v>0</v>
      </c>
      <c r="AC14" s="68" t="n">
        <f aca="false">Model!AC54+Model!AC55+Model!AC56</f>
        <v>0</v>
      </c>
      <c r="AD14" s="68" t="n">
        <f aca="false">Model!AD54+Model!AD55+Model!AD56</f>
        <v>0</v>
      </c>
      <c r="AE14" s="68" t="n">
        <f aca="false">Model!AE54+Model!AE55+Model!AE56</f>
        <v>0</v>
      </c>
      <c r="AF14" s="68" t="n">
        <f aca="false">Model!AF54+Model!AF55+Model!AF56</f>
        <v>0</v>
      </c>
      <c r="AG14" s="68" t="n">
        <f aca="false">Model!AG54+Model!AG55+Model!AG56</f>
        <v>0</v>
      </c>
      <c r="AH14" s="68" t="n">
        <f aca="false">Model!AH54+Model!AH55+Model!AH56</f>
        <v>0</v>
      </c>
      <c r="AI14" s="68" t="n">
        <f aca="false">Model!AI54+Model!AI55+Model!AI56</f>
        <v>0</v>
      </c>
      <c r="AJ14" s="68" t="n">
        <f aca="false">Model!AJ54+Model!AJ55+Model!AJ56</f>
        <v>0</v>
      </c>
      <c r="AK14" s="68" t="n">
        <f aca="false">Model!AK54+Model!AK55+Model!AK56</f>
        <v>0</v>
      </c>
      <c r="AL14" s="68" t="n">
        <f aca="false">Model!AL54+Model!AL55+Model!AL56</f>
        <v>0</v>
      </c>
      <c r="AM14" s="68" t="n">
        <f aca="false">Model!AM54+Model!AM55+Model!AM56</f>
        <v>0</v>
      </c>
      <c r="AN14" s="68" t="n">
        <f aca="false">Model!AN54+Model!AN55+Model!AN56</f>
        <v>0</v>
      </c>
      <c r="AO14" s="68" t="n">
        <f aca="false">Model!AO54+Model!AO55+Model!AO56</f>
        <v>0</v>
      </c>
      <c r="AP14" s="68" t="n">
        <f aca="false">Model!AP54+Model!AP55+Model!AP56</f>
        <v>0</v>
      </c>
      <c r="AQ14" s="68" t="n">
        <f aca="false">Model!AQ54+Model!AQ55+Model!AQ56</f>
        <v>0</v>
      </c>
      <c r="AR14" s="68" t="n">
        <f aca="false">Model!AR54+Model!AR55+Model!AR56</f>
        <v>0</v>
      </c>
      <c r="AS14" s="68" t="n">
        <f aca="false">Model!AS54+Model!AS55+Model!AS56</f>
        <v>0</v>
      </c>
      <c r="AT14" s="68" t="n">
        <f aca="false">Model!AT54+Model!AT55+Model!AT56</f>
        <v>0</v>
      </c>
      <c r="AU14" s="68" t="n">
        <f aca="false">Model!AU54+Model!AU55+Model!AU56</f>
        <v>0</v>
      </c>
      <c r="AV14" s="68" t="n">
        <f aca="false">Model!AV54+Model!AV55+Model!AV56</f>
        <v>0</v>
      </c>
      <c r="AW14" s="68" t="n">
        <f aca="false">Model!AW54+Model!AW55+Model!AW56</f>
        <v>0</v>
      </c>
      <c r="AX14" s="68" t="n">
        <f aca="false">Model!AX54+Model!AX55+Model!AX56</f>
        <v>0</v>
      </c>
      <c r="AY14" s="68" t="n">
        <f aca="false">Model!AY54+Model!AY55+Model!AY56</f>
        <v>0</v>
      </c>
      <c r="AZ14" s="68" t="n">
        <f aca="false">Model!AZ54+Model!AZ55+Model!AZ56</f>
        <v>0</v>
      </c>
      <c r="BA14" s="68" t="n">
        <f aca="false">Model!BA54+Model!BA55+Model!BA56</f>
        <v>0</v>
      </c>
      <c r="BB14" s="68" t="n">
        <f aca="false">Model!BB54+Model!BB55+Model!BB56</f>
        <v>0</v>
      </c>
      <c r="BC14" s="68" t="n">
        <f aca="false">Model!BC54+Model!BC55+Model!BC56</f>
        <v>0</v>
      </c>
      <c r="BD14" s="68" t="n">
        <f aca="false">Model!BD54+Model!BD55+Model!BD56</f>
        <v>0</v>
      </c>
      <c r="BE14" s="68" t="n">
        <f aca="false">Model!BE54+Model!BE55+Model!BE56</f>
        <v>0</v>
      </c>
      <c r="BF14" s="68" t="n">
        <f aca="false">Model!BF54+Model!BF55+Model!BF56</f>
        <v>0</v>
      </c>
      <c r="BG14" s="68" t="n">
        <f aca="false">Model!BG54+Model!BG55+Model!BG56</f>
        <v>0</v>
      </c>
      <c r="BH14" s="68" t="n">
        <f aca="false">Model!BH54+Model!BH55+Model!BH56</f>
        <v>0</v>
      </c>
      <c r="BI14" s="68" t="n">
        <f aca="false">Model!BI54+Model!BI55+Model!BI56</f>
        <v>0</v>
      </c>
      <c r="BJ14" s="68" t="n">
        <f aca="false">Model!BJ54+Model!BJ55+Model!BJ56</f>
        <v>0</v>
      </c>
      <c r="BK14" s="68" t="n">
        <f aca="false">Model!BK54+Model!BK55+Model!BK56</f>
        <v>0</v>
      </c>
      <c r="BL14" s="68" t="n">
        <f aca="false">Model!BL54+Model!BL55+Model!BL56</f>
        <v>0</v>
      </c>
      <c r="BM14" s="68" t="n">
        <f aca="false">Model!BM54+Model!BM55+Model!BM56</f>
        <v>0</v>
      </c>
      <c r="BN14" s="68" t="n">
        <f aca="false">Model!BN54+Model!BN55+Model!BN56</f>
        <v>0</v>
      </c>
      <c r="BO14" s="68" t="n">
        <f aca="false">Model!BO54+Model!BO55+Model!BO56</f>
        <v>0</v>
      </c>
      <c r="BP14" s="68" t="n">
        <f aca="false">Model!BP54+Model!BP55+Model!BP56</f>
        <v>0</v>
      </c>
      <c r="BQ14" s="68" t="n">
        <f aca="false">Model!BQ54+Model!BQ55+Model!BQ56</f>
        <v>0</v>
      </c>
      <c r="BR14" s="68" t="n">
        <f aca="false">Model!BR54+Model!BR55+Model!BR56</f>
        <v>0</v>
      </c>
      <c r="BS14" s="68" t="n">
        <f aca="false">Model!BS54+Model!BS55+Model!BS56</f>
        <v>0</v>
      </c>
      <c r="BT14" s="68" t="n">
        <f aca="false">Model!BT54+Model!BT55+Model!BT56</f>
        <v>0</v>
      </c>
      <c r="BU14" s="68" t="n">
        <f aca="false">Model!BU54+Model!BU55+Model!BU56</f>
        <v>0</v>
      </c>
      <c r="BV14" s="68" t="n">
        <f aca="false">Model!BV54+Model!BV55+Model!BV56</f>
        <v>0</v>
      </c>
      <c r="BW14" s="68" t="n">
        <f aca="false">Model!BW54+Model!BW55+Model!BW56</f>
        <v>0</v>
      </c>
      <c r="BX14" s="68" t="n">
        <f aca="false">Model!BX54+Model!BX55+Model!BX56</f>
        <v>0</v>
      </c>
      <c r="BY14" s="68" t="n">
        <f aca="false">Model!BY54+Model!BY55+Model!BY56</f>
        <v>0</v>
      </c>
      <c r="BZ14" s="68" t="n">
        <f aca="false">Model!BZ54+Model!BZ55+Model!BZ56</f>
        <v>0</v>
      </c>
      <c r="CA14" s="68" t="n">
        <f aca="false">Model!CA54+Model!CA55+Model!CA56</f>
        <v>0</v>
      </c>
      <c r="CB14" s="68" t="n">
        <f aca="false">Model!CB54+Model!CB55+Model!CB56</f>
        <v>0</v>
      </c>
      <c r="CC14" s="68" t="n">
        <f aca="false">Model!CC54+Model!CC55+Model!CC56</f>
        <v>0</v>
      </c>
      <c r="CD14" s="68" t="n">
        <f aca="false">Model!CD54+Model!CD55+Model!CD56</f>
        <v>0</v>
      </c>
      <c r="CE14" s="68" t="n">
        <f aca="false">Model!CE54+Model!CE55+Model!CE56</f>
        <v>0</v>
      </c>
      <c r="CF14" s="68" t="n">
        <f aca="false">Model!CF54+Model!CF55+Model!CF56</f>
        <v>0</v>
      </c>
      <c r="CG14" s="68" t="n">
        <f aca="false">Model!CG54+Model!CG55+Model!CG56</f>
        <v>0</v>
      </c>
      <c r="CH14" s="68" t="n">
        <f aca="false">Model!CH54+Model!CH55+Model!CH56</f>
        <v>0</v>
      </c>
    </row>
    <row r="15" customFormat="false" ht="15" hidden="false" customHeight="true" outlineLevel="0" collapsed="false">
      <c r="A15" s="71" t="s">
        <v>214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211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0</v>
      </c>
      <c r="H16" s="69" t="n">
        <f aca="false">H14+H15</f>
        <v>0</v>
      </c>
      <c r="I16" s="69" t="n">
        <f aca="false">I14+I15</f>
        <v>0</v>
      </c>
      <c r="J16" s="69" t="n">
        <f aca="false">J14+J15</f>
        <v>0</v>
      </c>
      <c r="K16" s="69" t="n">
        <f aca="false">K14+K15</f>
        <v>0</v>
      </c>
      <c r="L16" s="69" t="n">
        <f aca="false">L14+L15</f>
        <v>0</v>
      </c>
      <c r="M16" s="69" t="n">
        <f aca="false">M14+M15</f>
        <v>0</v>
      </c>
      <c r="N16" s="69" t="n">
        <f aca="false">N14+N15</f>
        <v>0</v>
      </c>
      <c r="O16" s="69" t="n">
        <f aca="false">O14+O15</f>
        <v>0</v>
      </c>
      <c r="P16" s="69" t="n">
        <f aca="false">P14+P15</f>
        <v>0</v>
      </c>
      <c r="Q16" s="69" t="n">
        <f aca="false">Q14+Q15</f>
        <v>0</v>
      </c>
      <c r="R16" s="69" t="n">
        <f aca="false">R14+R15</f>
        <v>0</v>
      </c>
      <c r="S16" s="69" t="n">
        <f aca="false">S14+S15</f>
        <v>0</v>
      </c>
      <c r="T16" s="69" t="n">
        <f aca="false">T14+T15</f>
        <v>0</v>
      </c>
      <c r="U16" s="69" t="n">
        <f aca="false">U14+U15</f>
        <v>0</v>
      </c>
      <c r="V16" s="69" t="n">
        <f aca="false">V14+V15</f>
        <v>0</v>
      </c>
      <c r="W16" s="69" t="n">
        <f aca="false">W14+W15</f>
        <v>0</v>
      </c>
      <c r="X16" s="69" t="n">
        <f aca="false">X14+X15</f>
        <v>0</v>
      </c>
      <c r="Y16" s="69" t="n">
        <f aca="false">Y14+Y15</f>
        <v>0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212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0</v>
      </c>
      <c r="H17" s="70" t="n">
        <f aca="false">G17+H16</f>
        <v>0</v>
      </c>
      <c r="I17" s="70" t="n">
        <f aca="false">H17+I16</f>
        <v>0</v>
      </c>
      <c r="J17" s="70" t="n">
        <f aca="false">I17+J16</f>
        <v>0</v>
      </c>
      <c r="K17" s="70" t="n">
        <f aca="false">J17+K16</f>
        <v>0</v>
      </c>
      <c r="L17" s="70" t="n">
        <f aca="false">K17+L16</f>
        <v>0</v>
      </c>
      <c r="M17" s="70" t="n">
        <f aca="false">L17+M16</f>
        <v>0</v>
      </c>
      <c r="N17" s="70" t="n">
        <f aca="false">M17+N16</f>
        <v>0</v>
      </c>
      <c r="O17" s="70" t="n">
        <f aca="false">N17+O16</f>
        <v>0</v>
      </c>
      <c r="P17" s="70" t="n">
        <f aca="false">O17+P16</f>
        <v>0</v>
      </c>
      <c r="Q17" s="70" t="n">
        <f aca="false">P17+Q16</f>
        <v>0</v>
      </c>
      <c r="R17" s="70" t="n">
        <f aca="false">Q17+R16</f>
        <v>0</v>
      </c>
      <c r="S17" s="70" t="n">
        <f aca="false">R17+S16</f>
        <v>0</v>
      </c>
      <c r="T17" s="70" t="n">
        <f aca="false">S17+T16</f>
        <v>0</v>
      </c>
      <c r="U17" s="70" t="n">
        <f aca="false">T17+U16</f>
        <v>0</v>
      </c>
      <c r="V17" s="70" t="n">
        <f aca="false">U17+V16</f>
        <v>0</v>
      </c>
      <c r="W17" s="70" t="n">
        <f aca="false">V17+W16</f>
        <v>0</v>
      </c>
      <c r="X17" s="70" t="n">
        <f aca="false">W17+X16</f>
        <v>0</v>
      </c>
      <c r="Y17" s="70" t="n">
        <f aca="false">X17+Y16</f>
        <v>0</v>
      </c>
      <c r="Z17" s="70" t="n">
        <f aca="false">Y17+Z16</f>
        <v>0</v>
      </c>
      <c r="AA17" s="70" t="n">
        <f aca="false">Z17+AA16</f>
        <v>0</v>
      </c>
      <c r="AB17" s="70" t="n">
        <f aca="false">AA17+AB16</f>
        <v>0</v>
      </c>
      <c r="AC17" s="70" t="n">
        <f aca="false">AB17+AC16</f>
        <v>0</v>
      </c>
      <c r="AD17" s="70" t="n">
        <f aca="false">AC17+AD16</f>
        <v>0</v>
      </c>
      <c r="AE17" s="70" t="n">
        <f aca="false">AD17+AE16</f>
        <v>0</v>
      </c>
      <c r="AF17" s="70" t="n">
        <f aca="false">AE17+AF16</f>
        <v>0</v>
      </c>
      <c r="AG17" s="70" t="n">
        <f aca="false">AF17+AG16</f>
        <v>0</v>
      </c>
      <c r="AH17" s="70" t="n">
        <f aca="false">AG17+AH16</f>
        <v>0</v>
      </c>
      <c r="AI17" s="70" t="n">
        <f aca="false">AH17+AI16</f>
        <v>0</v>
      </c>
      <c r="AJ17" s="70" t="n">
        <f aca="false">AI17+AJ16</f>
        <v>0</v>
      </c>
      <c r="AK17" s="70" t="n">
        <f aca="false">AJ17+AK16</f>
        <v>0</v>
      </c>
      <c r="AL17" s="70" t="n">
        <f aca="false">AK17+AL16</f>
        <v>0</v>
      </c>
      <c r="AM17" s="70" t="n">
        <f aca="false">AL17+AM16</f>
        <v>0</v>
      </c>
      <c r="AN17" s="70" t="n">
        <f aca="false">AM17+AN16</f>
        <v>0</v>
      </c>
      <c r="AO17" s="70" t="n">
        <f aca="false">AN17+AO16</f>
        <v>0</v>
      </c>
      <c r="AP17" s="70" t="n">
        <f aca="false">AO17+AP16</f>
        <v>0</v>
      </c>
      <c r="AQ17" s="70" t="n">
        <f aca="false">AP17+AQ16</f>
        <v>0</v>
      </c>
      <c r="AR17" s="70" t="n">
        <f aca="false">AQ17+AR16</f>
        <v>0</v>
      </c>
      <c r="AS17" s="70" t="n">
        <f aca="false">AR17+AS16</f>
        <v>0</v>
      </c>
      <c r="AT17" s="70" t="n">
        <f aca="false">AS17+AT16</f>
        <v>0</v>
      </c>
      <c r="AU17" s="70" t="n">
        <f aca="false">AT17+AU16</f>
        <v>0</v>
      </c>
      <c r="AV17" s="70" t="n">
        <f aca="false">AU17+AV16</f>
        <v>0</v>
      </c>
      <c r="AW17" s="70" t="n">
        <f aca="false">AV17+AW16</f>
        <v>0</v>
      </c>
      <c r="AX17" s="70" t="n">
        <f aca="false">AW17+AX16</f>
        <v>0</v>
      </c>
      <c r="AY17" s="70" t="n">
        <f aca="false">AX17+AY16</f>
        <v>0</v>
      </c>
      <c r="AZ17" s="70" t="n">
        <f aca="false">AY17+AZ16</f>
        <v>0</v>
      </c>
      <c r="BA17" s="70" t="n">
        <f aca="false">AZ17+BA16</f>
        <v>0</v>
      </c>
      <c r="BB17" s="70" t="n">
        <f aca="false">BA17+BB16</f>
        <v>0</v>
      </c>
      <c r="BC17" s="70" t="n">
        <f aca="false">BB17+BC16</f>
        <v>0</v>
      </c>
      <c r="BD17" s="70" t="n">
        <f aca="false">BC17+BD16</f>
        <v>0</v>
      </c>
      <c r="BE17" s="70" t="n">
        <f aca="false">BD17+BE16</f>
        <v>0</v>
      </c>
      <c r="BF17" s="70" t="n">
        <f aca="false">BE17+BF16</f>
        <v>0</v>
      </c>
      <c r="BG17" s="70" t="n">
        <f aca="false">BF17+BG16</f>
        <v>0</v>
      </c>
      <c r="BH17" s="70" t="n">
        <f aca="false">BG17+BH16</f>
        <v>0</v>
      </c>
      <c r="BI17" s="70" t="n">
        <f aca="false">BH17+BI16</f>
        <v>0</v>
      </c>
      <c r="BJ17" s="70" t="n">
        <f aca="false">BI17+BJ16</f>
        <v>0</v>
      </c>
      <c r="BK17" s="70" t="n">
        <f aca="false">BJ17+BK16</f>
        <v>0</v>
      </c>
      <c r="BL17" s="70" t="n">
        <f aca="false">BK17+BL16</f>
        <v>0</v>
      </c>
      <c r="BM17" s="70" t="n">
        <f aca="false">BL17+BM16</f>
        <v>0</v>
      </c>
      <c r="BN17" s="70" t="n">
        <f aca="false">BM17+BN16</f>
        <v>0</v>
      </c>
      <c r="BO17" s="70" t="n">
        <f aca="false">BN17+BO16</f>
        <v>0</v>
      </c>
      <c r="BP17" s="70" t="n">
        <f aca="false">BO17+BP16</f>
        <v>0</v>
      </c>
      <c r="BQ17" s="70" t="n">
        <f aca="false">BP17+BQ16</f>
        <v>0</v>
      </c>
      <c r="BR17" s="70" t="n">
        <f aca="false">BQ17+BR16</f>
        <v>0</v>
      </c>
      <c r="BS17" s="70" t="n">
        <f aca="false">BR17+BS16</f>
        <v>0</v>
      </c>
      <c r="BT17" s="70" t="n">
        <f aca="false">BS17+BT16</f>
        <v>0</v>
      </c>
      <c r="BU17" s="70" t="n">
        <f aca="false">BT17+BU16</f>
        <v>0</v>
      </c>
      <c r="BV17" s="70" t="n">
        <f aca="false">BU17+BV16</f>
        <v>0</v>
      </c>
      <c r="BW17" s="70" t="n">
        <f aca="false">BV17+BW16</f>
        <v>0</v>
      </c>
      <c r="BX17" s="70" t="n">
        <f aca="false">BW17+BX16</f>
        <v>0</v>
      </c>
      <c r="BY17" s="70" t="n">
        <f aca="false">BX17+BY16</f>
        <v>0</v>
      </c>
      <c r="BZ17" s="70" t="n">
        <f aca="false">BY17+BZ16</f>
        <v>0</v>
      </c>
      <c r="CA17" s="70" t="n">
        <f aca="false">BZ17+CA16</f>
        <v>0</v>
      </c>
      <c r="CB17" s="70" t="n">
        <f aca="false">CA17+CB16</f>
        <v>0</v>
      </c>
      <c r="CC17" s="70" t="n">
        <f aca="false">CB17+CC16</f>
        <v>0</v>
      </c>
      <c r="CD17" s="70" t="n">
        <f aca="false">CC17+CD16</f>
        <v>0</v>
      </c>
      <c r="CE17" s="70" t="n">
        <f aca="false">CD17+CE16</f>
        <v>0</v>
      </c>
      <c r="CF17" s="70" t="n">
        <f aca="false">CE17+CF16</f>
        <v>0</v>
      </c>
      <c r="CG17" s="70" t="n">
        <f aca="false">CF17+CG16</f>
        <v>0</v>
      </c>
      <c r="CH17" s="7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210</v>
      </c>
      <c r="B20" s="3"/>
      <c r="C20" s="68" t="n">
        <f aca="false">Model!C57+Model!C58+Model!C59</f>
        <v>0</v>
      </c>
      <c r="D20" s="68" t="n">
        <f aca="false">Model!D57+Model!D58+Model!D59</f>
        <v>0</v>
      </c>
      <c r="E20" s="68" t="n">
        <f aca="false">Model!E57+Model!E58+Model!E59</f>
        <v>0</v>
      </c>
      <c r="F20" s="68" t="n">
        <f aca="false">Model!F57+Model!F58+Model!F59</f>
        <v>0</v>
      </c>
      <c r="G20" s="68" t="n">
        <f aca="false">Model!G57+Model!G58+Model!G59</f>
        <v>0</v>
      </c>
      <c r="H20" s="68" t="n">
        <f aca="false">Model!H57+Model!H58+Model!H59</f>
        <v>0</v>
      </c>
      <c r="I20" s="68" t="n">
        <f aca="false">Model!I57+Model!I58+Model!I59</f>
        <v>0</v>
      </c>
      <c r="J20" s="68" t="n">
        <f aca="false">Model!J57+Model!J58+Model!J59</f>
        <v>0</v>
      </c>
      <c r="K20" s="68" t="n">
        <f aca="false">Model!K57+Model!K58+Model!K59</f>
        <v>0</v>
      </c>
      <c r="L20" s="68" t="n">
        <f aca="false">Model!L57+Model!L58+Model!L59</f>
        <v>0</v>
      </c>
      <c r="M20" s="68" t="n">
        <f aca="false">Model!M57+Model!M58+Model!M59</f>
        <v>0</v>
      </c>
      <c r="N20" s="68" t="n">
        <f aca="false">Model!N57+Model!N58+Model!N59</f>
        <v>0</v>
      </c>
      <c r="O20" s="68" t="n">
        <f aca="false">Model!O57+Model!O58+Model!O59</f>
        <v>0</v>
      </c>
      <c r="P20" s="68" t="n">
        <f aca="false">Model!P57+Model!P58+Model!P59</f>
        <v>0</v>
      </c>
      <c r="Q20" s="68" t="n">
        <f aca="false">Model!Q57+Model!Q58+Model!Q59</f>
        <v>0</v>
      </c>
      <c r="R20" s="68" t="n">
        <f aca="false">Model!R57+Model!R58+Model!R59</f>
        <v>0</v>
      </c>
      <c r="S20" s="68" t="n">
        <f aca="false">Model!S57+Model!S58+Model!S59</f>
        <v>0</v>
      </c>
      <c r="T20" s="68" t="n">
        <f aca="false">Model!T57+Model!T58+Model!T59</f>
        <v>0</v>
      </c>
      <c r="U20" s="68" t="n">
        <f aca="false">Model!U57+Model!U58+Model!U59</f>
        <v>0</v>
      </c>
      <c r="V20" s="68" t="n">
        <f aca="false">Model!V57+Model!V58+Model!V59</f>
        <v>0</v>
      </c>
      <c r="W20" s="68" t="n">
        <f aca="false">Model!W57+Model!W58+Model!W59</f>
        <v>0</v>
      </c>
      <c r="X20" s="68" t="n">
        <f aca="false">Model!X57+Model!X58+Model!X59</f>
        <v>0</v>
      </c>
      <c r="Y20" s="68" t="n">
        <f aca="false">Model!Y57+Model!Y58+Model!Y59</f>
        <v>0</v>
      </c>
      <c r="Z20" s="68" t="n">
        <f aca="false">Model!Z57+Model!Z58+Model!Z59</f>
        <v>0</v>
      </c>
      <c r="AA20" s="68" t="n">
        <f aca="false">Model!AA57+Model!AA58+Model!AA59</f>
        <v>0</v>
      </c>
      <c r="AB20" s="68" t="n">
        <f aca="false">Model!AB57+Model!AB58+Model!AB59</f>
        <v>0</v>
      </c>
      <c r="AC20" s="68" t="n">
        <f aca="false">Model!AC57+Model!AC58+Model!AC59</f>
        <v>0</v>
      </c>
      <c r="AD20" s="68" t="n">
        <f aca="false">Model!AD57+Model!AD58+Model!AD59</f>
        <v>0</v>
      </c>
      <c r="AE20" s="68" t="n">
        <f aca="false">Model!AE57+Model!AE58+Model!AE59</f>
        <v>0</v>
      </c>
      <c r="AF20" s="68" t="n">
        <f aca="false">Model!AF57+Model!AF58+Model!AF59</f>
        <v>0</v>
      </c>
      <c r="AG20" s="68" t="n">
        <f aca="false">Model!AG57+Model!AG58+Model!AG59</f>
        <v>0</v>
      </c>
      <c r="AH20" s="68" t="n">
        <f aca="false">Model!AH57+Model!AH58+Model!AH59</f>
        <v>0</v>
      </c>
      <c r="AI20" s="68" t="n">
        <f aca="false">Model!AI57+Model!AI58+Model!AI59</f>
        <v>0</v>
      </c>
      <c r="AJ20" s="68" t="n">
        <f aca="false">Model!AJ57+Model!AJ58+Model!AJ59</f>
        <v>0</v>
      </c>
      <c r="AK20" s="68" t="n">
        <f aca="false">Model!AK57+Model!AK58+Model!AK59</f>
        <v>0</v>
      </c>
      <c r="AL20" s="68" t="n">
        <f aca="false">Model!AL57+Model!AL58+Model!AL59</f>
        <v>0</v>
      </c>
      <c r="AM20" s="68" t="n">
        <f aca="false">Model!AM57+Model!AM58+Model!AM59</f>
        <v>0</v>
      </c>
      <c r="AN20" s="68" t="n">
        <f aca="false">Model!AN57+Model!AN58+Model!AN59</f>
        <v>0</v>
      </c>
      <c r="AO20" s="68" t="n">
        <f aca="false">Model!AO57+Model!AO58+Model!AO59</f>
        <v>0</v>
      </c>
      <c r="AP20" s="68" t="n">
        <f aca="false">Model!AP57+Model!AP58+Model!AP59</f>
        <v>0</v>
      </c>
      <c r="AQ20" s="68" t="n">
        <f aca="false">Model!AQ57+Model!AQ58+Model!AQ59</f>
        <v>0</v>
      </c>
      <c r="AR20" s="68" t="n">
        <f aca="false">Model!AR57+Model!AR58+Model!AR59</f>
        <v>0</v>
      </c>
      <c r="AS20" s="68" t="n">
        <f aca="false">Model!AS57+Model!AS58+Model!AS59</f>
        <v>0</v>
      </c>
      <c r="AT20" s="68" t="n">
        <f aca="false">Model!AT57+Model!AT58+Model!AT59</f>
        <v>0</v>
      </c>
      <c r="AU20" s="68" t="n">
        <f aca="false">Model!AU57+Model!AU58+Model!AU59</f>
        <v>0</v>
      </c>
      <c r="AV20" s="68" t="n">
        <f aca="false">Model!AV57+Model!AV58+Model!AV59</f>
        <v>0</v>
      </c>
      <c r="AW20" s="68" t="n">
        <f aca="false">Model!AW57+Model!AW58+Model!AW59</f>
        <v>0</v>
      </c>
      <c r="AX20" s="68" t="n">
        <f aca="false">Model!AX57+Model!AX58+Model!AX59</f>
        <v>0</v>
      </c>
      <c r="AY20" s="68" t="n">
        <f aca="false">Model!AY57+Model!AY58+Model!AY59</f>
        <v>0</v>
      </c>
      <c r="AZ20" s="68" t="n">
        <f aca="false">Model!AZ57+Model!AZ58+Model!AZ59</f>
        <v>0</v>
      </c>
      <c r="BA20" s="68" t="n">
        <f aca="false">Model!BA57+Model!BA58+Model!BA59</f>
        <v>0</v>
      </c>
      <c r="BB20" s="68" t="n">
        <f aca="false">Model!BB57+Model!BB58+Model!BB59</f>
        <v>0</v>
      </c>
      <c r="BC20" s="68" t="n">
        <f aca="false">Model!BC57+Model!BC58+Model!BC59</f>
        <v>0</v>
      </c>
      <c r="BD20" s="68" t="n">
        <f aca="false">Model!BD57+Model!BD58+Model!BD59</f>
        <v>0</v>
      </c>
      <c r="BE20" s="68" t="n">
        <f aca="false">Model!BE57+Model!BE58+Model!BE59</f>
        <v>0</v>
      </c>
      <c r="BF20" s="68" t="n">
        <f aca="false">Model!BF57+Model!BF58+Model!BF59</f>
        <v>0</v>
      </c>
      <c r="BG20" s="68" t="n">
        <f aca="false">Model!BG57+Model!BG58+Model!BG59</f>
        <v>0</v>
      </c>
      <c r="BH20" s="68" t="n">
        <f aca="false">Model!BH57+Model!BH58+Model!BH59</f>
        <v>0</v>
      </c>
      <c r="BI20" s="68" t="n">
        <f aca="false">Model!BI57+Model!BI58+Model!BI59</f>
        <v>0</v>
      </c>
      <c r="BJ20" s="68" t="n">
        <f aca="false">Model!BJ57+Model!BJ58+Model!BJ59</f>
        <v>0</v>
      </c>
      <c r="BK20" s="68" t="n">
        <f aca="false">Model!BK57+Model!BK58+Model!BK59</f>
        <v>0</v>
      </c>
      <c r="BL20" s="68" t="n">
        <f aca="false">Model!BL57+Model!BL58+Model!BL59</f>
        <v>0</v>
      </c>
      <c r="BM20" s="68" t="n">
        <f aca="false">Model!BM57+Model!BM58+Model!BM59</f>
        <v>0</v>
      </c>
      <c r="BN20" s="68" t="n">
        <f aca="false">Model!BN57+Model!BN58+Model!BN59</f>
        <v>0</v>
      </c>
      <c r="BO20" s="68" t="n">
        <f aca="false">Model!BO57+Model!BO58+Model!BO59</f>
        <v>0</v>
      </c>
      <c r="BP20" s="68" t="n">
        <f aca="false">Model!BP57+Model!BP58+Model!BP59</f>
        <v>0</v>
      </c>
      <c r="BQ20" s="68" t="n">
        <f aca="false">Model!BQ57+Model!BQ58+Model!BQ59</f>
        <v>0</v>
      </c>
      <c r="BR20" s="68" t="n">
        <f aca="false">Model!BR57+Model!BR58+Model!BR59</f>
        <v>0</v>
      </c>
      <c r="BS20" s="68" t="n">
        <f aca="false">Model!BS57+Model!BS58+Model!BS59</f>
        <v>0</v>
      </c>
      <c r="BT20" s="68" t="n">
        <f aca="false">Model!BT57+Model!BT58+Model!BT59</f>
        <v>0</v>
      </c>
      <c r="BU20" s="68" t="n">
        <f aca="false">Model!BU57+Model!BU58+Model!BU59</f>
        <v>0</v>
      </c>
      <c r="BV20" s="68" t="n">
        <f aca="false">Model!BV57+Model!BV58+Model!BV59</f>
        <v>0</v>
      </c>
      <c r="BW20" s="68" t="n">
        <f aca="false">Model!BW57+Model!BW58+Model!BW59</f>
        <v>0</v>
      </c>
      <c r="BX20" s="68" t="n">
        <f aca="false">Model!BX57+Model!BX58+Model!BX59</f>
        <v>0</v>
      </c>
      <c r="BY20" s="68" t="n">
        <f aca="false">Model!BY57+Model!BY58+Model!BY59</f>
        <v>0</v>
      </c>
      <c r="BZ20" s="68" t="n">
        <f aca="false">Model!BZ57+Model!BZ58+Model!BZ59</f>
        <v>0</v>
      </c>
      <c r="CA20" s="68" t="n">
        <f aca="false">Model!CA57+Model!CA58+Model!CA59</f>
        <v>0</v>
      </c>
      <c r="CB20" s="68" t="n">
        <f aca="false">Model!CB57+Model!CB58+Model!CB59</f>
        <v>0</v>
      </c>
      <c r="CC20" s="68" t="n">
        <f aca="false">Model!CC57+Model!CC58+Model!CC59</f>
        <v>0</v>
      </c>
      <c r="CD20" s="68" t="n">
        <f aca="false">Model!CD57+Model!CD58+Model!CD59</f>
        <v>0</v>
      </c>
      <c r="CE20" s="68" t="n">
        <f aca="false">Model!CE57+Model!CE58+Model!CE59</f>
        <v>0</v>
      </c>
      <c r="CF20" s="68" t="n">
        <f aca="false">Model!CF57+Model!CF58+Model!CF59</f>
        <v>0</v>
      </c>
      <c r="CG20" s="68" t="n">
        <f aca="false">Model!CG57+Model!CG58+Model!CG59</f>
        <v>0</v>
      </c>
      <c r="CH20" s="68" t="n">
        <f aca="false">Model!CH57+Model!CH58+Model!CH59</f>
        <v>0</v>
      </c>
    </row>
    <row r="21" customFormat="false" ht="15" hidden="false" customHeight="true" outlineLevel="0" collapsed="false">
      <c r="A21" s="71" t="s">
        <v>214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0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211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0</v>
      </c>
      <c r="I22" s="69" t="n">
        <f aca="false">I20+I21</f>
        <v>0</v>
      </c>
      <c r="J22" s="69" t="n">
        <f aca="false">J20+J21</f>
        <v>0</v>
      </c>
      <c r="K22" s="69" t="n">
        <f aca="false">K20+K21</f>
        <v>0</v>
      </c>
      <c r="L22" s="69" t="n">
        <f aca="false">L20+L21</f>
        <v>0</v>
      </c>
      <c r="M22" s="69" t="n">
        <f aca="false">M20+M21</f>
        <v>0</v>
      </c>
      <c r="N22" s="69" t="n">
        <f aca="false">N20+N21</f>
        <v>0</v>
      </c>
      <c r="O22" s="69" t="n">
        <f aca="false">O20+O21</f>
        <v>0</v>
      </c>
      <c r="P22" s="69" t="n">
        <f aca="false">P20+P21</f>
        <v>0</v>
      </c>
      <c r="Q22" s="69" t="n">
        <f aca="false">Q20+Q21</f>
        <v>0</v>
      </c>
      <c r="R22" s="69" t="n">
        <f aca="false">R20+R21</f>
        <v>0</v>
      </c>
      <c r="S22" s="69" t="n">
        <f aca="false">S20+S21</f>
        <v>0</v>
      </c>
      <c r="T22" s="69" t="n">
        <f aca="false">T20+T21</f>
        <v>0</v>
      </c>
      <c r="U22" s="69" t="n">
        <f aca="false">U20+U21</f>
        <v>0</v>
      </c>
      <c r="V22" s="69" t="n">
        <f aca="false">V20+V21</f>
        <v>0</v>
      </c>
      <c r="W22" s="69" t="n">
        <f aca="false">W20+W21</f>
        <v>0</v>
      </c>
      <c r="X22" s="69" t="n">
        <f aca="false">X20+X21</f>
        <v>0</v>
      </c>
      <c r="Y22" s="69" t="n">
        <f aca="false">Y20+Y21</f>
        <v>0</v>
      </c>
      <c r="Z22" s="69" t="n">
        <f aca="false">Z20+Z21</f>
        <v>0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212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0</v>
      </c>
      <c r="I23" s="70" t="n">
        <f aca="false">H23+I22</f>
        <v>0</v>
      </c>
      <c r="J23" s="70" t="n">
        <f aca="false">I23+J22</f>
        <v>0</v>
      </c>
      <c r="K23" s="70" t="n">
        <f aca="false">J23+K22</f>
        <v>0</v>
      </c>
      <c r="L23" s="70" t="n">
        <f aca="false">K23+L22</f>
        <v>0</v>
      </c>
      <c r="M23" s="70" t="n">
        <f aca="false">L23+M22</f>
        <v>0</v>
      </c>
      <c r="N23" s="70" t="n">
        <f aca="false">M23+N22</f>
        <v>0</v>
      </c>
      <c r="O23" s="70" t="n">
        <f aca="false">N23+O22</f>
        <v>0</v>
      </c>
      <c r="P23" s="70" t="n">
        <f aca="false">O23+P22</f>
        <v>0</v>
      </c>
      <c r="Q23" s="70" t="n">
        <f aca="false">P23+Q22</f>
        <v>0</v>
      </c>
      <c r="R23" s="70" t="n">
        <f aca="false">Q23+R22</f>
        <v>0</v>
      </c>
      <c r="S23" s="70" t="n">
        <f aca="false">R23+S22</f>
        <v>0</v>
      </c>
      <c r="T23" s="70" t="n">
        <f aca="false">S23+T22</f>
        <v>0</v>
      </c>
      <c r="U23" s="70" t="n">
        <f aca="false">T23+U22</f>
        <v>0</v>
      </c>
      <c r="V23" s="70" t="n">
        <f aca="false">U23+V22</f>
        <v>0</v>
      </c>
      <c r="W23" s="70" t="n">
        <f aca="false">V23+W22</f>
        <v>0</v>
      </c>
      <c r="X23" s="70" t="n">
        <f aca="false">W23+X22</f>
        <v>0</v>
      </c>
      <c r="Y23" s="70" t="n">
        <f aca="false">X23+Y22</f>
        <v>0</v>
      </c>
      <c r="Z23" s="70" t="n">
        <f aca="false">Y23+Z22</f>
        <v>0</v>
      </c>
      <c r="AA23" s="70" t="n">
        <f aca="false">Z23+AA22</f>
        <v>0</v>
      </c>
      <c r="AB23" s="70" t="n">
        <f aca="false">AA23+AB22</f>
        <v>0</v>
      </c>
      <c r="AC23" s="70" t="n">
        <f aca="false">AB23+AC22</f>
        <v>0</v>
      </c>
      <c r="AD23" s="70" t="n">
        <f aca="false">AC23+AD22</f>
        <v>0</v>
      </c>
      <c r="AE23" s="70" t="n">
        <f aca="false">AD23+AE22</f>
        <v>0</v>
      </c>
      <c r="AF23" s="70" t="n">
        <f aca="false">AE23+AF22</f>
        <v>0</v>
      </c>
      <c r="AG23" s="70" t="n">
        <f aca="false">AF23+AG22</f>
        <v>0</v>
      </c>
      <c r="AH23" s="70" t="n">
        <f aca="false">AG23+AH22</f>
        <v>0</v>
      </c>
      <c r="AI23" s="70" t="n">
        <f aca="false">AH23+AI22</f>
        <v>0</v>
      </c>
      <c r="AJ23" s="70" t="n">
        <f aca="false">AI23+AJ22</f>
        <v>0</v>
      </c>
      <c r="AK23" s="70" t="n">
        <f aca="false">AJ23+AK22</f>
        <v>0</v>
      </c>
      <c r="AL23" s="70" t="n">
        <f aca="false">AK23+AL22</f>
        <v>0</v>
      </c>
      <c r="AM23" s="70" t="n">
        <f aca="false">AL23+AM22</f>
        <v>0</v>
      </c>
      <c r="AN23" s="70" t="n">
        <f aca="false">AM23+AN22</f>
        <v>0</v>
      </c>
      <c r="AO23" s="70" t="n">
        <f aca="false">AN23+AO22</f>
        <v>0</v>
      </c>
      <c r="AP23" s="70" t="n">
        <f aca="false">AO23+AP22</f>
        <v>0</v>
      </c>
      <c r="AQ23" s="70" t="n">
        <f aca="false">AP23+AQ22</f>
        <v>0</v>
      </c>
      <c r="AR23" s="70" t="n">
        <f aca="false">AQ23+AR22</f>
        <v>0</v>
      </c>
      <c r="AS23" s="70" t="n">
        <f aca="false">AR23+AS22</f>
        <v>0</v>
      </c>
      <c r="AT23" s="70" t="n">
        <f aca="false">AS23+AT22</f>
        <v>0</v>
      </c>
      <c r="AU23" s="70" t="n">
        <f aca="false">AT23+AU22</f>
        <v>0</v>
      </c>
      <c r="AV23" s="70" t="n">
        <f aca="false">AU23+AV22</f>
        <v>0</v>
      </c>
      <c r="AW23" s="70" t="n">
        <f aca="false">AV23+AW22</f>
        <v>0</v>
      </c>
      <c r="AX23" s="70" t="n">
        <f aca="false">AW23+AX22</f>
        <v>0</v>
      </c>
      <c r="AY23" s="70" t="n">
        <f aca="false">AX23+AY22</f>
        <v>0</v>
      </c>
      <c r="AZ23" s="70" t="n">
        <f aca="false">AY23+AZ22</f>
        <v>0</v>
      </c>
      <c r="BA23" s="70" t="n">
        <f aca="false">AZ23+BA22</f>
        <v>0</v>
      </c>
      <c r="BB23" s="70" t="n">
        <f aca="false">BA23+BB22</f>
        <v>0</v>
      </c>
      <c r="BC23" s="70" t="n">
        <f aca="false">BB23+BC22</f>
        <v>0</v>
      </c>
      <c r="BD23" s="70" t="n">
        <f aca="false">BC23+BD22</f>
        <v>0</v>
      </c>
      <c r="BE23" s="70" t="n">
        <f aca="false">BD23+BE22</f>
        <v>0</v>
      </c>
      <c r="BF23" s="70" t="n">
        <f aca="false">BE23+BF22</f>
        <v>0</v>
      </c>
      <c r="BG23" s="70" t="n">
        <f aca="false">BF23+BG22</f>
        <v>0</v>
      </c>
      <c r="BH23" s="70" t="n">
        <f aca="false">BG23+BH22</f>
        <v>0</v>
      </c>
      <c r="BI23" s="70" t="n">
        <f aca="false">BH23+BI22</f>
        <v>0</v>
      </c>
      <c r="BJ23" s="70" t="n">
        <f aca="false">BI23+BJ22</f>
        <v>0</v>
      </c>
      <c r="BK23" s="70" t="n">
        <f aca="false">BJ23+BK22</f>
        <v>0</v>
      </c>
      <c r="BL23" s="70" t="n">
        <f aca="false">BK23+BL22</f>
        <v>0</v>
      </c>
      <c r="BM23" s="70" t="n">
        <f aca="false">BL23+BM22</f>
        <v>0</v>
      </c>
      <c r="BN23" s="70" t="n">
        <f aca="false">BM23+BN22</f>
        <v>0</v>
      </c>
      <c r="BO23" s="70" t="n">
        <f aca="false">BN23+BO22</f>
        <v>0</v>
      </c>
      <c r="BP23" s="70" t="n">
        <f aca="false">BO23+BP22</f>
        <v>0</v>
      </c>
      <c r="BQ23" s="70" t="n">
        <f aca="false">BP23+BQ22</f>
        <v>0</v>
      </c>
      <c r="BR23" s="70" t="n">
        <f aca="false">BQ23+BR22</f>
        <v>0</v>
      </c>
      <c r="BS23" s="70" t="n">
        <f aca="false">BR23+BS22</f>
        <v>0</v>
      </c>
      <c r="BT23" s="70" t="n">
        <f aca="false">BS23+BT22</f>
        <v>0</v>
      </c>
      <c r="BU23" s="70" t="n">
        <f aca="false">BT23+BU22</f>
        <v>0</v>
      </c>
      <c r="BV23" s="70" t="n">
        <f aca="false">BU23+BV22</f>
        <v>0</v>
      </c>
      <c r="BW23" s="70" t="n">
        <f aca="false">BV23+BW22</f>
        <v>0</v>
      </c>
      <c r="BX23" s="70" t="n">
        <f aca="false">BW23+BX22</f>
        <v>0</v>
      </c>
      <c r="BY23" s="70" t="n">
        <f aca="false">BX23+BY22</f>
        <v>0</v>
      </c>
      <c r="BZ23" s="70" t="n">
        <f aca="false">BY23+BZ22</f>
        <v>0</v>
      </c>
      <c r="CA23" s="70" t="n">
        <f aca="false">BZ23+CA22</f>
        <v>0</v>
      </c>
      <c r="CB23" s="70" t="n">
        <f aca="false">CA23+CB22</f>
        <v>0</v>
      </c>
      <c r="CC23" s="70" t="n">
        <f aca="false">CB23+CC22</f>
        <v>0</v>
      </c>
      <c r="CD23" s="70" t="n">
        <f aca="false">CC23+CD22</f>
        <v>0</v>
      </c>
      <c r="CE23" s="70" t="n">
        <f aca="false">CD23+CE22</f>
        <v>0</v>
      </c>
      <c r="CF23" s="70" t="n">
        <f aca="false">CE23+CF22</f>
        <v>0</v>
      </c>
      <c r="CG23" s="70" t="n">
        <f aca="false">CF23+CG22</f>
        <v>0</v>
      </c>
      <c r="CH23" s="7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210</v>
      </c>
      <c r="B26" s="3"/>
      <c r="C26" s="68" t="n">
        <f aca="false">Model!C60</f>
        <v>0</v>
      </c>
      <c r="D26" s="68" t="n">
        <f aca="false">Model!D60</f>
        <v>0</v>
      </c>
      <c r="E26" s="68" t="n">
        <f aca="false">Model!E60</f>
        <v>0</v>
      </c>
      <c r="F26" s="68" t="n">
        <f aca="false">Model!F60</f>
        <v>0</v>
      </c>
      <c r="G26" s="68" t="n">
        <f aca="false">Model!G60</f>
        <v>0</v>
      </c>
      <c r="H26" s="68" t="n">
        <f aca="false">Model!H60</f>
        <v>0</v>
      </c>
      <c r="I26" s="68" t="n">
        <f aca="false">Model!I60</f>
        <v>0</v>
      </c>
      <c r="J26" s="68" t="n">
        <f aca="false">Model!J60</f>
        <v>0</v>
      </c>
      <c r="K26" s="68" t="n">
        <f aca="false">Model!K60</f>
        <v>0</v>
      </c>
      <c r="L26" s="68" t="n">
        <f aca="false">Model!L60</f>
        <v>0</v>
      </c>
      <c r="M26" s="68" t="n">
        <f aca="false">Model!M60</f>
        <v>0</v>
      </c>
      <c r="N26" s="68" t="n">
        <f aca="false">Model!N60</f>
        <v>0</v>
      </c>
      <c r="O26" s="68" t="n">
        <f aca="false">Model!O60</f>
        <v>0</v>
      </c>
      <c r="P26" s="68" t="n">
        <f aca="false">Model!P60</f>
        <v>0</v>
      </c>
      <c r="Q26" s="68" t="n">
        <f aca="false">Model!Q60</f>
        <v>0</v>
      </c>
      <c r="R26" s="68" t="n">
        <f aca="false">Model!R60</f>
        <v>0</v>
      </c>
      <c r="S26" s="68" t="n">
        <f aca="false">Model!S60</f>
        <v>0</v>
      </c>
      <c r="T26" s="68" t="n">
        <f aca="false">Model!T60</f>
        <v>0</v>
      </c>
      <c r="U26" s="68" t="n">
        <f aca="false">Model!U60</f>
        <v>0</v>
      </c>
      <c r="V26" s="68" t="n">
        <f aca="false">Model!V60</f>
        <v>0</v>
      </c>
      <c r="W26" s="68" t="n">
        <f aca="false">Model!W60</f>
        <v>0</v>
      </c>
      <c r="X26" s="68" t="n">
        <f aca="false">Model!X60</f>
        <v>0</v>
      </c>
      <c r="Y26" s="68" t="n">
        <f aca="false">Model!Y60</f>
        <v>0</v>
      </c>
      <c r="Z26" s="68" t="n">
        <f aca="false">Model!Z60</f>
        <v>0</v>
      </c>
      <c r="AA26" s="68" t="n">
        <f aca="false">Model!AA60</f>
        <v>0</v>
      </c>
      <c r="AB26" s="68" t="n">
        <f aca="false">Model!AB60</f>
        <v>0</v>
      </c>
      <c r="AC26" s="68" t="n">
        <f aca="false">Model!AC60</f>
        <v>0</v>
      </c>
      <c r="AD26" s="68" t="n">
        <f aca="false">Model!AD60</f>
        <v>0</v>
      </c>
      <c r="AE26" s="68" t="n">
        <f aca="false">Model!AE60</f>
        <v>0</v>
      </c>
      <c r="AF26" s="68" t="n">
        <f aca="false">Model!AF60</f>
        <v>0</v>
      </c>
      <c r="AG26" s="68" t="n">
        <f aca="false">Model!AG60</f>
        <v>0</v>
      </c>
      <c r="AH26" s="68" t="n">
        <f aca="false">Model!AH60</f>
        <v>0</v>
      </c>
      <c r="AI26" s="68" t="n">
        <f aca="false">Model!AI60</f>
        <v>0</v>
      </c>
      <c r="AJ26" s="68" t="n">
        <f aca="false">Model!AJ60</f>
        <v>0</v>
      </c>
      <c r="AK26" s="68" t="n">
        <f aca="false">Model!AK60</f>
        <v>0</v>
      </c>
      <c r="AL26" s="68" t="n">
        <f aca="false">Model!AL60</f>
        <v>0</v>
      </c>
      <c r="AM26" s="68" t="n">
        <f aca="false">Model!AM60</f>
        <v>0</v>
      </c>
      <c r="AN26" s="68" t="n">
        <f aca="false">Model!AN60</f>
        <v>0</v>
      </c>
      <c r="AO26" s="68" t="n">
        <f aca="false">Model!AO60</f>
        <v>0</v>
      </c>
      <c r="AP26" s="68" t="n">
        <f aca="false">Model!AP60</f>
        <v>0</v>
      </c>
      <c r="AQ26" s="68" t="n">
        <f aca="false">Model!AQ60</f>
        <v>0</v>
      </c>
      <c r="AR26" s="68" t="n">
        <f aca="false">Model!AR60</f>
        <v>81683</v>
      </c>
      <c r="AS26" s="68" t="n">
        <f aca="false">Model!AS60</f>
        <v>0</v>
      </c>
      <c r="AT26" s="68" t="n">
        <f aca="false">Model!AT60</f>
        <v>0</v>
      </c>
      <c r="AU26" s="68" t="n">
        <f aca="false">Model!AU60</f>
        <v>81682</v>
      </c>
      <c r="AV26" s="68" t="n">
        <f aca="false">Model!AV60</f>
        <v>0</v>
      </c>
      <c r="AW26" s="68" t="n">
        <f aca="false">Model!AW60</f>
        <v>0</v>
      </c>
      <c r="AX26" s="68" t="n">
        <f aca="false">Model!AX60</f>
        <v>81682</v>
      </c>
      <c r="AY26" s="68" t="n">
        <f aca="false">Model!AY60</f>
        <v>0</v>
      </c>
      <c r="AZ26" s="68" t="n">
        <f aca="false">Model!AZ60</f>
        <v>0</v>
      </c>
      <c r="BA26" s="68" t="n">
        <f aca="false">Model!BA60</f>
        <v>81682</v>
      </c>
      <c r="BB26" s="68" t="n">
        <f aca="false">Model!BB60</f>
        <v>0</v>
      </c>
      <c r="BC26" s="68" t="n">
        <f aca="false">Model!BC60</f>
        <v>0</v>
      </c>
      <c r="BD26" s="68" t="n">
        <f aca="false">Model!BD60</f>
        <v>59178</v>
      </c>
      <c r="BE26" s="68" t="n">
        <f aca="false">Model!BE60</f>
        <v>0</v>
      </c>
      <c r="BF26" s="68" t="n">
        <f aca="false">Model!BF60</f>
        <v>0</v>
      </c>
      <c r="BG26" s="68" t="n">
        <f aca="false">Model!BG60</f>
        <v>59176</v>
      </c>
      <c r="BH26" s="68" t="n">
        <f aca="false">Model!BH60</f>
        <v>0</v>
      </c>
      <c r="BI26" s="68" t="n">
        <f aca="false">Model!BI60</f>
        <v>0</v>
      </c>
      <c r="BJ26" s="68" t="n">
        <f aca="false">Model!BJ60</f>
        <v>59176</v>
      </c>
      <c r="BK26" s="68" t="n">
        <f aca="false">Model!BK60</f>
        <v>0</v>
      </c>
      <c r="BL26" s="68" t="n">
        <f aca="false">Model!BL60</f>
        <v>0</v>
      </c>
      <c r="BM26" s="68" t="n">
        <f aca="false">Model!BM60</f>
        <v>59176</v>
      </c>
      <c r="BN26" s="68" t="n">
        <f aca="false">Model!BN60</f>
        <v>0</v>
      </c>
      <c r="BO26" s="68" t="n">
        <f aca="false">Model!BO60</f>
        <v>0</v>
      </c>
      <c r="BP26" s="68" t="n">
        <f aca="false">Model!BP60</f>
        <v>67763</v>
      </c>
      <c r="BQ26" s="68" t="n">
        <f aca="false">Model!BQ60</f>
        <v>0</v>
      </c>
      <c r="BR26" s="68" t="n">
        <f aca="false">Model!BR60</f>
        <v>0</v>
      </c>
      <c r="BS26" s="68" t="n">
        <f aca="false">Model!BS60</f>
        <v>67762</v>
      </c>
      <c r="BT26" s="68" t="n">
        <f aca="false">Model!BT60</f>
        <v>0</v>
      </c>
      <c r="BU26" s="68" t="n">
        <f aca="false">Model!BU60</f>
        <v>0</v>
      </c>
      <c r="BV26" s="68" t="n">
        <f aca="false">Model!BV60</f>
        <v>67762</v>
      </c>
      <c r="BW26" s="68" t="n">
        <f aca="false">Model!BW60</f>
        <v>0</v>
      </c>
      <c r="BX26" s="68" t="n">
        <f aca="false">Model!BX60</f>
        <v>0</v>
      </c>
      <c r="BY26" s="68" t="n">
        <f aca="false">Model!BY60</f>
        <v>67762</v>
      </c>
      <c r="BZ26" s="68" t="n">
        <f aca="false">Model!BZ60</f>
        <v>0</v>
      </c>
      <c r="CA26" s="68" t="n">
        <f aca="false">Model!CA60</f>
        <v>0</v>
      </c>
      <c r="CB26" s="68" t="n">
        <f aca="false">Model!CB60</f>
        <v>76499</v>
      </c>
      <c r="CC26" s="68" t="n">
        <f aca="false">Model!CC60</f>
        <v>0</v>
      </c>
      <c r="CD26" s="68" t="n">
        <f aca="false">Model!CD60</f>
        <v>0</v>
      </c>
      <c r="CE26" s="68" t="n">
        <f aca="false">Model!CE60</f>
        <v>76499</v>
      </c>
      <c r="CF26" s="68" t="n">
        <f aca="false">Model!CF60</f>
        <v>0</v>
      </c>
      <c r="CG26" s="68" t="n">
        <f aca="false">Model!CG60</f>
        <v>0</v>
      </c>
      <c r="CH26" s="68" t="n">
        <f aca="false">Model!CH60</f>
        <v>76499</v>
      </c>
    </row>
    <row r="27" customFormat="false" ht="15" hidden="false" customHeight="true" outlineLevel="0" collapsed="false">
      <c r="A27" s="71" t="s">
        <v>214</v>
      </c>
      <c r="B27" s="3"/>
      <c r="C27" s="72" t="n">
        <f aca="false">Model!C82</f>
        <v>-0</v>
      </c>
      <c r="D27" s="72" t="n">
        <f aca="false">Model!D82</f>
        <v>-0</v>
      </c>
      <c r="E27" s="72" t="n">
        <f aca="false">Model!E82</f>
        <v>-0</v>
      </c>
      <c r="F27" s="72" t="n">
        <f aca="false">Model!F82</f>
        <v>-0</v>
      </c>
      <c r="G27" s="72" t="n">
        <f aca="false">Model!G82</f>
        <v>-0</v>
      </c>
      <c r="H27" s="72" t="n">
        <f aca="false">Model!H82</f>
        <v>-0</v>
      </c>
      <c r="I27" s="72" t="n">
        <f aca="false">Model!I82</f>
        <v>-0</v>
      </c>
      <c r="J27" s="72" t="n">
        <f aca="false">Model!J82</f>
        <v>-0</v>
      </c>
      <c r="K27" s="72" t="n">
        <f aca="false">Model!K82</f>
        <v>-0</v>
      </c>
      <c r="L27" s="72" t="n">
        <f aca="false">Model!L82</f>
        <v>-0</v>
      </c>
      <c r="M27" s="72" t="n">
        <f aca="false">Model!M82</f>
        <v>-0</v>
      </c>
      <c r="N27" s="72" t="n">
        <f aca="false">Model!N82</f>
        <v>-0</v>
      </c>
      <c r="O27" s="72" t="n">
        <f aca="false">Model!O82</f>
        <v>-0</v>
      </c>
      <c r="P27" s="72" t="n">
        <f aca="false">Model!P82</f>
        <v>-0</v>
      </c>
      <c r="Q27" s="72" t="n">
        <f aca="false">Model!Q82</f>
        <v>-0</v>
      </c>
      <c r="R27" s="72" t="n">
        <f aca="false">Model!R82</f>
        <v>-0</v>
      </c>
      <c r="S27" s="72" t="n">
        <f aca="false">Model!S82</f>
        <v>-0</v>
      </c>
      <c r="T27" s="72" t="n">
        <f aca="false">Model!T82</f>
        <v>-0</v>
      </c>
      <c r="U27" s="72" t="n">
        <f aca="false">Model!U82</f>
        <v>-0</v>
      </c>
      <c r="V27" s="72" t="n">
        <f aca="false">Model!V82</f>
        <v>-0</v>
      </c>
      <c r="W27" s="72" t="n">
        <f aca="false">Model!W82</f>
        <v>-0</v>
      </c>
      <c r="X27" s="72" t="n">
        <f aca="false">Model!X82</f>
        <v>-0</v>
      </c>
      <c r="Y27" s="72" t="n">
        <f aca="false">Model!Y82</f>
        <v>-0</v>
      </c>
      <c r="Z27" s="72" t="n">
        <f aca="false">Model!Z82</f>
        <v>-0</v>
      </c>
      <c r="AA27" s="72" t="n">
        <f aca="false">Model!AA82</f>
        <v>-0</v>
      </c>
      <c r="AB27" s="72" t="n">
        <f aca="false">Model!AB82</f>
        <v>-0</v>
      </c>
      <c r="AC27" s="72" t="n">
        <f aca="false">Model!AC82</f>
        <v>-0</v>
      </c>
      <c r="AD27" s="72" t="n">
        <f aca="false">Model!AD82</f>
        <v>-0</v>
      </c>
      <c r="AE27" s="72" t="n">
        <f aca="false">Model!AE82</f>
        <v>-0</v>
      </c>
      <c r="AF27" s="72" t="n">
        <f aca="false">Model!AF82</f>
        <v>-0</v>
      </c>
      <c r="AG27" s="72" t="n">
        <f aca="false">Model!AG82</f>
        <v>-0</v>
      </c>
      <c r="AH27" s="72" t="n">
        <f aca="false">Model!AH82</f>
        <v>-0</v>
      </c>
      <c r="AI27" s="72" t="n">
        <f aca="false">Model!AI82</f>
        <v>-0</v>
      </c>
      <c r="AJ27" s="72" t="n">
        <f aca="false">Model!AJ82</f>
        <v>-0</v>
      </c>
      <c r="AK27" s="72" t="n">
        <f aca="false">Model!AK82</f>
        <v>-0</v>
      </c>
      <c r="AL27" s="72" t="n">
        <f aca="false">Model!AL82</f>
        <v>-0</v>
      </c>
      <c r="AM27" s="72" t="n">
        <f aca="false">Model!AM82</f>
        <v>-0</v>
      </c>
      <c r="AN27" s="72" t="n">
        <f aca="false">Model!AN82</f>
        <v>-0</v>
      </c>
      <c r="AO27" s="72" t="n">
        <f aca="false">Model!AO82</f>
        <v>-0</v>
      </c>
      <c r="AP27" s="72" t="n">
        <f aca="false">Model!AP82</f>
        <v>-0</v>
      </c>
      <c r="AQ27" s="72" t="n">
        <f aca="false">Model!AQ82</f>
        <v>-0</v>
      </c>
      <c r="AR27" s="72" t="n">
        <f aca="false">Model!AR82</f>
        <v>-81683</v>
      </c>
      <c r="AS27" s="72" t="n">
        <f aca="false">Model!AS82</f>
        <v>-0</v>
      </c>
      <c r="AT27" s="72" t="n">
        <f aca="false">Model!AT82</f>
        <v>-0</v>
      </c>
      <c r="AU27" s="72" t="n">
        <f aca="false">Model!AU82</f>
        <v>-81682</v>
      </c>
      <c r="AV27" s="72" t="n">
        <f aca="false">Model!AV82</f>
        <v>-0</v>
      </c>
      <c r="AW27" s="72" t="n">
        <f aca="false">Model!AW82</f>
        <v>-0</v>
      </c>
      <c r="AX27" s="72" t="n">
        <f aca="false">Model!AX82</f>
        <v>-81682</v>
      </c>
      <c r="AY27" s="72" t="n">
        <f aca="false">Model!AY82</f>
        <v>-0</v>
      </c>
      <c r="AZ27" s="72" t="n">
        <f aca="false">Model!AZ82</f>
        <v>-0</v>
      </c>
      <c r="BA27" s="72" t="n">
        <f aca="false">Model!BA82</f>
        <v>-81682</v>
      </c>
      <c r="BB27" s="72" t="n">
        <f aca="false">Model!BB82</f>
        <v>-0</v>
      </c>
      <c r="BC27" s="72" t="n">
        <f aca="false">Model!BC82</f>
        <v>-0</v>
      </c>
      <c r="BD27" s="72" t="n">
        <f aca="false">Model!BD82</f>
        <v>-59178</v>
      </c>
      <c r="BE27" s="72" t="n">
        <f aca="false">Model!BE82</f>
        <v>-0</v>
      </c>
      <c r="BF27" s="72" t="n">
        <f aca="false">Model!BF82</f>
        <v>-0</v>
      </c>
      <c r="BG27" s="72" t="n">
        <f aca="false">Model!BG82</f>
        <v>-59176</v>
      </c>
      <c r="BH27" s="72" t="n">
        <f aca="false">Model!BH82</f>
        <v>-0</v>
      </c>
      <c r="BI27" s="72" t="n">
        <f aca="false">Model!BI82</f>
        <v>-0</v>
      </c>
      <c r="BJ27" s="72" t="n">
        <f aca="false">Model!BJ82</f>
        <v>-59176</v>
      </c>
      <c r="BK27" s="72" t="n">
        <f aca="false">Model!BK82</f>
        <v>-0</v>
      </c>
      <c r="BL27" s="72" t="n">
        <f aca="false">Model!BL82</f>
        <v>-0</v>
      </c>
      <c r="BM27" s="72" t="n">
        <f aca="false">Model!BM82</f>
        <v>-59176</v>
      </c>
      <c r="BN27" s="72" t="n">
        <f aca="false">Model!BN82</f>
        <v>-0</v>
      </c>
      <c r="BO27" s="72" t="n">
        <f aca="false">Model!BO82</f>
        <v>-0</v>
      </c>
      <c r="BP27" s="72" t="n">
        <f aca="false">Model!BP82</f>
        <v>-16249.48</v>
      </c>
      <c r="BQ27" s="72" t="n">
        <f aca="false">Model!BQ82</f>
        <v>-0</v>
      </c>
      <c r="BR27" s="72" t="n">
        <f aca="false">Model!BR82</f>
        <v>-0</v>
      </c>
      <c r="BS27" s="72" t="n">
        <f aca="false">Model!BS82</f>
        <v>-0</v>
      </c>
      <c r="BT27" s="72" t="n">
        <f aca="false">Model!BT82</f>
        <v>-0</v>
      </c>
      <c r="BU27" s="72" t="n">
        <f aca="false">Model!BU82</f>
        <v>-0</v>
      </c>
      <c r="BV27" s="72" t="n">
        <f aca="false">Model!BV82</f>
        <v>-0</v>
      </c>
      <c r="BW27" s="72" t="n">
        <f aca="false">Model!BW82</f>
        <v>-0</v>
      </c>
      <c r="BX27" s="72" t="n">
        <f aca="false">Model!BX82</f>
        <v>-0</v>
      </c>
      <c r="BY27" s="72" t="n">
        <f aca="false">Model!BY82</f>
        <v>-0</v>
      </c>
      <c r="BZ27" s="72" t="n">
        <f aca="false">Model!BZ82</f>
        <v>-0</v>
      </c>
      <c r="CA27" s="72" t="n">
        <f aca="false">Model!CA82</f>
        <v>-0</v>
      </c>
      <c r="CB27" s="72" t="n">
        <f aca="false">Model!CB82</f>
        <v>-0</v>
      </c>
      <c r="CC27" s="72" t="n">
        <f aca="false">Model!CC82</f>
        <v>-0</v>
      </c>
      <c r="CD27" s="72" t="n">
        <f aca="false">Model!CD82</f>
        <v>-0</v>
      </c>
      <c r="CE27" s="72" t="n">
        <f aca="false">Model!CE82</f>
        <v>-0</v>
      </c>
      <c r="CF27" s="72" t="n">
        <f aca="false">Model!CF82</f>
        <v>-0</v>
      </c>
      <c r="CG27" s="72" t="n">
        <f aca="false">Model!CG82</f>
        <v>-0</v>
      </c>
      <c r="CH27" s="72" t="n">
        <f aca="false">Model!CH82</f>
        <v>-0</v>
      </c>
    </row>
    <row r="28" customFormat="false" ht="15" hidden="false" customHeight="true" outlineLevel="0" collapsed="false">
      <c r="A28" s="30" t="s">
        <v>211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212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210</v>
      </c>
      <c r="B32" s="3"/>
      <c r="C32" s="68" t="n">
        <f aca="false">Model!C61</f>
        <v>0</v>
      </c>
      <c r="D32" s="68" t="n">
        <f aca="false">Model!D61</f>
        <v>0</v>
      </c>
      <c r="E32" s="68" t="n">
        <f aca="false">Model!E61</f>
        <v>0</v>
      </c>
      <c r="F32" s="68" t="n">
        <f aca="false">Model!F61</f>
        <v>0</v>
      </c>
      <c r="G32" s="68" t="n">
        <f aca="false">Model!G61</f>
        <v>0</v>
      </c>
      <c r="H32" s="68" t="n">
        <f aca="false">Model!H61</f>
        <v>0</v>
      </c>
      <c r="I32" s="68" t="n">
        <f aca="false">Model!I61</f>
        <v>0</v>
      </c>
      <c r="J32" s="68" t="n">
        <f aca="false">Model!J61</f>
        <v>0</v>
      </c>
      <c r="K32" s="68" t="n">
        <f aca="false">Model!K61</f>
        <v>0</v>
      </c>
      <c r="L32" s="68" t="n">
        <f aca="false">Model!L61</f>
        <v>0</v>
      </c>
      <c r="M32" s="68" t="n">
        <f aca="false">Model!M61</f>
        <v>0</v>
      </c>
      <c r="N32" s="68" t="n">
        <f aca="false">Model!N61</f>
        <v>0</v>
      </c>
      <c r="O32" s="68" t="n">
        <f aca="false">Model!O61</f>
        <v>0</v>
      </c>
      <c r="P32" s="68" t="n">
        <f aca="false">Model!P61</f>
        <v>0</v>
      </c>
      <c r="Q32" s="68" t="n">
        <f aca="false">Model!Q61</f>
        <v>0</v>
      </c>
      <c r="R32" s="68" t="n">
        <f aca="false">Model!R61</f>
        <v>0</v>
      </c>
      <c r="S32" s="68" t="n">
        <f aca="false">Model!S61</f>
        <v>0</v>
      </c>
      <c r="T32" s="68" t="n">
        <f aca="false">Model!T61</f>
        <v>0</v>
      </c>
      <c r="U32" s="68" t="n">
        <f aca="false">Model!U61</f>
        <v>0</v>
      </c>
      <c r="V32" s="68" t="n">
        <f aca="false">Model!V61</f>
        <v>0</v>
      </c>
      <c r="W32" s="68" t="n">
        <f aca="false">Model!W61</f>
        <v>0</v>
      </c>
      <c r="X32" s="68" t="n">
        <f aca="false">Model!X61</f>
        <v>0</v>
      </c>
      <c r="Y32" s="68" t="n">
        <f aca="false">Model!Y61</f>
        <v>0</v>
      </c>
      <c r="Z32" s="68" t="n">
        <f aca="false">Model!Z61</f>
        <v>0</v>
      </c>
      <c r="AA32" s="68" t="n">
        <f aca="false">Model!AA61</f>
        <v>0</v>
      </c>
      <c r="AB32" s="68" t="n">
        <f aca="false">Model!AB61</f>
        <v>0</v>
      </c>
      <c r="AC32" s="68" t="n">
        <f aca="false">Model!AC61</f>
        <v>0</v>
      </c>
      <c r="AD32" s="68" t="n">
        <f aca="false">Model!AD61</f>
        <v>0</v>
      </c>
      <c r="AE32" s="68" t="n">
        <f aca="false">Model!AE61</f>
        <v>0</v>
      </c>
      <c r="AF32" s="68" t="n">
        <f aca="false">Model!AF61</f>
        <v>0</v>
      </c>
      <c r="AG32" s="68" t="n">
        <f aca="false">Model!AG61</f>
        <v>0</v>
      </c>
      <c r="AH32" s="68" t="n">
        <f aca="false">Model!AH61</f>
        <v>0</v>
      </c>
      <c r="AI32" s="68" t="n">
        <f aca="false">Model!AI61</f>
        <v>0</v>
      </c>
      <c r="AJ32" s="68" t="n">
        <f aca="false">Model!AJ61</f>
        <v>0</v>
      </c>
      <c r="AK32" s="68" t="n">
        <f aca="false">Model!AK61</f>
        <v>0</v>
      </c>
      <c r="AL32" s="68" t="n">
        <f aca="false">Model!AL61</f>
        <v>0</v>
      </c>
      <c r="AM32" s="68" t="n">
        <f aca="false">Model!AM61</f>
        <v>0</v>
      </c>
      <c r="AN32" s="68" t="n">
        <f aca="false">Model!AN61</f>
        <v>0</v>
      </c>
      <c r="AO32" s="68" t="n">
        <f aca="false">Model!AO61</f>
        <v>0</v>
      </c>
      <c r="AP32" s="68" t="n">
        <f aca="false">Model!AP61</f>
        <v>0</v>
      </c>
      <c r="AQ32" s="68" t="n">
        <f aca="false">Model!AQ61</f>
        <v>0</v>
      </c>
      <c r="AR32" s="68" t="n">
        <f aca="false">Model!AR61</f>
        <v>0</v>
      </c>
      <c r="AS32" s="68" t="n">
        <f aca="false">Model!AS61</f>
        <v>0</v>
      </c>
      <c r="AT32" s="68" t="n">
        <f aca="false">Model!AT61</f>
        <v>0</v>
      </c>
      <c r="AU32" s="68" t="n">
        <f aca="false">Model!AU61</f>
        <v>0</v>
      </c>
      <c r="AV32" s="68" t="n">
        <f aca="false">Model!AV61</f>
        <v>0</v>
      </c>
      <c r="AW32" s="68" t="n">
        <f aca="false">Model!AW61</f>
        <v>0</v>
      </c>
      <c r="AX32" s="68" t="n">
        <f aca="false">Model!AX61</f>
        <v>0</v>
      </c>
      <c r="AY32" s="68" t="n">
        <f aca="false">Model!AY61</f>
        <v>0</v>
      </c>
      <c r="AZ32" s="68" t="n">
        <f aca="false">Model!AZ61</f>
        <v>0</v>
      </c>
      <c r="BA32" s="68" t="n">
        <f aca="false">Model!BA61</f>
        <v>851839</v>
      </c>
      <c r="BB32" s="68" t="n">
        <f aca="false">Model!BB61</f>
        <v>0</v>
      </c>
      <c r="BC32" s="68" t="n">
        <f aca="false">Model!BC61</f>
        <v>0</v>
      </c>
      <c r="BD32" s="68" t="n">
        <f aca="false">Model!BD61</f>
        <v>71700</v>
      </c>
      <c r="BE32" s="68" t="n">
        <f aca="false">Model!BE61</f>
        <v>0</v>
      </c>
      <c r="BF32" s="68" t="n">
        <f aca="false">Model!BF61</f>
        <v>0</v>
      </c>
      <c r="BG32" s="68" t="n">
        <f aca="false">Model!BG61</f>
        <v>71700</v>
      </c>
      <c r="BH32" s="68" t="n">
        <f aca="false">Model!BH61</f>
        <v>0</v>
      </c>
      <c r="BI32" s="68" t="n">
        <f aca="false">Model!BI61</f>
        <v>0</v>
      </c>
      <c r="BJ32" s="68" t="n">
        <f aca="false">Model!BJ61</f>
        <v>71700</v>
      </c>
      <c r="BK32" s="68" t="n">
        <f aca="false">Model!BK61</f>
        <v>0</v>
      </c>
      <c r="BL32" s="68" t="n">
        <f aca="false">Model!BL61</f>
        <v>0</v>
      </c>
      <c r="BM32" s="68" t="n">
        <f aca="false">Model!BM61</f>
        <v>71700</v>
      </c>
      <c r="BN32" s="68" t="n">
        <f aca="false">Model!BN61</f>
        <v>0</v>
      </c>
      <c r="BO32" s="68" t="n">
        <f aca="false">Model!BO61</f>
        <v>0</v>
      </c>
      <c r="BP32" s="68" t="n">
        <f aca="false">Model!BP61</f>
        <v>74643</v>
      </c>
      <c r="BQ32" s="68" t="n">
        <f aca="false">Model!BQ61</f>
        <v>0</v>
      </c>
      <c r="BR32" s="68" t="n">
        <f aca="false">Model!BR61</f>
        <v>0</v>
      </c>
      <c r="BS32" s="68" t="n">
        <f aca="false">Model!BS61</f>
        <v>74640</v>
      </c>
      <c r="BT32" s="68" t="n">
        <f aca="false">Model!BT61</f>
        <v>0</v>
      </c>
      <c r="BU32" s="68" t="n">
        <f aca="false">Model!BU61</f>
        <v>0</v>
      </c>
      <c r="BV32" s="68" t="n">
        <f aca="false">Model!BV61</f>
        <v>74640</v>
      </c>
      <c r="BW32" s="68" t="n">
        <f aca="false">Model!BW61</f>
        <v>0</v>
      </c>
      <c r="BX32" s="68" t="n">
        <f aca="false">Model!BX61</f>
        <v>0</v>
      </c>
      <c r="BY32" s="68" t="n">
        <f aca="false">Model!BY61</f>
        <v>74640</v>
      </c>
      <c r="BZ32" s="68" t="n">
        <f aca="false">Model!BZ61</f>
        <v>0</v>
      </c>
      <c r="CA32" s="68" t="n">
        <f aca="false">Model!CA61</f>
        <v>0</v>
      </c>
      <c r="CB32" s="68" t="n">
        <f aca="false">Model!CB61</f>
        <v>81363</v>
      </c>
      <c r="CC32" s="68" t="n">
        <f aca="false">Model!CC61</f>
        <v>0</v>
      </c>
      <c r="CD32" s="68" t="n">
        <f aca="false">Model!CD61</f>
        <v>0</v>
      </c>
      <c r="CE32" s="68" t="n">
        <f aca="false">Model!CE61</f>
        <v>81362</v>
      </c>
      <c r="CF32" s="68" t="n">
        <f aca="false">Model!CF61</f>
        <v>0</v>
      </c>
      <c r="CG32" s="68" t="n">
        <f aca="false">Model!CG61</f>
        <v>0</v>
      </c>
      <c r="CH32" s="68" t="n">
        <f aca="false">Model!CH61</f>
        <v>81362</v>
      </c>
    </row>
    <row r="33" customFormat="false" ht="15" hidden="false" customHeight="true" outlineLevel="0" collapsed="false">
      <c r="A33" s="71" t="s">
        <v>214</v>
      </c>
      <c r="B33" s="3"/>
      <c r="C33" s="72" t="n">
        <f aca="false">Model!C83</f>
        <v>-0</v>
      </c>
      <c r="D33" s="72" t="n">
        <f aca="false">Model!D83</f>
        <v>-0</v>
      </c>
      <c r="E33" s="72" t="n">
        <f aca="false">Model!E83</f>
        <v>-0</v>
      </c>
      <c r="F33" s="72" t="n">
        <f aca="false">Model!F83</f>
        <v>-0</v>
      </c>
      <c r="G33" s="72" t="n">
        <f aca="false">Model!G83</f>
        <v>-0</v>
      </c>
      <c r="H33" s="72" t="n">
        <f aca="false">Model!H83</f>
        <v>-0</v>
      </c>
      <c r="I33" s="72" t="n">
        <f aca="false">Model!I83</f>
        <v>-0</v>
      </c>
      <c r="J33" s="72" t="n">
        <f aca="false">Model!J83</f>
        <v>-0</v>
      </c>
      <c r="K33" s="72" t="n">
        <f aca="false">Model!K83</f>
        <v>-0</v>
      </c>
      <c r="L33" s="72" t="n">
        <f aca="false">Model!L83</f>
        <v>-0</v>
      </c>
      <c r="M33" s="72" t="n">
        <f aca="false">Model!M83</f>
        <v>-0</v>
      </c>
      <c r="N33" s="72" t="n">
        <f aca="false">Model!N83</f>
        <v>-0</v>
      </c>
      <c r="O33" s="72" t="n">
        <f aca="false">Model!O83</f>
        <v>-0</v>
      </c>
      <c r="P33" s="72" t="n">
        <f aca="false">Model!P83</f>
        <v>-0</v>
      </c>
      <c r="Q33" s="72" t="n">
        <f aca="false">Model!Q83</f>
        <v>-0</v>
      </c>
      <c r="R33" s="72" t="n">
        <f aca="false">Model!R83</f>
        <v>-0</v>
      </c>
      <c r="S33" s="72" t="n">
        <f aca="false">Model!S83</f>
        <v>-0</v>
      </c>
      <c r="T33" s="72" t="n">
        <f aca="false">Model!T83</f>
        <v>-0</v>
      </c>
      <c r="U33" s="72" t="n">
        <f aca="false">Model!U83</f>
        <v>-0</v>
      </c>
      <c r="V33" s="72" t="n">
        <f aca="false">Model!V83</f>
        <v>-0</v>
      </c>
      <c r="W33" s="72" t="n">
        <f aca="false">Model!W83</f>
        <v>-0</v>
      </c>
      <c r="X33" s="72" t="n">
        <f aca="false">Model!X83</f>
        <v>-0</v>
      </c>
      <c r="Y33" s="72" t="n">
        <f aca="false">Model!Y83</f>
        <v>-0</v>
      </c>
      <c r="Z33" s="72" t="n">
        <f aca="false">Model!Z83</f>
        <v>-0</v>
      </c>
      <c r="AA33" s="72" t="n">
        <f aca="false">Model!AA83</f>
        <v>-0</v>
      </c>
      <c r="AB33" s="72" t="n">
        <f aca="false">Model!AB83</f>
        <v>-0</v>
      </c>
      <c r="AC33" s="72" t="n">
        <f aca="false">Model!AC83</f>
        <v>-0</v>
      </c>
      <c r="AD33" s="72" t="n">
        <f aca="false">Model!AD83</f>
        <v>-0</v>
      </c>
      <c r="AE33" s="72" t="n">
        <f aca="false">Model!AE83</f>
        <v>-0</v>
      </c>
      <c r="AF33" s="72" t="n">
        <f aca="false">Model!AF83</f>
        <v>-0</v>
      </c>
      <c r="AG33" s="72" t="n">
        <f aca="false">Model!AG83</f>
        <v>-0</v>
      </c>
      <c r="AH33" s="72" t="n">
        <f aca="false">Model!AH83</f>
        <v>-0</v>
      </c>
      <c r="AI33" s="72" t="n">
        <f aca="false">Model!AI83</f>
        <v>-0</v>
      </c>
      <c r="AJ33" s="72" t="n">
        <f aca="false">Model!AJ83</f>
        <v>-0</v>
      </c>
      <c r="AK33" s="72" t="n">
        <f aca="false">Model!AK83</f>
        <v>-0</v>
      </c>
      <c r="AL33" s="72" t="n">
        <f aca="false">Model!AL83</f>
        <v>-0</v>
      </c>
      <c r="AM33" s="72" t="n">
        <f aca="false">Model!AM83</f>
        <v>-0</v>
      </c>
      <c r="AN33" s="72" t="n">
        <f aca="false">Model!AN83</f>
        <v>-0</v>
      </c>
      <c r="AO33" s="72" t="n">
        <f aca="false">Model!AO83</f>
        <v>-0</v>
      </c>
      <c r="AP33" s="72" t="n">
        <f aca="false">Model!AP83</f>
        <v>-0</v>
      </c>
      <c r="AQ33" s="72" t="n">
        <f aca="false">Model!AQ83</f>
        <v>-0</v>
      </c>
      <c r="AR33" s="72" t="n">
        <f aca="false">Model!AR83</f>
        <v>-0</v>
      </c>
      <c r="AS33" s="72" t="n">
        <f aca="false">Model!AS83</f>
        <v>-0</v>
      </c>
      <c r="AT33" s="72" t="n">
        <f aca="false">Model!AT83</f>
        <v>-0</v>
      </c>
      <c r="AU33" s="72" t="n">
        <f aca="false">Model!AU83</f>
        <v>-0</v>
      </c>
      <c r="AV33" s="72" t="n">
        <f aca="false">Model!AV83</f>
        <v>-0</v>
      </c>
      <c r="AW33" s="72" t="n">
        <f aca="false">Model!AW83</f>
        <v>-0</v>
      </c>
      <c r="AX33" s="72" t="n">
        <f aca="false">Model!AX83</f>
        <v>-0</v>
      </c>
      <c r="AY33" s="72" t="n">
        <f aca="false">Model!AY83</f>
        <v>-0</v>
      </c>
      <c r="AZ33" s="72" t="n">
        <f aca="false">Model!AZ83</f>
        <v>-0</v>
      </c>
      <c r="BA33" s="72" t="n">
        <f aca="false">Model!BA83</f>
        <v>-851839</v>
      </c>
      <c r="BB33" s="72" t="n">
        <f aca="false">Model!BB83</f>
        <v>-0</v>
      </c>
      <c r="BC33" s="72" t="n">
        <f aca="false">Model!BC83</f>
        <v>-0</v>
      </c>
      <c r="BD33" s="72" t="n">
        <f aca="false">Model!BD83</f>
        <v>-71700</v>
      </c>
      <c r="BE33" s="72" t="n">
        <f aca="false">Model!BE83</f>
        <v>-0</v>
      </c>
      <c r="BF33" s="72" t="n">
        <f aca="false">Model!BF83</f>
        <v>-0</v>
      </c>
      <c r="BG33" s="72" t="n">
        <f aca="false">Model!BG83</f>
        <v>-71700</v>
      </c>
      <c r="BH33" s="72" t="n">
        <f aca="false">Model!BH83</f>
        <v>-0</v>
      </c>
      <c r="BI33" s="72" t="n">
        <f aca="false">Model!BI83</f>
        <v>-0</v>
      </c>
      <c r="BJ33" s="72" t="n">
        <f aca="false">Model!BJ83</f>
        <v>-71700</v>
      </c>
      <c r="BK33" s="72" t="n">
        <f aca="false">Model!BK83</f>
        <v>-0</v>
      </c>
      <c r="BL33" s="72" t="n">
        <f aca="false">Model!BL83</f>
        <v>-0</v>
      </c>
      <c r="BM33" s="72" t="n">
        <f aca="false">Model!BM83</f>
        <v>-71700</v>
      </c>
      <c r="BN33" s="72" t="n">
        <f aca="false">Model!BN83</f>
        <v>-0</v>
      </c>
      <c r="BO33" s="72" t="n">
        <f aca="false">Model!BO83</f>
        <v>-0</v>
      </c>
      <c r="BP33" s="72" t="n">
        <f aca="false">Model!BP83</f>
        <v>-74643</v>
      </c>
      <c r="BQ33" s="72" t="n">
        <f aca="false">Model!BQ83</f>
        <v>-0</v>
      </c>
      <c r="BR33" s="72" t="n">
        <f aca="false">Model!BR83</f>
        <v>-0</v>
      </c>
      <c r="BS33" s="72" t="n">
        <f aca="false">Model!BS83</f>
        <v>-74640</v>
      </c>
      <c r="BT33" s="72" t="n">
        <f aca="false">Model!BT83</f>
        <v>-0</v>
      </c>
      <c r="BU33" s="72" t="n">
        <f aca="false">Model!BU83</f>
        <v>-0</v>
      </c>
      <c r="BV33" s="72" t="n">
        <f aca="false">Model!BV83</f>
        <v>-74640</v>
      </c>
      <c r="BW33" s="72" t="n">
        <f aca="false">Model!BW83</f>
        <v>-0</v>
      </c>
      <c r="BX33" s="72" t="n">
        <f aca="false">Model!BX83</f>
        <v>-0</v>
      </c>
      <c r="BY33" s="72" t="n">
        <f aca="false">Model!BY83</f>
        <v>-74640</v>
      </c>
      <c r="BZ33" s="72" t="n">
        <f aca="false">Model!BZ83</f>
        <v>-0</v>
      </c>
      <c r="CA33" s="72" t="n">
        <f aca="false">Model!CA83</f>
        <v>-0</v>
      </c>
      <c r="CB33" s="72" t="n">
        <f aca="false">Model!CB83</f>
        <v>-81363</v>
      </c>
      <c r="CC33" s="72" t="n">
        <f aca="false">Model!CC83</f>
        <v>-0</v>
      </c>
      <c r="CD33" s="72" t="n">
        <f aca="false">Model!CD83</f>
        <v>-0</v>
      </c>
      <c r="CE33" s="72" t="n">
        <f aca="false">Model!CE83</f>
        <v>-81362</v>
      </c>
      <c r="CF33" s="72" t="n">
        <f aca="false">Model!CF83</f>
        <v>-0</v>
      </c>
      <c r="CG33" s="72" t="n">
        <f aca="false">Model!CG83</f>
        <v>-0</v>
      </c>
      <c r="CH33" s="72" t="n">
        <f aca="false">Model!CH83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Model!C157</f>
        <v>0</v>
      </c>
      <c r="D34" s="72" t="n">
        <f aca="false">Model!D157</f>
        <v>0</v>
      </c>
      <c r="E34" s="72" t="n">
        <f aca="false">Model!E157</f>
        <v>0</v>
      </c>
      <c r="F34" s="72" t="n">
        <f aca="false">Model!F157</f>
        <v>0</v>
      </c>
      <c r="G34" s="72" t="n">
        <f aca="false">Model!G157</f>
        <v>0</v>
      </c>
      <c r="H34" s="72" t="n">
        <f aca="false">Model!H157</f>
        <v>0</v>
      </c>
      <c r="I34" s="72" t="n">
        <f aca="false">Model!I157</f>
        <v>0</v>
      </c>
      <c r="J34" s="72" t="n">
        <f aca="false">Model!J157</f>
        <v>0</v>
      </c>
      <c r="K34" s="72" t="n">
        <f aca="false">Model!K157</f>
        <v>0</v>
      </c>
      <c r="L34" s="72" t="n">
        <f aca="false">Model!L157</f>
        <v>0</v>
      </c>
      <c r="M34" s="72" t="n">
        <f aca="false">Model!M157</f>
        <v>0</v>
      </c>
      <c r="N34" s="72" t="n">
        <f aca="false">Model!N157</f>
        <v>0</v>
      </c>
      <c r="O34" s="72" t="n">
        <f aca="false">Model!O157</f>
        <v>0</v>
      </c>
      <c r="P34" s="72" t="n">
        <f aca="false">Model!P157</f>
        <v>0</v>
      </c>
      <c r="Q34" s="72" t="n">
        <f aca="false">Model!Q157</f>
        <v>0</v>
      </c>
      <c r="R34" s="72" t="n">
        <f aca="false">Model!R157</f>
        <v>0</v>
      </c>
      <c r="S34" s="72" t="n">
        <f aca="false">Model!S157</f>
        <v>0</v>
      </c>
      <c r="T34" s="72" t="n">
        <f aca="false">Model!T157</f>
        <v>0</v>
      </c>
      <c r="U34" s="72" t="n">
        <f aca="false">Model!U157</f>
        <v>0</v>
      </c>
      <c r="V34" s="72" t="n">
        <f aca="false">Model!V157</f>
        <v>0</v>
      </c>
      <c r="W34" s="72" t="n">
        <f aca="false">Model!W157</f>
        <v>0</v>
      </c>
      <c r="X34" s="72" t="n">
        <f aca="false">Model!X157</f>
        <v>0</v>
      </c>
      <c r="Y34" s="72" t="n">
        <f aca="false">Model!Y157</f>
        <v>0</v>
      </c>
      <c r="Z34" s="72" t="n">
        <f aca="false">Model!Z157</f>
        <v>0</v>
      </c>
      <c r="AA34" s="72" t="n">
        <f aca="false">Model!AA157</f>
        <v>0</v>
      </c>
      <c r="AB34" s="72" t="n">
        <f aca="false">Model!AB157</f>
        <v>0</v>
      </c>
      <c r="AC34" s="72" t="n">
        <f aca="false">Model!AC157</f>
        <v>0</v>
      </c>
      <c r="AD34" s="72" t="n">
        <f aca="false">Model!AD157</f>
        <v>0</v>
      </c>
      <c r="AE34" s="72" t="n">
        <f aca="false">Model!AE157</f>
        <v>0</v>
      </c>
      <c r="AF34" s="72" t="n">
        <f aca="false">Model!AF157</f>
        <v>0</v>
      </c>
      <c r="AG34" s="72" t="n">
        <f aca="false">Model!AG157</f>
        <v>0</v>
      </c>
      <c r="AH34" s="72" t="n">
        <f aca="false">Model!AH157</f>
        <v>0</v>
      </c>
      <c r="AI34" s="72" t="n">
        <f aca="false">Model!AI157</f>
        <v>0</v>
      </c>
      <c r="AJ34" s="72" t="n">
        <f aca="false">Model!AJ157</f>
        <v>0</v>
      </c>
      <c r="AK34" s="72" t="n">
        <f aca="false">Model!AK157</f>
        <v>0</v>
      </c>
      <c r="AL34" s="72" t="n">
        <f aca="false">Model!AL157</f>
        <v>0</v>
      </c>
      <c r="AM34" s="72" t="n">
        <f aca="false">Model!AM157</f>
        <v>0</v>
      </c>
      <c r="AN34" s="72" t="n">
        <f aca="false">Model!AN157</f>
        <v>0</v>
      </c>
      <c r="AO34" s="72" t="n">
        <f aca="false">Model!AO157</f>
        <v>0</v>
      </c>
      <c r="AP34" s="72" t="n">
        <f aca="false">Model!AP157</f>
        <v>0</v>
      </c>
      <c r="AQ34" s="72" t="n">
        <f aca="false">Model!AQ157</f>
        <v>0</v>
      </c>
      <c r="AR34" s="72" t="n">
        <f aca="false">Model!AR157</f>
        <v>0</v>
      </c>
      <c r="AS34" s="72" t="n">
        <f aca="false">Model!AS157</f>
        <v>0</v>
      </c>
      <c r="AT34" s="72" t="n">
        <f aca="false">Model!AT157</f>
        <v>0</v>
      </c>
      <c r="AU34" s="72" t="n">
        <f aca="false">Model!AU157</f>
        <v>0</v>
      </c>
      <c r="AV34" s="72" t="n">
        <f aca="false">Model!AV157</f>
        <v>0</v>
      </c>
      <c r="AW34" s="72" t="n">
        <f aca="false">Model!AW157</f>
        <v>0</v>
      </c>
      <c r="AX34" s="72" t="n">
        <f aca="false">Model!AX157</f>
        <v>0</v>
      </c>
      <c r="AY34" s="72" t="n">
        <f aca="false">Model!AY157</f>
        <v>0</v>
      </c>
      <c r="AZ34" s="72" t="n">
        <f aca="false">Model!AZ157</f>
        <v>0</v>
      </c>
      <c r="BA34" s="72" t="n">
        <f aca="false">Model!BA157</f>
        <v>0</v>
      </c>
      <c r="BB34" s="72" t="n">
        <f aca="false">Model!BB157</f>
        <v>0</v>
      </c>
      <c r="BC34" s="72" t="n">
        <f aca="false">Model!BC157</f>
        <v>0</v>
      </c>
      <c r="BD34" s="72" t="n">
        <f aca="false">Model!BD157</f>
        <v>0</v>
      </c>
      <c r="BE34" s="72" t="n">
        <f aca="false">Model!BE157</f>
        <v>0</v>
      </c>
      <c r="BF34" s="72" t="n">
        <f aca="false">Model!BF157</f>
        <v>0</v>
      </c>
      <c r="BG34" s="72" t="n">
        <f aca="false">Model!BG157</f>
        <v>0</v>
      </c>
      <c r="BH34" s="72" t="n">
        <f aca="false">Model!BH157</f>
        <v>0</v>
      </c>
      <c r="BI34" s="72" t="n">
        <f aca="false">Model!BI157</f>
        <v>0</v>
      </c>
      <c r="BJ34" s="72" t="n">
        <f aca="false">Model!BJ157</f>
        <v>0</v>
      </c>
      <c r="BK34" s="72" t="n">
        <f aca="false">Model!BK157</f>
        <v>0</v>
      </c>
      <c r="BL34" s="72" t="n">
        <f aca="false">Model!BL157</f>
        <v>0</v>
      </c>
      <c r="BM34" s="72" t="n">
        <f aca="false">Model!BM157</f>
        <v>0</v>
      </c>
      <c r="BN34" s="72" t="n">
        <f aca="false">Model!BN157</f>
        <v>0</v>
      </c>
      <c r="BO34" s="72" t="n">
        <f aca="false">Model!BO157</f>
        <v>0</v>
      </c>
      <c r="BP34" s="72" t="n">
        <f aca="false">Model!BP157</f>
        <v>0</v>
      </c>
      <c r="BQ34" s="72" t="n">
        <f aca="false">Model!BQ157</f>
        <v>0</v>
      </c>
      <c r="BR34" s="72" t="n">
        <f aca="false">Model!BR157</f>
        <v>0</v>
      </c>
      <c r="BS34" s="72" t="n">
        <f aca="false">Model!BS157</f>
        <v>0</v>
      </c>
      <c r="BT34" s="72" t="n">
        <f aca="false">Model!BT157</f>
        <v>0</v>
      </c>
      <c r="BU34" s="72" t="n">
        <f aca="false">Model!BU157</f>
        <v>0</v>
      </c>
      <c r="BV34" s="72" t="n">
        <f aca="false">Model!BV157</f>
        <v>0</v>
      </c>
      <c r="BW34" s="72" t="n">
        <f aca="false">Model!BW157</f>
        <v>0</v>
      </c>
      <c r="BX34" s="72" t="n">
        <f aca="false">Model!BX157</f>
        <v>0</v>
      </c>
      <c r="BY34" s="72" t="n">
        <f aca="false">Model!BY157</f>
        <v>0</v>
      </c>
      <c r="BZ34" s="72" t="n">
        <f aca="false">Model!BZ157</f>
        <v>0</v>
      </c>
      <c r="CA34" s="72" t="n">
        <f aca="false">Model!CA157</f>
        <v>0</v>
      </c>
      <c r="CB34" s="72" t="n">
        <f aca="false">Model!CB157</f>
        <v>0</v>
      </c>
      <c r="CC34" s="72" t="n">
        <f aca="false">Model!CC157</f>
        <v>0</v>
      </c>
      <c r="CD34" s="72" t="n">
        <f aca="false">Model!CD157</f>
        <v>0</v>
      </c>
      <c r="CE34" s="72" t="n">
        <f aca="false">Model!CE157</f>
        <v>0</v>
      </c>
      <c r="CF34" s="72" t="n">
        <f aca="false">Model!CF157</f>
        <v>0</v>
      </c>
      <c r="CG34" s="72" t="n">
        <f aca="false">Model!CG157</f>
        <v>0</v>
      </c>
      <c r="CH34" s="72" t="n">
        <f aca="false">Model!CH157</f>
        <v>0</v>
      </c>
    </row>
    <row r="35" customFormat="false" ht="15" hidden="false" customHeight="true" outlineLevel="0" collapsed="false">
      <c r="A35" s="30" t="s">
        <v>211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212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210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214</v>
      </c>
      <c r="B40" s="3"/>
      <c r="C40" s="72" t="n">
        <f aca="false">Model!C84</f>
        <v>-0</v>
      </c>
      <c r="D40" s="72" t="n">
        <f aca="false">Model!D84</f>
        <v>-0</v>
      </c>
      <c r="E40" s="72" t="n">
        <f aca="false">Model!E84</f>
        <v>-0</v>
      </c>
      <c r="F40" s="72" t="n">
        <f aca="false">Model!F84</f>
        <v>-0</v>
      </c>
      <c r="G40" s="72" t="n">
        <f aca="false">Model!G84</f>
        <v>-0</v>
      </c>
      <c r="H40" s="72" t="n">
        <f aca="false">Model!H84</f>
        <v>-0</v>
      </c>
      <c r="I40" s="72" t="n">
        <f aca="false">Model!I84</f>
        <v>-0</v>
      </c>
      <c r="J40" s="72" t="n">
        <f aca="false">Model!J84</f>
        <v>-0</v>
      </c>
      <c r="K40" s="72" t="n">
        <f aca="false">Model!K84</f>
        <v>-0</v>
      </c>
      <c r="L40" s="72" t="n">
        <f aca="false">Model!L84</f>
        <v>-0</v>
      </c>
      <c r="M40" s="72" t="n">
        <f aca="false">Model!M84</f>
        <v>-0</v>
      </c>
      <c r="N40" s="72" t="n">
        <f aca="false">Model!N84</f>
        <v>-0</v>
      </c>
      <c r="O40" s="72" t="n">
        <f aca="false">Model!O84</f>
        <v>-0</v>
      </c>
      <c r="P40" s="72" t="n">
        <f aca="false">Model!P84</f>
        <v>-0</v>
      </c>
      <c r="Q40" s="72" t="n">
        <f aca="false">Model!Q84</f>
        <v>-0</v>
      </c>
      <c r="R40" s="72" t="n">
        <f aca="false">Model!R84</f>
        <v>-0</v>
      </c>
      <c r="S40" s="72" t="n">
        <f aca="false">Model!S84</f>
        <v>-0</v>
      </c>
      <c r="T40" s="72" t="n">
        <f aca="false">Model!T84</f>
        <v>-0</v>
      </c>
      <c r="U40" s="72" t="n">
        <f aca="false">Model!U84</f>
        <v>-0</v>
      </c>
      <c r="V40" s="72" t="n">
        <f aca="false">Model!V84</f>
        <v>-0</v>
      </c>
      <c r="W40" s="72" t="n">
        <f aca="false">Model!W84</f>
        <v>-0</v>
      </c>
      <c r="X40" s="72" t="n">
        <f aca="false">Model!X84</f>
        <v>-0</v>
      </c>
      <c r="Y40" s="72" t="n">
        <f aca="false">Model!Y84</f>
        <v>-0</v>
      </c>
      <c r="Z40" s="72" t="n">
        <f aca="false">Model!Z84</f>
        <v>-0</v>
      </c>
      <c r="AA40" s="72" t="n">
        <f aca="false">Model!AA84</f>
        <v>-0</v>
      </c>
      <c r="AB40" s="72" t="n">
        <f aca="false">Model!AB84</f>
        <v>-0</v>
      </c>
      <c r="AC40" s="72" t="n">
        <f aca="false">Model!AC84</f>
        <v>-0</v>
      </c>
      <c r="AD40" s="72" t="n">
        <f aca="false">Model!AD84</f>
        <v>-0</v>
      </c>
      <c r="AE40" s="72" t="n">
        <f aca="false">Model!AE84</f>
        <v>-0</v>
      </c>
      <c r="AF40" s="72" t="n">
        <f aca="false">Model!AF84</f>
        <v>-0</v>
      </c>
      <c r="AG40" s="72" t="n">
        <f aca="false">Model!AG84</f>
        <v>-0</v>
      </c>
      <c r="AH40" s="72" t="n">
        <f aca="false">Model!AH84</f>
        <v>-0</v>
      </c>
      <c r="AI40" s="72" t="n">
        <f aca="false">Model!AI84</f>
        <v>-0</v>
      </c>
      <c r="AJ40" s="72" t="n">
        <f aca="false">Model!AJ84</f>
        <v>-0</v>
      </c>
      <c r="AK40" s="72" t="n">
        <f aca="false">Model!AK84</f>
        <v>-0</v>
      </c>
      <c r="AL40" s="72" t="n">
        <f aca="false">Model!AL84</f>
        <v>-0</v>
      </c>
      <c r="AM40" s="72" t="n">
        <f aca="false">Model!AM84</f>
        <v>-0</v>
      </c>
      <c r="AN40" s="72" t="n">
        <f aca="false">Model!AN84</f>
        <v>-0</v>
      </c>
      <c r="AO40" s="72" t="n">
        <f aca="false">Model!AO84</f>
        <v>-0</v>
      </c>
      <c r="AP40" s="72" t="n">
        <f aca="false">Model!AP84</f>
        <v>-0</v>
      </c>
      <c r="AQ40" s="72" t="n">
        <f aca="false">Model!AQ84</f>
        <v>-0</v>
      </c>
      <c r="AR40" s="72" t="n">
        <f aca="false">Model!AR84</f>
        <v>-0</v>
      </c>
      <c r="AS40" s="72" t="n">
        <f aca="false">Model!AS84</f>
        <v>-0</v>
      </c>
      <c r="AT40" s="72" t="n">
        <f aca="false">Model!AT84</f>
        <v>-0</v>
      </c>
      <c r="AU40" s="72" t="n">
        <f aca="false">Model!AU84</f>
        <v>-0</v>
      </c>
      <c r="AV40" s="72" t="n">
        <f aca="false">Model!AV84</f>
        <v>-0</v>
      </c>
      <c r="AW40" s="72" t="n">
        <f aca="false">Model!AW84</f>
        <v>-0</v>
      </c>
      <c r="AX40" s="72" t="n">
        <f aca="false">Model!AX84</f>
        <v>-0</v>
      </c>
      <c r="AY40" s="72" t="n">
        <f aca="false">Model!AY84</f>
        <v>-0</v>
      </c>
      <c r="AZ40" s="72" t="n">
        <f aca="false">Model!AZ84</f>
        <v>-0</v>
      </c>
      <c r="BA40" s="72" t="n">
        <f aca="false">Model!BA84</f>
        <v>-0</v>
      </c>
      <c r="BB40" s="72" t="n">
        <f aca="false">Model!BB84</f>
        <v>-0</v>
      </c>
      <c r="BC40" s="72" t="n">
        <f aca="false">Model!BC84</f>
        <v>-0</v>
      </c>
      <c r="BD40" s="72" t="n">
        <f aca="false">Model!BD84</f>
        <v>-0</v>
      </c>
      <c r="BE40" s="72" t="n">
        <f aca="false">Model!BE84</f>
        <v>-0</v>
      </c>
      <c r="BF40" s="72" t="n">
        <f aca="false">Model!BF84</f>
        <v>-0</v>
      </c>
      <c r="BG40" s="72" t="n">
        <f aca="false">Model!BG84</f>
        <v>-0</v>
      </c>
      <c r="BH40" s="72" t="n">
        <f aca="false">Model!BH84</f>
        <v>-0</v>
      </c>
      <c r="BI40" s="72" t="n">
        <f aca="false">Model!BI84</f>
        <v>-0</v>
      </c>
      <c r="BJ40" s="72" t="n">
        <f aca="false">Model!BJ84</f>
        <v>-0</v>
      </c>
      <c r="BK40" s="72" t="n">
        <f aca="false">Model!BK84</f>
        <v>-0</v>
      </c>
      <c r="BL40" s="72" t="n">
        <f aca="false">Model!BL84</f>
        <v>-0</v>
      </c>
      <c r="BM40" s="72" t="n">
        <f aca="false">Model!BM84</f>
        <v>-0</v>
      </c>
      <c r="BN40" s="72" t="n">
        <f aca="false">Model!BN84</f>
        <v>-0</v>
      </c>
      <c r="BO40" s="72" t="n">
        <f aca="false">Model!BO84</f>
        <v>-0</v>
      </c>
      <c r="BP40" s="72" t="n">
        <f aca="false">Model!BP84</f>
        <v>-0</v>
      </c>
      <c r="BQ40" s="72" t="n">
        <f aca="false">Model!BQ84</f>
        <v>-0</v>
      </c>
      <c r="BR40" s="72" t="n">
        <f aca="false">Model!BR84</f>
        <v>-0</v>
      </c>
      <c r="BS40" s="72" t="n">
        <f aca="false">Model!BS84</f>
        <v>-0</v>
      </c>
      <c r="BT40" s="72" t="n">
        <f aca="false">Model!BT84</f>
        <v>-0</v>
      </c>
      <c r="BU40" s="72" t="n">
        <f aca="false">Model!BU84</f>
        <v>-0</v>
      </c>
      <c r="BV40" s="72" t="n">
        <f aca="false">Model!BV84</f>
        <v>-0</v>
      </c>
      <c r="BW40" s="72" t="n">
        <f aca="false">Model!BW84</f>
        <v>-0</v>
      </c>
      <c r="BX40" s="72" t="n">
        <f aca="false">Model!BX84</f>
        <v>-0</v>
      </c>
      <c r="BY40" s="72" t="n">
        <f aca="false">Model!BY84</f>
        <v>-73156</v>
      </c>
      <c r="BZ40" s="72" t="n">
        <f aca="false">Model!BZ84</f>
        <v>-0</v>
      </c>
      <c r="CA40" s="72" t="n">
        <f aca="false">Model!CA84</f>
        <v>-0</v>
      </c>
      <c r="CB40" s="72" t="n">
        <f aca="false">Model!CB84</f>
        <v>-73155</v>
      </c>
      <c r="CC40" s="72" t="n">
        <f aca="false">Model!CC84</f>
        <v>-0</v>
      </c>
      <c r="CD40" s="72" t="n">
        <f aca="false">Model!CD84</f>
        <v>-0</v>
      </c>
      <c r="CE40" s="72" t="n">
        <f aca="false">Model!CE84</f>
        <v>-73155</v>
      </c>
      <c r="CF40" s="72" t="n">
        <f aca="false">Model!CF84</f>
        <v>-0</v>
      </c>
      <c r="CG40" s="72" t="n">
        <f aca="false">Model!CG84</f>
        <v>-0</v>
      </c>
      <c r="CH40" s="72" t="n">
        <f aca="false">Model!CH84</f>
        <v>-73155</v>
      </c>
    </row>
    <row r="41" customFormat="false" ht="15" hidden="false" customHeight="true" outlineLevel="0" collapsed="false">
      <c r="A41" s="30" t="s">
        <v>211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212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216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33281.25</v>
      </c>
      <c r="H45" s="69" t="n">
        <f aca="false">H5+H10+H16+H22+H28+H35+H41</f>
        <v>33281.25</v>
      </c>
      <c r="I45" s="69" t="n">
        <f aca="false">I5+I10+I16+I22+I28+I35+I41</f>
        <v>33281.25</v>
      </c>
      <c r="J45" s="69" t="n">
        <f aca="false">J5+J10+J16+J22+J28+J35+J41</f>
        <v>23906.25</v>
      </c>
      <c r="K45" s="69" t="n">
        <f aca="false">K5+K10+K16+K22+K28+K35+K41</f>
        <v>23906.25</v>
      </c>
      <c r="L45" s="69" t="n">
        <f aca="false">L5+L10+L16+L22+L28+L35+L41</f>
        <v>23906.25</v>
      </c>
      <c r="M45" s="69" t="n">
        <f aca="false">M5+M10+M16+M22+M28+M35+M41</f>
        <v>23906.25</v>
      </c>
      <c r="N45" s="69" t="n">
        <f aca="false">N5+N10+N16+N22+N28+N35+N41</f>
        <v>23906.25</v>
      </c>
      <c r="O45" s="69" t="n">
        <f aca="false">O5+O10+O16+O22+O28+O35+O41</f>
        <v>23906.25</v>
      </c>
      <c r="P45" s="69" t="n">
        <f aca="false">P5+P10+P16+P22+P28+P35+P41</f>
        <v>23906.25</v>
      </c>
      <c r="Q45" s="69" t="n">
        <f aca="false">Q5+Q10+Q16+Q22+Q28+Q35+Q41</f>
        <v>23906.25</v>
      </c>
      <c r="R45" s="69" t="n">
        <f aca="false">R5+R10+R16+R22+R28+R35+R41</f>
        <v>0</v>
      </c>
      <c r="S45" s="69" t="n">
        <f aca="false">S5+S10+S16+S22+S28+S35+S41</f>
        <v>0</v>
      </c>
      <c r="T45" s="69" t="n">
        <f aca="false">T5+T10+T16+T22+T28+T35+T41</f>
        <v>0</v>
      </c>
      <c r="U45" s="69" t="n">
        <f aca="false">U5+U10+U16+U22+U28+U35+U41</f>
        <v>0</v>
      </c>
      <c r="V45" s="69" t="n">
        <f aca="false">V5+V10+V16+V22+V28+V35+V41</f>
        <v>0</v>
      </c>
      <c r="W45" s="69" t="n">
        <f aca="false">W5+W10+W16+W22+W28+W35+W41</f>
        <v>57375</v>
      </c>
      <c r="X45" s="69" t="n">
        <f aca="false">X5+X10+X16+X22+X28+X35+X41</f>
        <v>0</v>
      </c>
      <c r="Y45" s="69" t="n">
        <f aca="false">Y5+Y10+Y16+Y22+Y28+Y35+Y41</f>
        <v>0</v>
      </c>
      <c r="Z45" s="69" t="n">
        <f aca="false">Z5+Z10+Z16+Z22+Z28+Z35+Z41</f>
        <v>57375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217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166406.25</v>
      </c>
      <c r="H46" s="70" t="n">
        <f aca="false">G46+H45</f>
        <v>199687.5</v>
      </c>
      <c r="I46" s="70" t="n">
        <f aca="false">H46+I45</f>
        <v>232968.75</v>
      </c>
      <c r="J46" s="70" t="n">
        <f aca="false">I46+J45</f>
        <v>256875</v>
      </c>
      <c r="K46" s="70" t="n">
        <f aca="false">J46+K45</f>
        <v>280781.25</v>
      </c>
      <c r="L46" s="70" t="n">
        <f aca="false">K46+L45</f>
        <v>304687.5</v>
      </c>
      <c r="M46" s="70" t="n">
        <f aca="false">L46+M45</f>
        <v>328593.75</v>
      </c>
      <c r="N46" s="70" t="n">
        <f aca="false">M46+N45</f>
        <v>352500</v>
      </c>
      <c r="O46" s="70" t="n">
        <f aca="false">N46+O45</f>
        <v>376406.25</v>
      </c>
      <c r="P46" s="70" t="n">
        <f aca="false">O46+P45</f>
        <v>400312.5</v>
      </c>
      <c r="Q46" s="70" t="n">
        <f aca="false">P46+Q45</f>
        <v>424218.75</v>
      </c>
      <c r="R46" s="70" t="n">
        <f aca="false">Q46+R45</f>
        <v>424218.75</v>
      </c>
      <c r="S46" s="70" t="n">
        <f aca="false">R46+S45</f>
        <v>424218.75</v>
      </c>
      <c r="T46" s="70" t="n">
        <f aca="false">S46+T45</f>
        <v>424218.75</v>
      </c>
      <c r="U46" s="70" t="n">
        <f aca="false">T46+U45</f>
        <v>424218.75</v>
      </c>
      <c r="V46" s="70" t="n">
        <f aca="false">U46+V45</f>
        <v>424218.75</v>
      </c>
      <c r="W46" s="70" t="n">
        <f aca="false">V46+W45</f>
        <v>481593.75</v>
      </c>
      <c r="X46" s="70" t="n">
        <f aca="false">W46+X45</f>
        <v>481593.75</v>
      </c>
      <c r="Y46" s="70" t="n">
        <f aca="false">X46+Y45</f>
        <v>481593.75</v>
      </c>
      <c r="Z46" s="70" t="n">
        <f aca="false">Y46+Z45</f>
        <v>538968.75</v>
      </c>
      <c r="AA46" s="70" t="n">
        <f aca="false">Z46+AA45</f>
        <v>538968.75</v>
      </c>
      <c r="AB46" s="70" t="n">
        <f aca="false">AA46+AB45</f>
        <v>538968.75</v>
      </c>
      <c r="AC46" s="70" t="n">
        <f aca="false">AB46+AC45</f>
        <v>596343.75</v>
      </c>
      <c r="AD46" s="70" t="n">
        <f aca="false">AC46+AD45</f>
        <v>596343.75</v>
      </c>
      <c r="AE46" s="70" t="n">
        <f aca="false">AD46+AE45</f>
        <v>596343.75</v>
      </c>
      <c r="AF46" s="70" t="n">
        <f aca="false">AE46+AF45</f>
        <v>596343.75</v>
      </c>
      <c r="AG46" s="70" t="n">
        <f aca="false">AF46+AG45</f>
        <v>596343.75</v>
      </c>
      <c r="AH46" s="70" t="n">
        <f aca="false">AG46+AH45</f>
        <v>596343.75</v>
      </c>
      <c r="AI46" s="70" t="n">
        <f aca="false">AH46+AI45</f>
        <v>596343.75</v>
      </c>
      <c r="AJ46" s="70" t="n">
        <f aca="false">AI46+AJ45</f>
        <v>596343.75</v>
      </c>
      <c r="AK46" s="70" t="n">
        <f aca="false">AJ46+AK45</f>
        <v>596343.75</v>
      </c>
      <c r="AL46" s="70" t="n">
        <f aca="false">AK46+AL45</f>
        <v>596343.75</v>
      </c>
      <c r="AM46" s="70" t="n">
        <f aca="false">AL46+AM45</f>
        <v>596343.75</v>
      </c>
      <c r="AN46" s="70" t="n">
        <f aca="false">AM46+AN45</f>
        <v>596343.75</v>
      </c>
      <c r="AO46" s="70" t="n">
        <f aca="false">AN46+AO45</f>
        <v>596343.75</v>
      </c>
      <c r="AP46" s="70" t="n">
        <f aca="false">AO46+AP45</f>
        <v>596343.75</v>
      </c>
      <c r="AQ46" s="70" t="n">
        <f aca="false">AP46+AQ45</f>
        <v>596343.75</v>
      </c>
      <c r="AR46" s="70" t="n">
        <f aca="false">AQ46+AR45</f>
        <v>596343.75</v>
      </c>
      <c r="AS46" s="70" t="n">
        <f aca="false">AR46+AS45</f>
        <v>596343.75</v>
      </c>
      <c r="AT46" s="70" t="n">
        <f aca="false">AS46+AT45</f>
        <v>596343.75</v>
      </c>
      <c r="AU46" s="70" t="n">
        <f aca="false">AT46+AU45</f>
        <v>596343.75</v>
      </c>
      <c r="AV46" s="70" t="n">
        <f aca="false">AU46+AV45</f>
        <v>596343.75</v>
      </c>
      <c r="AW46" s="70" t="n">
        <f aca="false">AV46+AW45</f>
        <v>596343.75</v>
      </c>
      <c r="AX46" s="70" t="n">
        <f aca="false">AW46+AX45</f>
        <v>596343.75</v>
      </c>
      <c r="AY46" s="70" t="n">
        <f aca="false">AX46+AY45</f>
        <v>596343.75</v>
      </c>
      <c r="AZ46" s="70" t="n">
        <f aca="false">AY46+AZ45</f>
        <v>596343.75</v>
      </c>
      <c r="BA46" s="70" t="n">
        <f aca="false">AZ46+BA45</f>
        <v>596343.75</v>
      </c>
      <c r="BB46" s="70" t="n">
        <f aca="false">BA46+BB45</f>
        <v>596343.75</v>
      </c>
      <c r="BC46" s="70" t="n">
        <f aca="false">BB46+BC45</f>
        <v>596343.75</v>
      </c>
      <c r="BD46" s="70" t="n">
        <f aca="false">BC46+BD45</f>
        <v>596343.75</v>
      </c>
      <c r="BE46" s="70" t="n">
        <f aca="false">BD46+BE45</f>
        <v>596343.75</v>
      </c>
      <c r="BF46" s="70" t="n">
        <f aca="false">BE46+BF45</f>
        <v>596343.75</v>
      </c>
      <c r="BG46" s="70" t="n">
        <f aca="false">BF46+BG45</f>
        <v>596343.75</v>
      </c>
      <c r="BH46" s="70" t="n">
        <f aca="false">BG46+BH45</f>
        <v>596343.75</v>
      </c>
      <c r="BI46" s="70" t="n">
        <f aca="false">BH46+BI45</f>
        <v>596343.75</v>
      </c>
      <c r="BJ46" s="70" t="n">
        <f aca="false">BI46+BJ45</f>
        <v>596343.75</v>
      </c>
      <c r="BK46" s="70" t="n">
        <f aca="false">BJ46+BK45</f>
        <v>596343.75</v>
      </c>
      <c r="BL46" s="70" t="n">
        <f aca="false">BK46+BL45</f>
        <v>596343.75</v>
      </c>
      <c r="BM46" s="70" t="n">
        <f aca="false">BL46+BM45</f>
        <v>596343.75</v>
      </c>
      <c r="BN46" s="70" t="n">
        <f aca="false">BM46+BN45</f>
        <v>596343.75</v>
      </c>
      <c r="BO46" s="70" t="n">
        <f aca="false">BN46+BO45</f>
        <v>596343.75</v>
      </c>
      <c r="BP46" s="70" t="n">
        <f aca="false">BO46+BP45</f>
        <v>647857.27</v>
      </c>
      <c r="BQ46" s="70" t="n">
        <f aca="false">BP46+BQ45</f>
        <v>647857.27</v>
      </c>
      <c r="BR46" s="70" t="n">
        <f aca="false">BQ46+BR45</f>
        <v>647857.27</v>
      </c>
      <c r="BS46" s="70" t="n">
        <f aca="false">BR46+BS45</f>
        <v>715619.27</v>
      </c>
      <c r="BT46" s="70" t="n">
        <f aca="false">BS46+BT45</f>
        <v>715619.27</v>
      </c>
      <c r="BU46" s="70" t="n">
        <f aca="false">BT46+BU45</f>
        <v>715619.27</v>
      </c>
      <c r="BV46" s="70" t="n">
        <f aca="false">BU46+BV45</f>
        <v>783381.27</v>
      </c>
      <c r="BW46" s="70" t="n">
        <f aca="false">BV46+BW45</f>
        <v>783381.27</v>
      </c>
      <c r="BX46" s="70" t="n">
        <f aca="false">BW46+BX45</f>
        <v>783381.27</v>
      </c>
      <c r="BY46" s="70" t="n">
        <f aca="false">BX46+BY45</f>
        <v>777987.27</v>
      </c>
      <c r="BZ46" s="70" t="n">
        <f aca="false">BY46+BZ45</f>
        <v>777987.27</v>
      </c>
      <c r="CA46" s="70" t="n">
        <f aca="false">BZ46+CA45</f>
        <v>777987.27</v>
      </c>
      <c r="CB46" s="70" t="n">
        <f aca="false">CA46+CB45</f>
        <v>781331.27</v>
      </c>
      <c r="CC46" s="70" t="n">
        <f aca="false">CB46+CC45</f>
        <v>781331.27</v>
      </c>
      <c r="CD46" s="70" t="n">
        <f aca="false">CC46+CD45</f>
        <v>781331.27</v>
      </c>
      <c r="CE46" s="70" t="n">
        <f aca="false">CD46+CE45</f>
        <v>784675.27</v>
      </c>
      <c r="CF46" s="70" t="n">
        <f aca="false">CE46+CF45</f>
        <v>784675.27</v>
      </c>
      <c r="CG46" s="70" t="n">
        <f aca="false">CF46+CG45</f>
        <v>784675.27</v>
      </c>
      <c r="CH46" s="70" t="n">
        <f aca="false">CG46+CH45</f>
        <v>794627.296606479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219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220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221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222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223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224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225</v>
      </c>
      <c r="B55" s="75" t="s">
        <v>226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227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228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229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3"/>
      <c r="I4" s="3"/>
    </row>
    <row r="5" customFormat="false" ht="15" hidden="false" customHeight="true" outlineLevel="0" collapsed="false">
      <c r="A5" s="18" t="s">
        <v>237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238</v>
      </c>
      <c r="G5" s="63" t="s">
        <v>239</v>
      </c>
      <c r="H5" s="3"/>
      <c r="I5" s="3"/>
    </row>
    <row r="6" customFormat="false" ht="15" hidden="false" customHeight="true" outlineLevel="0" collapsed="false">
      <c r="A6" s="18" t="s">
        <v>240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238</v>
      </c>
      <c r="G6" s="63" t="s">
        <v>239</v>
      </c>
      <c r="H6" s="3"/>
      <c r="I6" s="3"/>
    </row>
    <row r="7" customFormat="false" ht="15" hidden="false" customHeight="true" outlineLevel="0" collapsed="false">
      <c r="A7" s="18" t="s">
        <v>241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238</v>
      </c>
      <c r="G7" s="63" t="s">
        <v>242</v>
      </c>
      <c r="H7" s="3"/>
      <c r="I7" s="3"/>
    </row>
    <row r="8" customFormat="false" ht="15" hidden="false" customHeight="true" outlineLevel="0" collapsed="false">
      <c r="A8" s="18" t="s">
        <v>243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238</v>
      </c>
      <c r="G8" s="63" t="s">
        <v>244</v>
      </c>
      <c r="H8" s="3"/>
      <c r="I8" s="3"/>
    </row>
    <row r="9" customFormat="false" ht="15" hidden="false" customHeight="true" outlineLevel="0" collapsed="false">
      <c r="A9" s="18" t="s">
        <v>245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238</v>
      </c>
      <c r="G9" s="63" t="s">
        <v>246</v>
      </c>
      <c r="H9" s="3"/>
      <c r="I9" s="3"/>
    </row>
    <row r="10" customFormat="false" ht="15" hidden="false" customHeight="true" outlineLevel="0" collapsed="false">
      <c r="A10" s="18" t="s">
        <v>247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238</v>
      </c>
      <c r="G10" s="63" t="s">
        <v>248</v>
      </c>
      <c r="H10" s="3"/>
      <c r="I10" s="3"/>
    </row>
    <row r="11" customFormat="false" ht="15" hidden="false" customHeight="true" outlineLevel="0" collapsed="false">
      <c r="A11" s="18" t="s">
        <v>249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238</v>
      </c>
      <c r="G11" s="63" t="s">
        <v>250</v>
      </c>
      <c r="H11" s="3"/>
      <c r="I11" s="3"/>
    </row>
    <row r="12" customFormat="false" ht="15" hidden="false" customHeight="true" outlineLevel="0" collapsed="false">
      <c r="A12" s="18" t="s">
        <v>251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238</v>
      </c>
      <c r="G12" s="63" t="s">
        <v>252</v>
      </c>
      <c r="H12" s="3"/>
      <c r="I12" s="3"/>
    </row>
    <row r="13" customFormat="false" ht="15" hidden="false" customHeight="true" outlineLevel="0" collapsed="false">
      <c r="A13" s="18" t="s">
        <v>253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238</v>
      </c>
      <c r="G13" s="63" t="s">
        <v>254</v>
      </c>
      <c r="H13" s="3"/>
      <c r="I13" s="3"/>
    </row>
    <row r="14" customFormat="false" ht="15" hidden="false" customHeight="true" outlineLevel="0" collapsed="false">
      <c r="A14" s="18" t="s">
        <v>255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256</v>
      </c>
      <c r="G14" s="63" t="s">
        <v>257</v>
      </c>
      <c r="H14" s="3"/>
      <c r="I14" s="3"/>
    </row>
    <row r="15" customFormat="false" ht="15" hidden="false" customHeight="true" outlineLevel="0" collapsed="false">
      <c r="A15" s="18" t="s">
        <v>258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238</v>
      </c>
      <c r="G15" s="63" t="s">
        <v>259</v>
      </c>
      <c r="H15" s="3"/>
      <c r="I15" s="3"/>
    </row>
    <row r="16" customFormat="false" ht="15" hidden="false" customHeight="true" outlineLevel="0" collapsed="false">
      <c r="A16" s="18" t="s">
        <v>260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238</v>
      </c>
      <c r="G16" s="63" t="s">
        <v>261</v>
      </c>
      <c r="H16" s="3"/>
      <c r="I16" s="3"/>
    </row>
    <row r="17" customFormat="false" ht="15" hidden="false" customHeight="true" outlineLevel="0" collapsed="false">
      <c r="A17" s="18" t="s">
        <v>262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238</v>
      </c>
      <c r="G17" s="63" t="s">
        <v>263</v>
      </c>
      <c r="H17" s="3"/>
      <c r="I17" s="3"/>
    </row>
    <row r="18" customFormat="false" ht="15" hidden="false" customHeight="true" outlineLevel="0" collapsed="false">
      <c r="A18" s="18" t="s">
        <v>264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265</v>
      </c>
      <c r="G18" s="63" t="s">
        <v>266</v>
      </c>
      <c r="H18" s="3"/>
      <c r="I18" s="3"/>
    </row>
    <row r="19" customFormat="false" ht="15" hidden="false" customHeight="true" outlineLevel="0" collapsed="false">
      <c r="A19" s="18" t="s">
        <v>267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256</v>
      </c>
      <c r="G19" s="63" t="s">
        <v>268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269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270</v>
      </c>
      <c r="B23" s="8" t="s">
        <v>271</v>
      </c>
      <c r="C23" s="8" t="s">
        <v>272</v>
      </c>
      <c r="D23" s="8" t="s">
        <v>273</v>
      </c>
      <c r="E23" s="8" t="s">
        <v>274</v>
      </c>
      <c r="F23" s="8" t="s">
        <v>275</v>
      </c>
      <c r="G23" s="8" t="s">
        <v>276</v>
      </c>
      <c r="H23" s="3"/>
      <c r="I23" s="3"/>
    </row>
    <row r="24" customFormat="false" ht="15" hidden="false" customHeight="true" outlineLevel="0" collapsed="false">
      <c r="A24" s="18" t="s">
        <v>209</v>
      </c>
      <c r="B24" s="86" t="str">
        <f aca="false">Projects!$G$2</f>
        <v>Yes</v>
      </c>
      <c r="C24" s="85" t="n">
        <v>5321971</v>
      </c>
      <c r="D24" s="18" t="s">
        <v>277</v>
      </c>
      <c r="E24" s="18" t="s">
        <v>278</v>
      </c>
      <c r="F24" s="18" t="s">
        <v>279</v>
      </c>
      <c r="G24" s="18" t="s">
        <v>279</v>
      </c>
      <c r="H24" s="3"/>
      <c r="I24" s="3"/>
    </row>
    <row r="25" customFormat="false" ht="15" hidden="false" customHeight="true" outlineLevel="0" collapsed="false">
      <c r="A25" s="18" t="s">
        <v>213</v>
      </c>
      <c r="B25" s="86" t="str">
        <f aca="false">Projects!$G$3</f>
        <v>Yes</v>
      </c>
      <c r="C25" s="85" t="n">
        <v>19982132</v>
      </c>
      <c r="D25" s="18" t="s">
        <v>277</v>
      </c>
      <c r="E25" s="18" t="s">
        <v>280</v>
      </c>
      <c r="F25" s="18" t="s">
        <v>279</v>
      </c>
      <c r="G25" s="18" t="s">
        <v>279</v>
      </c>
      <c r="H25" s="3"/>
      <c r="I25" s="3"/>
    </row>
    <row r="26" customFormat="false" ht="15" hidden="false" customHeight="true" outlineLevel="0" collapsed="false">
      <c r="A26" s="18" t="s">
        <v>157</v>
      </c>
      <c r="B26" s="86" t="str">
        <f aca="false">Projects!$G$4</f>
        <v>Yes</v>
      </c>
      <c r="C26" s="85" t="n">
        <v>11673185</v>
      </c>
      <c r="D26" s="18" t="s">
        <v>281</v>
      </c>
      <c r="E26" s="18" t="s">
        <v>282</v>
      </c>
      <c r="F26" s="18" t="s">
        <v>279</v>
      </c>
      <c r="G26" s="18" t="s">
        <v>283</v>
      </c>
      <c r="H26" s="3"/>
      <c r="I26" s="3"/>
    </row>
    <row r="27" customFormat="false" ht="15" hidden="false" customHeight="true" outlineLevel="0" collapsed="false">
      <c r="A27" s="18" t="s">
        <v>158</v>
      </c>
      <c r="B27" s="86" t="str">
        <f aca="false">Projects!$G$5</f>
        <v>Yes</v>
      </c>
      <c r="C27" s="85" t="n">
        <v>13492534</v>
      </c>
      <c r="D27" s="18" t="s">
        <v>281</v>
      </c>
      <c r="E27" s="18" t="s">
        <v>282</v>
      </c>
      <c r="F27" s="18" t="s">
        <v>279</v>
      </c>
      <c r="G27" s="18" t="s">
        <v>283</v>
      </c>
      <c r="H27" s="3"/>
      <c r="I27" s="3"/>
    </row>
    <row r="28" customFormat="false" ht="15" hidden="false" customHeight="true" outlineLevel="0" collapsed="false">
      <c r="A28" s="18" t="s">
        <v>284</v>
      </c>
      <c r="B28" s="86" t="str">
        <f aca="false">Projects!$G$6</f>
        <v>Yes</v>
      </c>
      <c r="C28" s="85" t="n">
        <v>4052747</v>
      </c>
      <c r="D28" s="18" t="s">
        <v>281</v>
      </c>
      <c r="E28" s="18" t="s">
        <v>285</v>
      </c>
      <c r="F28" s="18" t="s">
        <v>279</v>
      </c>
      <c r="G28" s="18" t="s">
        <v>283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277</v>
      </c>
      <c r="E29" s="18" t="s">
        <v>286</v>
      </c>
      <c r="F29" s="18" t="s">
        <v>283</v>
      </c>
      <c r="G29" s="18" t="s">
        <v>283</v>
      </c>
      <c r="H29" s="3"/>
      <c r="I29" s="3"/>
    </row>
    <row r="30" customFormat="false" ht="15" hidden="false" customHeight="true" outlineLevel="0" collapsed="false">
      <c r="A30" s="18" t="s">
        <v>159</v>
      </c>
      <c r="B30" s="86" t="str">
        <f aca="false">Projects!$G$8</f>
        <v>Yes</v>
      </c>
      <c r="C30" s="85" t="n">
        <v>13625772</v>
      </c>
      <c r="D30" s="18" t="s">
        <v>281</v>
      </c>
      <c r="E30" s="18" t="s">
        <v>285</v>
      </c>
      <c r="F30" s="18" t="s">
        <v>279</v>
      </c>
      <c r="G30" s="18" t="s">
        <v>283</v>
      </c>
      <c r="H30" s="3"/>
      <c r="I30" s="3"/>
    </row>
    <row r="31" customFormat="false" ht="15" hidden="false" customHeight="true" outlineLevel="0" collapsed="false">
      <c r="A31" s="18" t="s">
        <v>160</v>
      </c>
      <c r="B31" s="86" t="str">
        <f aca="false">Projects!$G$9</f>
        <v>Yes</v>
      </c>
      <c r="C31" s="85" t="n">
        <v>15844883</v>
      </c>
      <c r="D31" s="18" t="s">
        <v>281</v>
      </c>
      <c r="E31" s="18" t="s">
        <v>287</v>
      </c>
      <c r="F31" s="18" t="s">
        <v>279</v>
      </c>
      <c r="G31" s="18" t="s">
        <v>283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281</v>
      </c>
      <c r="E32" s="18" t="s">
        <v>285</v>
      </c>
      <c r="F32" s="18" t="s">
        <v>279</v>
      </c>
      <c r="G32" s="18" t="s">
        <v>283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No</v>
      </c>
      <c r="C33" s="85" t="n">
        <v>9577109</v>
      </c>
      <c r="D33" s="18" t="s">
        <v>277</v>
      </c>
      <c r="E33" s="18" t="s">
        <v>285</v>
      </c>
      <c r="F33" s="18" t="s">
        <v>283</v>
      </c>
      <c r="G33" s="18" t="s">
        <v>279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No</v>
      </c>
      <c r="C34" s="85" t="n">
        <v>7545203</v>
      </c>
      <c r="D34" s="18" t="s">
        <v>277</v>
      </c>
      <c r="E34" s="18" t="s">
        <v>285</v>
      </c>
      <c r="F34" s="18" t="s">
        <v>283</v>
      </c>
      <c r="G34" s="18" t="s">
        <v>279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277</v>
      </c>
      <c r="E35" s="18" t="s">
        <v>287</v>
      </c>
      <c r="F35" s="18" t="s">
        <v>283</v>
      </c>
      <c r="G35" s="18" t="s">
        <v>283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277</v>
      </c>
      <c r="E36" s="18" t="s">
        <v>287</v>
      </c>
      <c r="F36" s="18" t="s">
        <v>283</v>
      </c>
      <c r="G36" s="18" t="s">
        <v>283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288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289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679001.55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-4068226.8442</v>
      </c>
      <c r="C42" s="89" t="n">
        <f aca="false">'Annual Summary'!C15</f>
        <v>-6143885.2157</v>
      </c>
      <c r="D42" s="89" t="n">
        <f aca="false">'Annual Summary'!D15</f>
        <v>-6048457.194514</v>
      </c>
      <c r="E42" s="89" t="n">
        <f aca="false">'Annual Summary'!E15</f>
        <v>-4736782.44760428</v>
      </c>
      <c r="F42" s="89" t="n">
        <f aca="false">'Annual Summary'!F15</f>
        <v>-4769780.25655637</v>
      </c>
      <c r="G42" s="89" t="n">
        <f aca="false">'Annual Summary'!G15</f>
        <v>-4803438.0216875</v>
      </c>
      <c r="H42" s="89" t="n">
        <f aca="false">'Annual Summary'!H15</f>
        <v>-4837768.94212125</v>
      </c>
      <c r="I42" s="89" t="n">
        <f aca="false">'Annual Summary'!I15</f>
        <v>-1211598.48792209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2376128.6951103</v>
      </c>
      <c r="C43" s="77" t="n">
        <f aca="false">'Annual Summary'!C16</f>
        <v>3499075.52186489</v>
      </c>
      <c r="D43" s="77" t="n">
        <f aca="false">'Annual Summary'!D16</f>
        <v>1292047.40603449</v>
      </c>
      <c r="E43" s="77" t="n">
        <f aca="false">'Annual Summary'!E16</f>
        <v>-911771.100516892</v>
      </c>
      <c r="F43" s="77" t="n">
        <f aca="false">'Annual Summary'!F16</f>
        <v>-2985975.94282639</v>
      </c>
      <c r="G43" s="77" t="n">
        <f aca="false">'Annual Summary'!G16</f>
        <v>-4803438.0216875</v>
      </c>
      <c r="H43" s="77" t="n">
        <f aca="false">'Annual Summary'!H16</f>
        <v>-4837768.94212125</v>
      </c>
      <c r="I43" s="77" t="n">
        <f aca="false">'Annual Summary'!I16</f>
        <v>-1211598.48792209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-1095331.25</v>
      </c>
      <c r="C46" s="89" t="n">
        <f aca="false">'Annual Summary'!C20</f>
        <v>-1467681.625</v>
      </c>
      <c r="D46" s="89" t="n">
        <f aca="false">'Annual Summary'!D20</f>
        <v>-1497035.2575</v>
      </c>
      <c r="E46" s="89" t="n">
        <f aca="false">'Annual Summary'!E20</f>
        <v>-1690340.96265</v>
      </c>
      <c r="F46" s="89" t="n">
        <f aca="false">'Annual Summary'!F20</f>
        <v>-2834472.481903</v>
      </c>
      <c r="G46" s="89" t="n">
        <f aca="false">'Annual Summary'!G20</f>
        <v>-2015950.27154106</v>
      </c>
      <c r="H46" s="89" t="n">
        <f aca="false">'Annual Summary'!H20</f>
        <v>-2151910.10737188</v>
      </c>
      <c r="I46" s="89" t="n">
        <f aca="false">'Annual Summary'!I20</f>
        <v>-542565.554709469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-663252.19</v>
      </c>
      <c r="C50" s="91" t="n">
        <f aca="false">'Annual Summary'!C43</f>
        <v>-3143493.49588545</v>
      </c>
      <c r="D50" s="91" t="n">
        <f aca="false">'Annual Summary'!D43</f>
        <v>-2673957.22378545</v>
      </c>
      <c r="E50" s="91" t="n">
        <f aca="false">'Annual Summary'!E43</f>
        <v>-3247871.42003545</v>
      </c>
      <c r="F50" s="91" t="n">
        <f aca="false">'Annual Summary'!F43</f>
        <v>-4279423.75313845</v>
      </c>
      <c r="G50" s="91" t="n">
        <f aca="false">'Annual Summary'!G43</f>
        <v>-5473207.9318795</v>
      </c>
      <c r="H50" s="91" t="n">
        <f aca="false">'Annual Summary'!H43</f>
        <v>-6805125.03925138</v>
      </c>
      <c r="I50" s="91" t="n">
        <f aca="false">'Annual Summary'!I43</f>
        <v>-7116674.59396085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4028044.3851103</v>
      </c>
      <c r="C52" s="91" t="n">
        <f aca="false">'Annual Summary'!C42</f>
        <v>7527119.9069752</v>
      </c>
      <c r="D52" s="91" t="n">
        <f aca="false">'Annual Summary'!D42</f>
        <v>8819167.31300969</v>
      </c>
      <c r="E52" s="91" t="n">
        <f aca="false">'Annual Summary'!E42</f>
        <v>7907396.2124928</v>
      </c>
      <c r="F52" s="91" t="n">
        <f aca="false">'Annual Summary'!F42</f>
        <v>4921420.2696664</v>
      </c>
      <c r="G52" s="91" t="n">
        <f aca="false">'Annual Summary'!G42</f>
        <v>117982.24797891</v>
      </c>
      <c r="H52" s="91" t="n">
        <f aca="false">'Annual Summary'!H42</f>
        <v>-4719786.69414233</v>
      </c>
      <c r="I52" s="91" t="n">
        <f aca="false">'Annual Summary'!I42</f>
        <v>-5931385.18206442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161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290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293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295</v>
      </c>
      <c r="B69" s="8" t="s">
        <v>296</v>
      </c>
      <c r="C69" s="8" t="s">
        <v>297</v>
      </c>
      <c r="D69" s="8" t="s">
        <v>298</v>
      </c>
      <c r="E69" s="8" t="s">
        <v>299</v>
      </c>
      <c r="F69" s="8" t="s">
        <v>300</v>
      </c>
      <c r="G69" s="3"/>
      <c r="H69" s="3"/>
      <c r="I69" s="3"/>
    </row>
    <row r="70" customFormat="false" ht="15" hidden="false" customHeight="true" outlineLevel="0" collapsed="false">
      <c r="A70" s="18" t="s">
        <v>301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302</v>
      </c>
      <c r="B71" s="85" t="n">
        <f aca="false">'Annual Summary'!B42</f>
        <v>4028044.3851103</v>
      </c>
      <c r="C71" s="81" t="n">
        <f aca="false">'Annual Summary'!C42</f>
        <v>7527119.9069752</v>
      </c>
      <c r="D71" s="81" t="n">
        <f aca="false">'Annual Summary'!E42</f>
        <v>7907396.2124928</v>
      </c>
      <c r="E71" s="81" t="n">
        <f aca="false">'Annual Summary'!G42</f>
        <v>117982.24797891</v>
      </c>
      <c r="F71" s="81" t="n">
        <f aca="false">'Annual Summary'!I42</f>
        <v>-5931385.18206442</v>
      </c>
      <c r="G71" s="3"/>
      <c r="H71" s="3"/>
      <c r="I71" s="3"/>
    </row>
    <row r="72" customFormat="false" ht="15" hidden="false" customHeight="true" outlineLevel="0" collapsed="false">
      <c r="A72" s="90" t="s">
        <v>303</v>
      </c>
      <c r="B72" s="96" t="n">
        <f aca="false">'Annual Summary'!B43</f>
        <v>-663252.19</v>
      </c>
      <c r="C72" s="97" t="n">
        <f aca="false">'Annual Summary'!C43</f>
        <v>-3143493.49588545</v>
      </c>
      <c r="D72" s="97" t="n">
        <f aca="false">'Annual Summary'!E43</f>
        <v>-3247871.42003545</v>
      </c>
      <c r="E72" s="97" t="n">
        <f aca="false">'Annual Summary'!G43</f>
        <v>-5473207.9318795</v>
      </c>
      <c r="F72" s="97" t="n">
        <f aca="false">'Annual Summary'!I43</f>
        <v>-7116674.59396085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270</v>
      </c>
      <c r="B76" s="8" t="s">
        <v>305</v>
      </c>
      <c r="C76" s="8" t="s">
        <v>306</v>
      </c>
      <c r="D76" s="8" t="s">
        <v>307</v>
      </c>
      <c r="E76" s="8" t="s">
        <v>308</v>
      </c>
      <c r="F76" s="8" t="s">
        <v>309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310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310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311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311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312</v>
      </c>
      <c r="G81" s="3"/>
      <c r="H81" s="3"/>
      <c r="I81" s="3"/>
    </row>
    <row r="82" customFormat="false" ht="15" hidden="false" customHeight="true" outlineLevel="0" collapsed="false">
      <c r="A82" s="30" t="s">
        <v>313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314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315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316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317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318</v>
      </c>
      <c r="G89" s="3"/>
      <c r="H89" s="3"/>
      <c r="I89" s="3"/>
    </row>
    <row r="90" customFormat="false" ht="15" hidden="false" customHeight="true" outlineLevel="0" collapsed="false">
      <c r="A90" s="71" t="s">
        <v>319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320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321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322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323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324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325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326</v>
      </c>
      <c r="B100" s="81" t="n">
        <f aca="false">'Annual Summary'!B43</f>
        <v>-663252.19</v>
      </c>
      <c r="C100" s="81" t="n">
        <f aca="false">'Annual Summary'!C43</f>
        <v>-3143493.49588545</v>
      </c>
      <c r="D100" s="81" t="n">
        <f aca="false">'Annual Summary'!D43</f>
        <v>-2673957.22378545</v>
      </c>
      <c r="E100" s="81" t="n">
        <f aca="false">'Annual Summary'!E43</f>
        <v>-3247871.42003545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327</v>
      </c>
      <c r="B101" s="81" t="n">
        <f aca="false">'Annual Summary'!B15*0.05</f>
        <v>-203411.34221</v>
      </c>
      <c r="C101" s="81" t="n">
        <f aca="false">'Annual Summary'!C15*0.05</f>
        <v>-307194.260785</v>
      </c>
      <c r="D101" s="81" t="n">
        <f aca="false">'Annual Summary'!D15*0.05</f>
        <v>-302422.8597257</v>
      </c>
      <c r="E101" s="81" t="n">
        <f aca="false">'Annual Summary'!E15*0.05</f>
        <v>-236839.122380214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328</v>
      </c>
      <c r="B102" s="81" t="n">
        <f aca="false">B100+B101</f>
        <v>-866663.53221</v>
      </c>
      <c r="C102" s="81" t="n">
        <f aca="false">C100+C101</f>
        <v>-3450687.75667044</v>
      </c>
      <c r="D102" s="81" t="n">
        <f aca="false">D100+D101</f>
        <v>-2976380.08351115</v>
      </c>
      <c r="E102" s="81" t="n">
        <f aca="false">E100+E101</f>
        <v>-3484710.54241566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329</v>
      </c>
      <c r="B103" s="69" t="n">
        <f aca="false">B102-B99</f>
        <v>-866663.53221</v>
      </c>
      <c r="C103" s="69" t="n">
        <f aca="false">C102-C99</f>
        <v>-3450687.75667044</v>
      </c>
      <c r="D103" s="69" t="n">
        <f aca="false">D102-D99</f>
        <v>-2976380.08351115</v>
      </c>
      <c r="E103" s="69" t="n">
        <f aca="false">E102-E99</f>
        <v>-3484710.54241566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330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331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332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333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334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335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336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318</v>
      </c>
      <c r="G114" s="3"/>
      <c r="H114" s="3"/>
      <c r="I114" s="3"/>
    </row>
    <row r="115" customFormat="false" ht="15" hidden="false" customHeight="true" outlineLevel="0" collapsed="false">
      <c r="A115" s="18" t="s">
        <v>337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338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339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340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341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342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343</v>
      </c>
      <c r="C124" s="8" t="s">
        <v>344</v>
      </c>
      <c r="D124" s="8" t="s">
        <v>236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345</v>
      </c>
      <c r="B125" s="85" t="n">
        <v>1450000</v>
      </c>
      <c r="C125" s="27" t="s">
        <v>346</v>
      </c>
      <c r="D125" s="63" t="s">
        <v>347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348</v>
      </c>
      <c r="B126" s="72" t="n">
        <v>-1450000</v>
      </c>
      <c r="C126" s="27" t="s">
        <v>349</v>
      </c>
      <c r="D126" s="63" t="s">
        <v>350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351</v>
      </c>
      <c r="B127" s="3"/>
      <c r="C127" s="27" t="s">
        <v>352</v>
      </c>
      <c r="D127" s="63" t="s">
        <v>353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354</v>
      </c>
      <c r="B128" s="69" t="n">
        <v>0</v>
      </c>
      <c r="C128" s="30" t="s">
        <v>355</v>
      </c>
      <c r="D128" s="30" t="s">
        <v>356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357</v>
      </c>
      <c r="B130" s="100" t="n">
        <v>362885</v>
      </c>
      <c r="C130" s="27" t="s">
        <v>358</v>
      </c>
      <c r="D130" s="63" t="s">
        <v>359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360</v>
      </c>
      <c r="B131" s="69" t="n">
        <v>1812885</v>
      </c>
      <c r="C131" s="30" t="s">
        <v>361</v>
      </c>
      <c r="D131" s="30" t="s">
        <v>362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363</v>
      </c>
      <c r="B1" s="5" t="s">
        <v>364</v>
      </c>
      <c r="C1" s="5" t="s">
        <v>365</v>
      </c>
      <c r="D1" s="5" t="s">
        <v>366</v>
      </c>
      <c r="E1" s="5" t="s">
        <v>367</v>
      </c>
      <c r="F1" s="5" t="s">
        <v>368</v>
      </c>
      <c r="G1" s="5" t="s">
        <v>369</v>
      </c>
      <c r="H1" s="5" t="s">
        <v>370</v>
      </c>
      <c r="I1" s="5" t="s">
        <v>371</v>
      </c>
      <c r="J1" s="5" t="s">
        <v>372</v>
      </c>
      <c r="K1" s="5" t="s">
        <v>373</v>
      </c>
      <c r="L1" s="5" t="s">
        <v>374</v>
      </c>
      <c r="M1" s="5" t="s">
        <v>375</v>
      </c>
      <c r="N1" s="5" t="s">
        <v>376</v>
      </c>
      <c r="O1" s="5" t="s">
        <v>377</v>
      </c>
      <c r="P1" s="5" t="s">
        <v>378</v>
      </c>
      <c r="Q1" s="5" t="s">
        <v>379</v>
      </c>
      <c r="R1" s="5" t="s">
        <v>380</v>
      </c>
      <c r="S1" s="5" t="s">
        <v>381</v>
      </c>
      <c r="T1" s="5" t="s">
        <v>382</v>
      </c>
      <c r="U1" s="5" t="s">
        <v>383</v>
      </c>
      <c r="V1" s="5" t="s">
        <v>384</v>
      </c>
      <c r="W1" s="5" t="s">
        <v>385</v>
      </c>
      <c r="X1" s="5" t="s">
        <v>386</v>
      </c>
      <c r="Y1" s="5" t="s">
        <v>387</v>
      </c>
      <c r="Z1" s="5" t="s">
        <v>388</v>
      </c>
      <c r="AA1" s="5" t="s">
        <v>389</v>
      </c>
      <c r="AB1" s="5" t="s">
        <v>390</v>
      </c>
      <c r="AC1" s="5" t="s">
        <v>391</v>
      </c>
      <c r="AD1" s="5" t="s">
        <v>392</v>
      </c>
      <c r="AE1" s="5" t="s">
        <v>393</v>
      </c>
      <c r="AF1" s="5" t="s">
        <v>394</v>
      </c>
      <c r="AG1" s="5" t="s">
        <v>395</v>
      </c>
      <c r="AH1" s="5" t="s">
        <v>396</v>
      </c>
      <c r="AI1" s="5" t="s">
        <v>397</v>
      </c>
      <c r="AJ1" s="5" t="s">
        <v>398</v>
      </c>
      <c r="AK1" s="5" t="s">
        <v>399</v>
      </c>
      <c r="AL1" s="5" t="s">
        <v>400</v>
      </c>
      <c r="AM1" s="5" t="s">
        <v>401</v>
      </c>
      <c r="AN1" s="5" t="s">
        <v>402</v>
      </c>
      <c r="AO1" s="5" t="s">
        <v>403</v>
      </c>
    </row>
    <row r="2" customFormat="false" ht="15" hidden="false" customHeight="true" outlineLevel="0" collapsed="false">
      <c r="A2" s="101" t="s">
        <v>404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405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406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407</v>
      </c>
    </row>
    <row r="6" customFormat="false" ht="15" hidden="false" customHeight="true" outlineLevel="0" collapsed="false">
      <c r="A6" s="101" t="s">
        <v>209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213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157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158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408</v>
      </c>
      <c r="B1" s="104"/>
      <c r="C1" s="104"/>
      <c r="D1" s="104"/>
    </row>
    <row r="3" customFormat="false" ht="15" hidden="false" customHeight="true" outlineLevel="0" collapsed="false">
      <c r="A3" s="8" t="s">
        <v>409</v>
      </c>
      <c r="B3" s="8"/>
      <c r="C3" s="8"/>
      <c r="D3" s="8"/>
    </row>
    <row r="4" customFormat="false" ht="15" hidden="false" customHeight="true" outlineLevel="0" collapsed="false">
      <c r="A4" s="101" t="s">
        <v>410</v>
      </c>
      <c r="B4" s="102" t="n">
        <v>0.06</v>
      </c>
    </row>
    <row r="5" customFormat="false" ht="15" hidden="false" customHeight="true" outlineLevel="0" collapsed="false">
      <c r="A5" s="101" t="s">
        <v>240</v>
      </c>
      <c r="B5" s="102" t="n">
        <v>0.06</v>
      </c>
    </row>
    <row r="6" customFormat="false" ht="15" hidden="false" customHeight="true" outlineLevel="0" collapsed="false">
      <c r="A6" s="101" t="s">
        <v>411</v>
      </c>
      <c r="B6" s="102" t="n">
        <v>0.02</v>
      </c>
    </row>
    <row r="7" customFormat="false" ht="15" hidden="false" customHeight="true" outlineLevel="0" collapsed="false">
      <c r="A7" s="101" t="s">
        <v>412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243</v>
      </c>
      <c r="B8" s="102" t="n">
        <v>0.092</v>
      </c>
    </row>
    <row r="9" customFormat="false" ht="15" hidden="false" customHeight="true" outlineLevel="0" collapsed="false">
      <c r="A9" s="101" t="s">
        <v>413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414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415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416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417</v>
      </c>
      <c r="B14" s="8"/>
      <c r="C14" s="8"/>
      <c r="D14" s="8"/>
    </row>
    <row r="15" customFormat="false" ht="15" hidden="false" customHeight="true" outlineLevel="0" collapsed="false">
      <c r="A15" s="101" t="s">
        <v>247</v>
      </c>
      <c r="B15" s="102" t="n">
        <v>0.015</v>
      </c>
    </row>
    <row r="16" customFormat="false" ht="15" hidden="false" customHeight="true" outlineLevel="0" collapsed="false">
      <c r="A16" s="101" t="s">
        <v>249</v>
      </c>
      <c r="B16" s="102" t="n">
        <v>0.0074</v>
      </c>
    </row>
    <row r="17" customFormat="false" ht="15" hidden="false" customHeight="true" outlineLevel="0" collapsed="false">
      <c r="A17" s="101" t="s">
        <v>251</v>
      </c>
      <c r="B17" s="102" t="n">
        <v>0.0325</v>
      </c>
    </row>
    <row r="19" customFormat="false" ht="15" hidden="false" customHeight="true" outlineLevel="0" collapsed="false">
      <c r="A19" s="8" t="s">
        <v>418</v>
      </c>
      <c r="B19" s="8"/>
      <c r="C19" s="8"/>
      <c r="D19" s="8"/>
    </row>
    <row r="20" customFormat="false" ht="15" hidden="false" customHeight="true" outlineLevel="0" collapsed="false">
      <c r="A20" s="101" t="s">
        <v>419</v>
      </c>
      <c r="B20" s="102" t="n">
        <v>0.07</v>
      </c>
    </row>
    <row r="21" customFormat="false" ht="15" hidden="false" customHeight="true" outlineLevel="0" collapsed="false">
      <c r="A21" s="101" t="s">
        <v>420</v>
      </c>
      <c r="B21" s="102" t="n">
        <v>0.005</v>
      </c>
    </row>
    <row r="22" customFormat="false" ht="15" hidden="false" customHeight="true" outlineLevel="0" collapsed="false">
      <c r="A22" s="101" t="s">
        <v>421</v>
      </c>
      <c r="B22" s="102" t="n">
        <v>0.07</v>
      </c>
    </row>
    <row r="23" customFormat="false" ht="15" hidden="false" customHeight="true" outlineLevel="0" collapsed="false">
      <c r="A23" s="101" t="s">
        <v>422</v>
      </c>
      <c r="B23" s="102" t="n">
        <v>0.02</v>
      </c>
    </row>
    <row r="25" customFormat="false" ht="15" hidden="false" customHeight="true" outlineLevel="0" collapsed="false">
      <c r="A25" s="8" t="s">
        <v>423</v>
      </c>
      <c r="B25" s="8"/>
      <c r="C25" s="8"/>
      <c r="D25" s="8"/>
    </row>
    <row r="26" customFormat="false" ht="15" hidden="false" customHeight="true" outlineLevel="0" collapsed="false">
      <c r="A26" s="101" t="s">
        <v>424</v>
      </c>
      <c r="B26" s="78" t="n">
        <v>0.02</v>
      </c>
    </row>
    <row r="28" customFormat="false" ht="15" hidden="false" customHeight="true" outlineLevel="0" collapsed="false">
      <c r="A28" s="8" t="s">
        <v>425</v>
      </c>
      <c r="B28" s="8"/>
      <c r="C28" s="8"/>
      <c r="D28" s="8"/>
    </row>
    <row r="29" customFormat="false" ht="15" hidden="false" customHeight="true" outlineLevel="0" collapsed="false">
      <c r="A29" s="101" t="s">
        <v>426</v>
      </c>
      <c r="B29" s="80" t="n">
        <v>1651915.69</v>
      </c>
    </row>
    <row r="30" customFormat="false" ht="15" hidden="false" customHeight="true" outlineLevel="0" collapsed="false">
      <c r="A30" s="101" t="s">
        <v>427</v>
      </c>
      <c r="B30" s="80" t="n">
        <v>451631.16</v>
      </c>
    </row>
    <row r="32" customFormat="false" ht="15" hidden="false" customHeight="true" outlineLevel="0" collapsed="false">
      <c r="A32" s="8" t="s">
        <v>428</v>
      </c>
      <c r="B32" s="8"/>
      <c r="C32" s="8"/>
      <c r="D32" s="8"/>
    </row>
    <row r="33" customFormat="false" ht="15" hidden="false" customHeight="true" outlineLevel="0" collapsed="false">
      <c r="A33" s="101" t="s">
        <v>429</v>
      </c>
      <c r="B33" s="80" t="n">
        <v>1615485</v>
      </c>
    </row>
    <row r="34" customFormat="false" ht="15" hidden="false" customHeight="true" outlineLevel="0" collapsed="false">
      <c r="A34" s="101" t="s">
        <v>430</v>
      </c>
      <c r="B34" s="102" t="n">
        <v>0.15</v>
      </c>
    </row>
    <row r="35" customFormat="false" ht="15" hidden="false" customHeight="true" outlineLevel="0" collapsed="false">
      <c r="A35" s="101" t="s">
        <v>431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432</v>
      </c>
      <c r="B36" s="80" t="n">
        <v>130000</v>
      </c>
    </row>
    <row r="37" customFormat="false" ht="15" hidden="false" customHeight="true" outlineLevel="0" collapsed="false">
      <c r="A37" s="101" t="s">
        <v>433</v>
      </c>
      <c r="B37" s="106" t="n">
        <v>7</v>
      </c>
    </row>
    <row r="38" customFormat="false" ht="15" hidden="false" customHeight="true" outlineLevel="0" collapsed="false">
      <c r="A38" s="107" t="s">
        <v>434</v>
      </c>
    </row>
    <row r="40" customFormat="false" ht="15" hidden="false" customHeight="true" outlineLevel="0" collapsed="false">
      <c r="A40" s="8" t="s">
        <v>435</v>
      </c>
      <c r="B40" s="8"/>
      <c r="C40" s="8"/>
      <c r="D40" s="8"/>
    </row>
    <row r="41" customFormat="false" ht="15" hidden="false" customHeight="true" outlineLevel="0" collapsed="false">
      <c r="A41" s="101" t="s">
        <v>436</v>
      </c>
      <c r="B41" s="80" t="n">
        <v>1000000</v>
      </c>
    </row>
    <row r="42" customFormat="false" ht="15" hidden="false" customHeight="true" outlineLevel="0" collapsed="false">
      <c r="A42" s="101" t="s">
        <v>437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438</v>
      </c>
      <c r="B43" s="80" t="n">
        <v>1000000</v>
      </c>
    </row>
    <row r="44" customFormat="false" ht="15" hidden="false" customHeight="true" outlineLevel="0" collapsed="false">
      <c r="A44" s="107" t="s">
        <v>439</v>
      </c>
    </row>
    <row r="46" customFormat="false" ht="15" hidden="false" customHeight="true" outlineLevel="0" collapsed="false">
      <c r="A46" s="8" t="s">
        <v>440</v>
      </c>
      <c r="B46" s="8"/>
      <c r="C46" s="8"/>
      <c r="D46" s="8"/>
    </row>
    <row r="47" customFormat="false" ht="15" hidden="false" customHeight="true" outlineLevel="0" collapsed="false">
      <c r="A47" s="101" t="s">
        <v>441</v>
      </c>
      <c r="B47" s="102" t="n">
        <v>0.01</v>
      </c>
    </row>
    <row r="48" customFormat="false" ht="15" hidden="false" customHeight="true" outlineLevel="0" collapsed="false">
      <c r="A48" s="101" t="s">
        <v>442</v>
      </c>
      <c r="B48" s="102" t="n">
        <v>0.03</v>
      </c>
    </row>
    <row r="50" customFormat="false" ht="15" hidden="false" customHeight="true" outlineLevel="0" collapsed="false">
      <c r="A50" s="8" t="s">
        <v>443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444</v>
      </c>
      <c r="B57" s="8"/>
      <c r="C57" s="8"/>
      <c r="D57" s="8"/>
    </row>
    <row r="58" customFormat="false" ht="15" hidden="false" customHeight="true" outlineLevel="0" collapsed="false">
      <c r="A58" s="101" t="s">
        <v>445</v>
      </c>
      <c r="B58" s="102" t="n">
        <v>0.15</v>
      </c>
    </row>
    <row r="59" customFormat="false" ht="15" hidden="false" customHeight="true" outlineLevel="0" collapsed="false">
      <c r="A59" s="101" t="s">
        <v>446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447</v>
      </c>
      <c r="B60" s="80" t="n">
        <v>0</v>
      </c>
    </row>
    <row r="61" customFormat="false" ht="15" hidden="false" customHeight="true" outlineLevel="0" collapsed="false">
      <c r="A61" s="101" t="s">
        <v>448</v>
      </c>
      <c r="B61" s="80" t="n">
        <v>0</v>
      </c>
    </row>
    <row r="62" customFormat="false" ht="15" hidden="false" customHeight="true" outlineLevel="0" collapsed="false">
      <c r="A62" s="101" t="s">
        <v>449</v>
      </c>
      <c r="B62" s="80" t="n">
        <v>1784000</v>
      </c>
    </row>
    <row r="63" customFormat="false" ht="15" hidden="false" customHeight="true" outlineLevel="0" collapsed="false">
      <c r="A63" s="101" t="s">
        <v>450</v>
      </c>
      <c r="B63" s="80" t="n">
        <v>1766181</v>
      </c>
    </row>
    <row r="64" customFormat="false" ht="15" hidden="false" customHeight="true" outlineLevel="0" collapsed="false">
      <c r="A64" s="107" t="s">
        <v>451</v>
      </c>
    </row>
    <row r="66" customFormat="false" ht="15" hidden="false" customHeight="true" outlineLevel="0" collapsed="false">
      <c r="A66" s="6" t="s">
        <v>87</v>
      </c>
    </row>
    <row r="67" customFormat="false" ht="15" hidden="false" customHeight="true" outlineLevel="0" collapsed="false">
      <c r="A67" s="110" t="s">
        <v>452</v>
      </c>
      <c r="B67" s="111" t="n">
        <v>833.33</v>
      </c>
    </row>
    <row r="68" customFormat="false" ht="15" hidden="false" customHeight="true" outlineLevel="0" collapsed="false">
      <c r="A68" s="110" t="s">
        <v>453</v>
      </c>
      <c r="B68" s="110" t="n">
        <v>5</v>
      </c>
    </row>
    <row r="70" customFormat="false" ht="15" hidden="false" customHeight="true" outlineLevel="0" collapsed="false">
      <c r="A70" s="112" t="s">
        <v>454</v>
      </c>
      <c r="B70" s="112"/>
    </row>
    <row r="71" customFormat="false" ht="15" hidden="false" customHeight="true" outlineLevel="0" collapsed="false">
      <c r="A71" s="113" t="s">
        <v>455</v>
      </c>
      <c r="B71" s="114" t="n">
        <v>1134000</v>
      </c>
    </row>
    <row r="72" customFormat="false" ht="15" hidden="false" customHeight="true" outlineLevel="0" collapsed="false">
      <c r="A72" s="115" t="s">
        <v>456</v>
      </c>
      <c r="B72" s="116" t="n">
        <v>50000</v>
      </c>
    </row>
    <row r="73" customFormat="false" ht="15" hidden="false" customHeight="true" outlineLevel="0" collapsed="false">
      <c r="A73" s="113" t="s">
        <v>457</v>
      </c>
      <c r="B73" s="117" t="n">
        <v>14</v>
      </c>
    </row>
    <row r="74" customFormat="false" ht="15" hidden="false" customHeight="true" outlineLevel="0" collapsed="false">
      <c r="A74" s="115" t="s">
        <v>153</v>
      </c>
      <c r="B74" s="116" t="n">
        <v>-1450000</v>
      </c>
    </row>
    <row r="75" customFormat="false" ht="15" hidden="false" customHeight="true" outlineLevel="0" collapsed="false">
      <c r="A75" s="113" t="s">
        <v>458</v>
      </c>
      <c r="B75" s="114" t="n">
        <v>264927.15</v>
      </c>
    </row>
    <row r="76" customFormat="false" ht="15" hidden="false" customHeight="true" outlineLevel="0" collapsed="false">
      <c r="A76" s="115" t="s">
        <v>459</v>
      </c>
      <c r="B76" s="116" t="n">
        <v>883090.5</v>
      </c>
    </row>
    <row r="77" customFormat="false" ht="15" hidden="false" customHeight="true" outlineLevel="0" collapsed="false">
      <c r="A77" s="113" t="s">
        <v>148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270</v>
      </c>
      <c r="B1" s="28" t="s">
        <v>460</v>
      </c>
      <c r="C1" s="28" t="s">
        <v>461</v>
      </c>
      <c r="D1" s="28" t="s">
        <v>274</v>
      </c>
      <c r="E1" s="28" t="s">
        <v>363</v>
      </c>
      <c r="F1" s="28" t="s">
        <v>462</v>
      </c>
      <c r="G1" s="28" t="s">
        <v>271</v>
      </c>
      <c r="H1" s="28" t="s">
        <v>463</v>
      </c>
      <c r="I1" s="28" t="s">
        <v>464</v>
      </c>
      <c r="J1" s="28" t="s">
        <v>465</v>
      </c>
      <c r="K1" s="28" t="s">
        <v>276</v>
      </c>
      <c r="L1" s="28" t="s">
        <v>273</v>
      </c>
      <c r="N1" s="118" t="s">
        <v>466</v>
      </c>
      <c r="O1" s="118" t="s">
        <v>467</v>
      </c>
      <c r="P1" s="118" t="s">
        <v>468</v>
      </c>
      <c r="Q1" s="118" t="s">
        <v>469</v>
      </c>
      <c r="R1" s="118" t="s">
        <v>470</v>
      </c>
      <c r="S1" s="118" t="s">
        <v>471</v>
      </c>
    </row>
    <row r="2" customFormat="false" ht="15" hidden="false" customHeight="true" outlineLevel="0" collapsed="false">
      <c r="A2" s="101" t="s">
        <v>209</v>
      </c>
      <c r="B2" s="119" t="n">
        <v>5321971</v>
      </c>
      <c r="C2" s="120" t="n">
        <v>1</v>
      </c>
      <c r="D2" s="120" t="n">
        <v>8</v>
      </c>
      <c r="E2" s="120" t="n">
        <v>2</v>
      </c>
      <c r="F2" s="120" t="s">
        <v>279</v>
      </c>
      <c r="G2" s="120" t="s">
        <v>283</v>
      </c>
      <c r="H2" s="120" t="n">
        <v>0</v>
      </c>
      <c r="I2" s="105" t="n">
        <f aca="false">IF(H2=1,Assumptions!$B$16,IF(H2=2,Assumptions!$B$17,0))</f>
        <v>0</v>
      </c>
      <c r="J2" s="120" t="s">
        <v>279</v>
      </c>
      <c r="K2" s="120" t="s">
        <v>279</v>
      </c>
      <c r="L2" s="120" t="s">
        <v>472</v>
      </c>
      <c r="N2" s="121" t="n">
        <v>194932</v>
      </c>
      <c r="O2" s="121" t="n">
        <f aca="false">B2*Assumptions!$B$11</f>
        <v>259186.899350649</v>
      </c>
      <c r="P2" s="121" t="n">
        <v>46323</v>
      </c>
      <c r="Q2" s="121" t="n">
        <f aca="false">N2+O2+P2</f>
        <v>500441.899350649</v>
      </c>
      <c r="R2" s="121" t="n">
        <f aca="false">Q2*0.05</f>
        <v>25022.0949675325</v>
      </c>
      <c r="S2" s="122" t="n">
        <f aca="false">C2+D2-1</f>
        <v>8</v>
      </c>
    </row>
    <row r="3" customFormat="false" ht="15" hidden="false" customHeight="true" outlineLevel="0" collapsed="false">
      <c r="A3" s="101" t="s">
        <v>213</v>
      </c>
      <c r="B3" s="119" t="n">
        <v>19982132</v>
      </c>
      <c r="C3" s="120" t="n">
        <v>1</v>
      </c>
      <c r="D3" s="120" t="n">
        <v>16</v>
      </c>
      <c r="E3" s="120" t="n">
        <v>2</v>
      </c>
      <c r="F3" s="120" t="s">
        <v>279</v>
      </c>
      <c r="G3" s="120" t="s">
        <v>283</v>
      </c>
      <c r="H3" s="120" t="n">
        <v>0</v>
      </c>
      <c r="I3" s="105" t="n">
        <f aca="false">IF(H3=1,Assumptions!$B$16,IF(H3=2,Assumptions!$B$17,0))</f>
        <v>0</v>
      </c>
      <c r="J3" s="120" t="s">
        <v>279</v>
      </c>
      <c r="K3" s="120" t="s">
        <v>279</v>
      </c>
      <c r="L3" s="120" t="s">
        <v>472</v>
      </c>
      <c r="N3" s="121" t="n">
        <v>888067</v>
      </c>
      <c r="O3" s="121" t="n">
        <f aca="false">B3*Assumptions!$B$11</f>
        <v>973155.779220779</v>
      </c>
      <c r="P3" s="121" t="n">
        <v>176626</v>
      </c>
      <c r="Q3" s="121" t="n">
        <f aca="false">N3+O3+P3</f>
        <v>2037848.77922078</v>
      </c>
      <c r="R3" s="121" t="n">
        <f aca="false">Q3*0.05</f>
        <v>101892.438961039</v>
      </c>
      <c r="S3" s="122" t="n">
        <f aca="false">C3+D3-1</f>
        <v>16</v>
      </c>
    </row>
    <row r="4" customFormat="false" ht="15" hidden="false" customHeight="true" outlineLevel="0" collapsed="false">
      <c r="A4" s="101" t="s">
        <v>157</v>
      </c>
      <c r="B4" s="119" t="n">
        <v>11673185</v>
      </c>
      <c r="C4" s="120" t="n">
        <v>1</v>
      </c>
      <c r="D4" s="120" t="n">
        <v>15</v>
      </c>
      <c r="E4" s="120" t="n">
        <v>3</v>
      </c>
      <c r="F4" s="120" t="s">
        <v>283</v>
      </c>
      <c r="G4" s="120" t="s">
        <v>283</v>
      </c>
      <c r="H4" s="120" t="n">
        <v>1</v>
      </c>
      <c r="I4" s="105" t="n">
        <f aca="false">IF(H4=1,Assumptions!$B$16,IF(H4=2,Assumptions!$B$17,0))</f>
        <v>0.0074</v>
      </c>
      <c r="J4" s="120" t="s">
        <v>279</v>
      </c>
      <c r="K4" s="120" t="s">
        <v>283</v>
      </c>
      <c r="L4" s="120" t="s">
        <v>473</v>
      </c>
      <c r="N4" s="121" t="n">
        <f aca="false">B4*Assumptions!$B$10</f>
        <v>568499.26948052</v>
      </c>
      <c r="O4" s="121" t="n">
        <f aca="false">B4*Assumptions!$B$11</f>
        <v>568499.26948052</v>
      </c>
      <c r="P4" s="121" t="n">
        <f aca="false">B4*Assumptions!$B$12</f>
        <v>189499.756493507</v>
      </c>
      <c r="Q4" s="121" t="n">
        <f aca="false">N4+O4+P4</f>
        <v>1326498.29545455</v>
      </c>
      <c r="R4" s="121" t="n">
        <f aca="false">Q4*0.05</f>
        <v>66324.9147727273</v>
      </c>
      <c r="S4" s="122" t="n">
        <f aca="false">C4+D4-1</f>
        <v>15</v>
      </c>
    </row>
    <row r="5" customFormat="false" ht="15" hidden="false" customHeight="true" outlineLevel="0" collapsed="false">
      <c r="A5" s="101" t="s">
        <v>158</v>
      </c>
      <c r="B5" s="119" t="n">
        <v>13492534</v>
      </c>
      <c r="C5" s="120" t="n">
        <v>1</v>
      </c>
      <c r="D5" s="120" t="n">
        <v>15</v>
      </c>
      <c r="E5" s="120" t="n">
        <v>3</v>
      </c>
      <c r="F5" s="120" t="s">
        <v>283</v>
      </c>
      <c r="G5" s="120" t="s">
        <v>283</v>
      </c>
      <c r="H5" s="120" t="n">
        <v>1</v>
      </c>
      <c r="I5" s="105" t="n">
        <f aca="false">IF(H5=1,Assumptions!$B$16,IF(H5=2,Assumptions!$B$17,0))</f>
        <v>0.0074</v>
      </c>
      <c r="J5" s="120" t="s">
        <v>279</v>
      </c>
      <c r="K5" s="120" t="s">
        <v>283</v>
      </c>
      <c r="L5" s="120" t="s">
        <v>473</v>
      </c>
      <c r="N5" s="121" t="n">
        <f aca="false">B5*Assumptions!$B$10</f>
        <v>657103.928571429</v>
      </c>
      <c r="O5" s="121" t="n">
        <f aca="false">B5*Assumptions!$B$11</f>
        <v>657103.928571429</v>
      </c>
      <c r="P5" s="121" t="n">
        <f aca="false">B5*Assumptions!$B$12</f>
        <v>219034.642857143</v>
      </c>
      <c r="Q5" s="121" t="n">
        <f aca="false">N5+O5+P5</f>
        <v>1533242.5</v>
      </c>
      <c r="R5" s="121" t="n">
        <f aca="false">Q5*0.05</f>
        <v>76662.125</v>
      </c>
      <c r="S5" s="122" t="n">
        <f aca="false">C5+D5-1</f>
        <v>15</v>
      </c>
    </row>
    <row r="6" customFormat="false" ht="15" hidden="false" customHeight="true" outlineLevel="0" collapsed="false">
      <c r="A6" s="101" t="s">
        <v>284</v>
      </c>
      <c r="B6" s="119" t="n">
        <v>4052747</v>
      </c>
      <c r="C6" s="120" t="n">
        <v>1</v>
      </c>
      <c r="D6" s="120" t="n">
        <v>19</v>
      </c>
      <c r="E6" s="120" t="n">
        <v>3</v>
      </c>
      <c r="F6" s="120" t="s">
        <v>279</v>
      </c>
      <c r="G6" s="120" t="s">
        <v>283</v>
      </c>
      <c r="H6" s="120" t="n">
        <v>0</v>
      </c>
      <c r="I6" s="105" t="n">
        <f aca="false">IF(H6=1,Assumptions!$B$16,IF(H6=2,Assumptions!$B$17,0))</f>
        <v>0</v>
      </c>
      <c r="J6" s="120" t="s">
        <v>279</v>
      </c>
      <c r="K6" s="120" t="s">
        <v>283</v>
      </c>
      <c r="L6" s="120" t="s">
        <v>473</v>
      </c>
      <c r="N6" s="121" t="n">
        <v>245000</v>
      </c>
      <c r="O6" s="121" t="n">
        <f aca="false">B6*Assumptions!$B$11</f>
        <v>197374.042207792</v>
      </c>
      <c r="P6" s="121" t="n">
        <v>0</v>
      </c>
      <c r="Q6" s="121" t="n">
        <f aca="false">N6+O6+P6</f>
        <v>442374.042207792</v>
      </c>
      <c r="R6" s="121" t="n">
        <f aca="false">Q6*0.05</f>
        <v>22118.7021103896</v>
      </c>
      <c r="S6" s="122" t="n">
        <f aca="false">C6+D6-1</f>
        <v>19</v>
      </c>
    </row>
    <row r="7" customFormat="false" ht="15" hidden="false" customHeight="true" outlineLevel="0" collapsed="false">
      <c r="A7" s="101" t="s">
        <v>49</v>
      </c>
      <c r="B7" s="119" t="n">
        <v>42968448</v>
      </c>
      <c r="C7" s="120" t="n">
        <v>4</v>
      </c>
      <c r="D7" s="120" t="n">
        <v>30</v>
      </c>
      <c r="E7" s="120" t="n">
        <v>1</v>
      </c>
      <c r="F7" s="120" t="s">
        <v>283</v>
      </c>
      <c r="G7" s="120" t="s">
        <v>283</v>
      </c>
      <c r="H7" s="120" t="n">
        <v>1</v>
      </c>
      <c r="I7" s="105" t="n">
        <f aca="false">IF(H7=1,Assumptions!$B$16,IF(H7=2,Assumptions!$B$17,0))</f>
        <v>0.0074</v>
      </c>
      <c r="J7" s="120" t="s">
        <v>283</v>
      </c>
      <c r="K7" s="120" t="s">
        <v>283</v>
      </c>
      <c r="L7" s="120" t="s">
        <v>472</v>
      </c>
      <c r="N7" s="121" t="n">
        <f aca="false">B7*Assumptions!$B$10</f>
        <v>2092619.22077922</v>
      </c>
      <c r="O7" s="121" t="n">
        <f aca="false">B7*Assumptions!$B$11</f>
        <v>2092619.22077922</v>
      </c>
      <c r="P7" s="121" t="n">
        <f aca="false">B7*Assumptions!$B$12</f>
        <v>697539.74025974</v>
      </c>
      <c r="Q7" s="121" t="n">
        <f aca="false">N7+O7+P7</f>
        <v>4882778.18181818</v>
      </c>
      <c r="R7" s="121" t="n">
        <f aca="false">Q7*0.05</f>
        <v>244138.909090909</v>
      </c>
      <c r="S7" s="122" t="n">
        <f aca="false">C7+D7-1</f>
        <v>33</v>
      </c>
    </row>
    <row r="8" customFormat="false" ht="15" hidden="false" customHeight="true" outlineLevel="0" collapsed="false">
      <c r="A8" s="101" t="s">
        <v>159</v>
      </c>
      <c r="B8" s="119" t="n">
        <v>13625772</v>
      </c>
      <c r="C8" s="120" t="n">
        <v>7</v>
      </c>
      <c r="D8" s="120" t="n">
        <v>19</v>
      </c>
      <c r="E8" s="120" t="n">
        <v>3</v>
      </c>
      <c r="F8" s="120" t="s">
        <v>283</v>
      </c>
      <c r="G8" s="120" t="s">
        <v>283</v>
      </c>
      <c r="H8" s="120" t="n">
        <v>1</v>
      </c>
      <c r="I8" s="105" t="n">
        <f aca="false">IF(H8=1,Assumptions!$B$16,IF(H8=2,Assumptions!$B$17,0))</f>
        <v>0.0074</v>
      </c>
      <c r="J8" s="120" t="s">
        <v>279</v>
      </c>
      <c r="K8" s="120" t="s">
        <v>283</v>
      </c>
      <c r="L8" s="120" t="s">
        <v>473</v>
      </c>
      <c r="N8" s="121" t="n">
        <f aca="false">B8*Assumptions!$B$10</f>
        <v>663592.792207792</v>
      </c>
      <c r="O8" s="121" t="n">
        <f aca="false">B8*Assumptions!$B$11</f>
        <v>663592.792207792</v>
      </c>
      <c r="P8" s="121" t="n">
        <f aca="false">B8*Assumptions!$B$12</f>
        <v>221197.597402597</v>
      </c>
      <c r="Q8" s="121" t="n">
        <f aca="false">N8+O8+P8</f>
        <v>1548383.18181818</v>
      </c>
      <c r="R8" s="121" t="n">
        <f aca="false">Q8*0.05</f>
        <v>77419.1590909091</v>
      </c>
      <c r="S8" s="122" t="n">
        <f aca="false">C8+D8-1</f>
        <v>25</v>
      </c>
    </row>
    <row r="9" customFormat="false" ht="15" hidden="false" customHeight="true" outlineLevel="0" collapsed="false">
      <c r="A9" s="101" t="s">
        <v>160</v>
      </c>
      <c r="B9" s="119" t="n">
        <v>15844883</v>
      </c>
      <c r="C9" s="120" t="n">
        <v>7</v>
      </c>
      <c r="D9" s="120" t="n">
        <v>30</v>
      </c>
      <c r="E9" s="120" t="n">
        <v>1</v>
      </c>
      <c r="F9" s="120" t="s">
        <v>283</v>
      </c>
      <c r="G9" s="120" t="s">
        <v>283</v>
      </c>
      <c r="H9" s="120" t="n">
        <v>1</v>
      </c>
      <c r="I9" s="105" t="n">
        <f aca="false">IF(H9=1,Assumptions!$B$16,IF(H9=2,Assumptions!$B$17,0))</f>
        <v>0.0074</v>
      </c>
      <c r="J9" s="120" t="s">
        <v>279</v>
      </c>
      <c r="K9" s="120" t="s">
        <v>283</v>
      </c>
      <c r="L9" s="120" t="s">
        <v>473</v>
      </c>
      <c r="N9" s="121" t="n">
        <f aca="false">B9*Assumptions!$B$10</f>
        <v>771666.37987013</v>
      </c>
      <c r="O9" s="121" t="n">
        <f aca="false">B9*Assumptions!$B$11</f>
        <v>771666.37987013</v>
      </c>
      <c r="P9" s="121" t="n">
        <f aca="false">B9*Assumptions!$B$12</f>
        <v>257222.126623377</v>
      </c>
      <c r="Q9" s="121" t="n">
        <f aca="false">N9+O9+P9</f>
        <v>1800554.88636364</v>
      </c>
      <c r="R9" s="121" t="n">
        <f aca="false">Q9*0.05</f>
        <v>90027.7443181818</v>
      </c>
      <c r="S9" s="122" t="n">
        <f aca="false">C9+D9-1</f>
        <v>36</v>
      </c>
    </row>
    <row r="10" customFormat="false" ht="15" hidden="false" customHeight="true" outlineLevel="0" collapsed="false">
      <c r="A10" s="101" t="s">
        <v>53</v>
      </c>
      <c r="B10" s="119" t="n">
        <v>21263405</v>
      </c>
      <c r="C10" s="120" t="n">
        <v>8</v>
      </c>
      <c r="D10" s="120" t="n">
        <v>24</v>
      </c>
      <c r="E10" s="120" t="n">
        <v>2</v>
      </c>
      <c r="F10" s="120" t="s">
        <v>283</v>
      </c>
      <c r="G10" s="120" t="s">
        <v>283</v>
      </c>
      <c r="H10" s="120" t="n">
        <v>1</v>
      </c>
      <c r="I10" s="105" t="n">
        <f aca="false">IF(H10=1,Assumptions!$B$16,IF(H10=2,Assumptions!$B$17,0))</f>
        <v>0.0074</v>
      </c>
      <c r="J10" s="120" t="s">
        <v>279</v>
      </c>
      <c r="K10" s="120" t="s">
        <v>283</v>
      </c>
      <c r="L10" s="120" t="s">
        <v>473</v>
      </c>
      <c r="N10" s="121" t="n">
        <f aca="false">B10*Assumptions!$B$10</f>
        <v>1035555.43831169</v>
      </c>
      <c r="O10" s="121" t="n">
        <f aca="false">B10*Assumptions!$B$11</f>
        <v>1035555.43831169</v>
      </c>
      <c r="P10" s="121" t="n">
        <f aca="false">B10*Assumptions!$B$12</f>
        <v>345185.146103896</v>
      </c>
      <c r="Q10" s="121" t="n">
        <f aca="false">N10+O10+P10</f>
        <v>2416296.02272727</v>
      </c>
      <c r="R10" s="121" t="n">
        <f aca="false">Q10*0.05</f>
        <v>120814.801136364</v>
      </c>
      <c r="S10" s="122" t="n">
        <f aca="false">C10+D10-1</f>
        <v>31</v>
      </c>
    </row>
    <row r="11" customFormat="false" ht="15" hidden="false" customHeight="true" outlineLevel="0" collapsed="false">
      <c r="A11" s="101" t="s">
        <v>50</v>
      </c>
      <c r="B11" s="119" t="n">
        <v>9577109</v>
      </c>
      <c r="C11" s="120" t="n">
        <v>5</v>
      </c>
      <c r="D11" s="120" t="n">
        <v>19</v>
      </c>
      <c r="E11" s="120" t="n">
        <v>3</v>
      </c>
      <c r="F11" s="120" t="s">
        <v>279</v>
      </c>
      <c r="G11" s="120" t="s">
        <v>279</v>
      </c>
      <c r="H11" s="120" t="n">
        <v>0</v>
      </c>
      <c r="I11" s="105" t="n">
        <f aca="false">IF(H11=1,Assumptions!$B$16,IF(H11=2,Assumptions!$B$17,0))</f>
        <v>0</v>
      </c>
      <c r="J11" s="120" t="s">
        <v>283</v>
      </c>
      <c r="K11" s="120" t="s">
        <v>279</v>
      </c>
      <c r="L11" s="120" t="s">
        <v>472</v>
      </c>
      <c r="N11" s="121" t="n">
        <f aca="false">B11*Assumptions!$B$10</f>
        <v>466417.646103896</v>
      </c>
      <c r="O11" s="121" t="n">
        <f aca="false">B11*Assumptions!$B$11</f>
        <v>466417.646103896</v>
      </c>
      <c r="P11" s="121" t="n">
        <f aca="false">B11*Assumptions!$B$12</f>
        <v>155472.548701299</v>
      </c>
      <c r="Q11" s="121" t="n">
        <f aca="false">N11+O11+P11</f>
        <v>1088307.84090909</v>
      </c>
      <c r="R11" s="121" t="n">
        <f aca="false">Q11*0.05</f>
        <v>54415.3920454545</v>
      </c>
      <c r="S11" s="122" t="n">
        <f aca="false">C11+D11-1</f>
        <v>23</v>
      </c>
    </row>
    <row r="12" customFormat="false" ht="15" hidden="false" customHeight="true" outlineLevel="0" collapsed="false">
      <c r="A12" s="101" t="s">
        <v>51</v>
      </c>
      <c r="B12" s="119" t="n">
        <v>7545203</v>
      </c>
      <c r="C12" s="120" t="n">
        <v>6</v>
      </c>
      <c r="D12" s="120" t="n">
        <v>19</v>
      </c>
      <c r="E12" s="120" t="n">
        <v>3</v>
      </c>
      <c r="F12" s="120" t="s">
        <v>279</v>
      </c>
      <c r="G12" s="120" t="s">
        <v>279</v>
      </c>
      <c r="H12" s="120" t="n">
        <v>0</v>
      </c>
      <c r="I12" s="105" t="n">
        <f aca="false">IF(H12=1,Assumptions!$B$16,IF(H12=2,Assumptions!$B$17,0))</f>
        <v>0</v>
      </c>
      <c r="J12" s="120" t="s">
        <v>283</v>
      </c>
      <c r="K12" s="120" t="s">
        <v>279</v>
      </c>
      <c r="L12" s="120" t="s">
        <v>472</v>
      </c>
      <c r="N12" s="121" t="n">
        <f aca="false">B12*Assumptions!$B$10</f>
        <v>367461.185064935</v>
      </c>
      <c r="O12" s="121" t="n">
        <f aca="false">B12*Assumptions!$B$11</f>
        <v>367461.185064935</v>
      </c>
      <c r="P12" s="121" t="n">
        <f aca="false">B12*Assumptions!$B$12</f>
        <v>122487.061688312</v>
      </c>
      <c r="Q12" s="121" t="n">
        <f aca="false">N12+O12+P12</f>
        <v>857409.431818182</v>
      </c>
      <c r="R12" s="121" t="n">
        <f aca="false">Q12*0.05</f>
        <v>42870.4715909091</v>
      </c>
      <c r="S12" s="122" t="n">
        <f aca="false">C12+D12-1</f>
        <v>24</v>
      </c>
    </row>
    <row r="13" customFormat="false" ht="15" hidden="false" customHeight="true" outlineLevel="0" collapsed="false">
      <c r="A13" s="101" t="s">
        <v>54</v>
      </c>
      <c r="B13" s="119" t="n">
        <v>45266770</v>
      </c>
      <c r="C13" s="120" t="n">
        <v>13</v>
      </c>
      <c r="D13" s="120" t="n">
        <v>30</v>
      </c>
      <c r="E13" s="120" t="n">
        <v>1</v>
      </c>
      <c r="F13" s="120" t="s">
        <v>283</v>
      </c>
      <c r="G13" s="120" t="s">
        <v>283</v>
      </c>
      <c r="H13" s="120" t="n">
        <v>2</v>
      </c>
      <c r="I13" s="105" t="n">
        <f aca="false">IF(H13=1,Assumptions!$B$16,IF(H13=2,Assumptions!$B$17,0))</f>
        <v>0.0325</v>
      </c>
      <c r="J13" s="120" t="s">
        <v>283</v>
      </c>
      <c r="K13" s="120" t="s">
        <v>283</v>
      </c>
      <c r="L13" s="120" t="s">
        <v>472</v>
      </c>
      <c r="N13" s="121" t="n">
        <f aca="false">B13*Assumptions!$B$10</f>
        <v>2204550.48701299</v>
      </c>
      <c r="O13" s="121" t="n">
        <f aca="false">B13*Assumptions!$B$11</f>
        <v>2204550.48701299</v>
      </c>
      <c r="P13" s="121" t="n">
        <f aca="false">B13*Assumptions!$B$12</f>
        <v>734850.162337662</v>
      </c>
      <c r="Q13" s="121" t="n">
        <f aca="false">N13+O13+P13</f>
        <v>5143951.13636364</v>
      </c>
      <c r="R13" s="121" t="n">
        <f aca="false">Q13*0.05</f>
        <v>257197.556818182</v>
      </c>
      <c r="S13" s="122" t="n">
        <f aca="false">C13+D13-1</f>
        <v>42</v>
      </c>
    </row>
    <row r="14" customFormat="false" ht="15" hidden="false" customHeight="true" outlineLevel="0" collapsed="false">
      <c r="A14" s="101" t="s">
        <v>57</v>
      </c>
      <c r="B14" s="119" t="n">
        <v>41354632</v>
      </c>
      <c r="C14" s="120" t="n">
        <v>27</v>
      </c>
      <c r="D14" s="120" t="n">
        <v>30</v>
      </c>
      <c r="E14" s="120" t="n">
        <v>1</v>
      </c>
      <c r="F14" s="120" t="s">
        <v>283</v>
      </c>
      <c r="G14" s="120" t="s">
        <v>283</v>
      </c>
      <c r="H14" s="120" t="n">
        <v>2</v>
      </c>
      <c r="I14" s="105" t="n">
        <f aca="false">IF(H14=1,Assumptions!$B$16,IF(H14=2,Assumptions!$B$17,0))</f>
        <v>0.0325</v>
      </c>
      <c r="J14" s="120" t="s">
        <v>283</v>
      </c>
      <c r="K14" s="120" t="s">
        <v>283</v>
      </c>
      <c r="L14" s="120" t="s">
        <v>472</v>
      </c>
      <c r="N14" s="121" t="n">
        <f aca="false">B14*Assumptions!$B$10</f>
        <v>2014024.28571429</v>
      </c>
      <c r="O14" s="121" t="n">
        <f aca="false">B14*Assumptions!$B$11</f>
        <v>2014024.28571429</v>
      </c>
      <c r="P14" s="121" t="n">
        <f aca="false">B14*Assumptions!$B$12</f>
        <v>671341.428571429</v>
      </c>
      <c r="Q14" s="121" t="n">
        <f aca="false">N14+O14+P14</f>
        <v>4699390</v>
      </c>
      <c r="R14" s="121" t="n">
        <f aca="false">Q14*0.05</f>
        <v>234969.5</v>
      </c>
      <c r="S14" s="122" t="n">
        <f aca="false">C14+D14-1</f>
        <v>56</v>
      </c>
    </row>
    <row r="15" customFormat="false" ht="15" hidden="false" customHeight="true" outlineLevel="0" collapsed="false">
      <c r="A15" s="101" t="s">
        <v>55</v>
      </c>
      <c r="B15" s="119" t="n">
        <v>15179956</v>
      </c>
      <c r="C15" s="120" t="n">
        <v>16</v>
      </c>
      <c r="D15" s="120" t="n">
        <v>19</v>
      </c>
      <c r="E15" s="120" t="n">
        <v>3</v>
      </c>
      <c r="F15" s="120" t="s">
        <v>283</v>
      </c>
      <c r="G15" s="120" t="s">
        <v>279</v>
      </c>
      <c r="H15" s="120" t="n">
        <v>2</v>
      </c>
      <c r="I15" s="105" t="n">
        <f aca="false">IF(H15=1,Assumptions!$B$16,IF(H15=2,Assumptions!$B$17,0))</f>
        <v>0.0325</v>
      </c>
      <c r="J15" s="120" t="s">
        <v>279</v>
      </c>
      <c r="K15" s="120" t="s">
        <v>283</v>
      </c>
      <c r="L15" s="120" t="s">
        <v>473</v>
      </c>
      <c r="N15" s="121" t="n">
        <f aca="false">B15*Assumptions!$B$10</f>
        <v>739283.571428571</v>
      </c>
      <c r="O15" s="121" t="n">
        <f aca="false">B15*Assumptions!$B$11</f>
        <v>739283.571428571</v>
      </c>
      <c r="P15" s="121" t="n">
        <f aca="false">B15*Assumptions!$B$12</f>
        <v>246427.857142857</v>
      </c>
      <c r="Q15" s="121" t="n">
        <f aca="false">N15+O15+P15</f>
        <v>1724995</v>
      </c>
      <c r="R15" s="121" t="n">
        <f aca="false">Q15*0.05</f>
        <v>86249.75</v>
      </c>
      <c r="S15" s="122" t="n">
        <f aca="false">C15+D15-1</f>
        <v>34</v>
      </c>
    </row>
    <row r="16" customFormat="false" ht="15" hidden="false" customHeight="true" outlineLevel="0" collapsed="false">
      <c r="A16" s="101" t="s">
        <v>56</v>
      </c>
      <c r="B16" s="119" t="n">
        <v>15179956</v>
      </c>
      <c r="C16" s="120" t="n">
        <v>19</v>
      </c>
      <c r="D16" s="120" t="n">
        <v>19</v>
      </c>
      <c r="E16" s="120" t="n">
        <v>3</v>
      </c>
      <c r="F16" s="120" t="s">
        <v>283</v>
      </c>
      <c r="G16" s="120" t="s">
        <v>279</v>
      </c>
      <c r="H16" s="120" t="n">
        <v>2</v>
      </c>
      <c r="I16" s="105" t="n">
        <f aca="false">IF(H16=1,Assumptions!$B$16,IF(H16=2,Assumptions!$B$17,0))</f>
        <v>0.0325</v>
      </c>
      <c r="J16" s="120" t="s">
        <v>279</v>
      </c>
      <c r="K16" s="120" t="s">
        <v>283</v>
      </c>
      <c r="L16" s="120" t="s">
        <v>473</v>
      </c>
      <c r="N16" s="121" t="n">
        <f aca="false">B16*Assumptions!$B$10</f>
        <v>739283.571428571</v>
      </c>
      <c r="O16" s="121" t="n">
        <f aca="false">B16*Assumptions!$B$11</f>
        <v>739283.571428571</v>
      </c>
      <c r="P16" s="121" t="n">
        <f aca="false">B16*Assumptions!$B$12</f>
        <v>246427.857142857</v>
      </c>
      <c r="Q16" s="121" t="n">
        <f aca="false">N16+O16+P16</f>
        <v>1724995</v>
      </c>
      <c r="R16" s="121" t="n">
        <f aca="false">Q16*0.05</f>
        <v>86249.75</v>
      </c>
      <c r="S16" s="122" t="n">
        <f aca="false">C16+D16-1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474</v>
      </c>
      <c r="B1" s="28" t="s">
        <v>475</v>
      </c>
      <c r="C1" s="28" t="s">
        <v>476</v>
      </c>
      <c r="D1" s="28" t="s">
        <v>477</v>
      </c>
      <c r="E1" s="28" t="s">
        <v>461</v>
      </c>
      <c r="F1" s="28" t="s">
        <v>273</v>
      </c>
      <c r="G1" s="28" t="s">
        <v>271</v>
      </c>
      <c r="H1" s="28" t="s">
        <v>478</v>
      </c>
      <c r="I1" s="28" t="s">
        <v>479</v>
      </c>
      <c r="J1" s="1" t="s">
        <v>480</v>
      </c>
    </row>
    <row r="2" customFormat="false" ht="15" hidden="false" customHeight="true" outlineLevel="0" collapsed="false">
      <c r="A2" s="101" t="s">
        <v>481</v>
      </c>
      <c r="B2" s="101" t="s">
        <v>482</v>
      </c>
      <c r="C2" s="119" t="n">
        <v>400000</v>
      </c>
      <c r="D2" s="108" t="n">
        <f aca="false">C2/12</f>
        <v>33333.3333333333</v>
      </c>
      <c r="E2" s="120" t="n">
        <v>1</v>
      </c>
      <c r="F2" s="101" t="s">
        <v>483</v>
      </c>
      <c r="G2" s="106" t="s">
        <v>283</v>
      </c>
      <c r="H2" s="102" t="n">
        <v>0.5</v>
      </c>
      <c r="I2" s="105" t="n">
        <v>0</v>
      </c>
      <c r="J2" s="1" t="s">
        <v>484</v>
      </c>
    </row>
    <row r="3" customFormat="false" ht="15" hidden="false" customHeight="true" outlineLevel="0" collapsed="false">
      <c r="A3" s="101" t="s">
        <v>485</v>
      </c>
      <c r="B3" s="101" t="s">
        <v>482</v>
      </c>
      <c r="C3" s="119" t="n">
        <v>250000</v>
      </c>
      <c r="D3" s="108" t="n">
        <f aca="false">C3/12</f>
        <v>20833.3333333333</v>
      </c>
      <c r="E3" s="120" t="n">
        <v>1</v>
      </c>
      <c r="F3" s="101" t="s">
        <v>483</v>
      </c>
      <c r="G3" s="106" t="s">
        <v>283</v>
      </c>
      <c r="H3" s="102" t="n">
        <v>0.5</v>
      </c>
      <c r="I3" s="105" t="n">
        <v>0</v>
      </c>
      <c r="J3" s="1" t="s">
        <v>484</v>
      </c>
    </row>
    <row r="4" customFormat="false" ht="15" hidden="false" customHeight="true" outlineLevel="0" collapsed="false">
      <c r="A4" s="101" t="s">
        <v>486</v>
      </c>
      <c r="B4" s="101" t="s">
        <v>487</v>
      </c>
      <c r="C4" s="119" t="n">
        <v>190000</v>
      </c>
      <c r="D4" s="108" t="n">
        <f aca="false">C4/12</f>
        <v>15833.3333333333</v>
      </c>
      <c r="E4" s="120" t="n">
        <v>1</v>
      </c>
      <c r="F4" s="101" t="s">
        <v>483</v>
      </c>
      <c r="G4" s="106" t="s">
        <v>283</v>
      </c>
      <c r="H4" s="102" t="n">
        <v>0</v>
      </c>
      <c r="I4" s="105" t="n">
        <v>0</v>
      </c>
      <c r="J4" s="1" t="s">
        <v>484</v>
      </c>
    </row>
    <row r="5" customFormat="false" ht="15" hidden="false" customHeight="true" outlineLevel="0" collapsed="false">
      <c r="A5" s="101" t="s">
        <v>488</v>
      </c>
      <c r="B5" s="101" t="s">
        <v>487</v>
      </c>
      <c r="C5" s="119" t="n">
        <v>200000</v>
      </c>
      <c r="D5" s="108" t="n">
        <f aca="false">C5/12</f>
        <v>16666.6666666667</v>
      </c>
      <c r="E5" s="120" t="n">
        <v>1</v>
      </c>
      <c r="F5" s="101" t="s">
        <v>483</v>
      </c>
      <c r="G5" s="106" t="s">
        <v>283</v>
      </c>
      <c r="H5" s="102" t="n">
        <v>0</v>
      </c>
      <c r="I5" s="105" t="n">
        <v>0</v>
      </c>
      <c r="J5" s="1" t="s">
        <v>484</v>
      </c>
    </row>
    <row r="6" customFormat="false" ht="15" hidden="false" customHeight="true" outlineLevel="0" collapsed="false">
      <c r="A6" s="123" t="s">
        <v>489</v>
      </c>
      <c r="B6" s="101" t="s">
        <v>487</v>
      </c>
      <c r="C6" s="119" t="n">
        <v>175000</v>
      </c>
      <c r="D6" s="108" t="n">
        <f aca="false">C6/12</f>
        <v>14583.3333333333</v>
      </c>
      <c r="E6" s="120" t="n">
        <v>2</v>
      </c>
      <c r="F6" s="101" t="s">
        <v>483</v>
      </c>
      <c r="G6" s="106" t="s">
        <v>283</v>
      </c>
      <c r="H6" s="102" t="n">
        <v>0</v>
      </c>
      <c r="I6" s="105" t="n">
        <v>0</v>
      </c>
      <c r="J6" s="1" t="s">
        <v>484</v>
      </c>
    </row>
    <row r="7" customFormat="false" ht="15" hidden="false" customHeight="true" outlineLevel="0" collapsed="false">
      <c r="A7" s="101" t="s">
        <v>490</v>
      </c>
      <c r="B7" s="101" t="s">
        <v>491</v>
      </c>
      <c r="C7" s="119" t="n">
        <v>145000</v>
      </c>
      <c r="D7" s="108" t="n">
        <f aca="false">C7/12</f>
        <v>12083.3333333333</v>
      </c>
      <c r="E7" s="120" t="n">
        <v>1</v>
      </c>
      <c r="F7" s="101" t="s">
        <v>483</v>
      </c>
      <c r="G7" s="106" t="s">
        <v>283</v>
      </c>
      <c r="H7" s="102" t="n">
        <v>0</v>
      </c>
      <c r="I7" s="105" t="n">
        <v>0</v>
      </c>
      <c r="J7" s="1" t="s">
        <v>484</v>
      </c>
    </row>
    <row r="8" customFormat="false" ht="15" hidden="false" customHeight="true" outlineLevel="0" collapsed="false">
      <c r="A8" s="101" t="s">
        <v>492</v>
      </c>
      <c r="B8" s="101" t="s">
        <v>491</v>
      </c>
      <c r="C8" s="119" t="n">
        <v>185000</v>
      </c>
      <c r="D8" s="108" t="n">
        <f aca="false">C8/12</f>
        <v>15416.6666666667</v>
      </c>
      <c r="E8" s="120" t="n">
        <v>1</v>
      </c>
      <c r="F8" s="101" t="s">
        <v>483</v>
      </c>
      <c r="G8" s="106" t="s">
        <v>283</v>
      </c>
      <c r="H8" s="102" t="n">
        <v>0</v>
      </c>
      <c r="I8" s="105" t="n">
        <v>0</v>
      </c>
      <c r="J8" s="1" t="s">
        <v>484</v>
      </c>
    </row>
    <row r="9" customFormat="false" ht="15" hidden="false" customHeight="true" outlineLevel="0" collapsed="false">
      <c r="A9" s="123" t="s">
        <v>493</v>
      </c>
      <c r="B9" s="101" t="s">
        <v>491</v>
      </c>
      <c r="C9" s="119" t="n">
        <v>135000</v>
      </c>
      <c r="D9" s="108" t="n">
        <f aca="false">C9/12</f>
        <v>11250</v>
      </c>
      <c r="E9" s="120" t="n">
        <v>2</v>
      </c>
      <c r="F9" s="101" t="s">
        <v>483</v>
      </c>
      <c r="G9" s="106" t="s">
        <v>283</v>
      </c>
      <c r="H9" s="102" t="n">
        <v>0</v>
      </c>
      <c r="I9" s="105" t="n">
        <v>0</v>
      </c>
      <c r="J9" s="1" t="s">
        <v>484</v>
      </c>
    </row>
    <row r="10" customFormat="false" ht="15" hidden="false" customHeight="true" outlineLevel="0" collapsed="false">
      <c r="A10" s="123" t="s">
        <v>494</v>
      </c>
      <c r="B10" s="101" t="s">
        <v>491</v>
      </c>
      <c r="C10" s="119" t="n">
        <v>135000</v>
      </c>
      <c r="D10" s="108" t="n">
        <f aca="false">C10/12</f>
        <v>11250</v>
      </c>
      <c r="E10" s="120" t="n">
        <v>3</v>
      </c>
      <c r="F10" s="101" t="s">
        <v>483</v>
      </c>
      <c r="G10" s="106" t="s">
        <v>283</v>
      </c>
      <c r="H10" s="102" t="n">
        <v>0</v>
      </c>
      <c r="I10" s="105" t="n">
        <v>0</v>
      </c>
      <c r="J10" s="1" t="s">
        <v>484</v>
      </c>
    </row>
    <row r="11" customFormat="false" ht="15" hidden="false" customHeight="true" outlineLevel="0" collapsed="false">
      <c r="A11" s="101" t="s">
        <v>495</v>
      </c>
      <c r="B11" s="101" t="s">
        <v>496</v>
      </c>
      <c r="C11" s="119" t="n">
        <v>150000</v>
      </c>
      <c r="D11" s="108" t="n">
        <f aca="false">C11/12</f>
        <v>12500</v>
      </c>
      <c r="E11" s="120" t="n">
        <v>1</v>
      </c>
      <c r="F11" s="101" t="s">
        <v>483</v>
      </c>
      <c r="G11" s="106" t="s">
        <v>283</v>
      </c>
      <c r="H11" s="102" t="n">
        <v>0</v>
      </c>
      <c r="I11" s="105" t="n">
        <v>0</v>
      </c>
      <c r="J11" s="1" t="s">
        <v>497</v>
      </c>
    </row>
    <row r="12" customFormat="false" ht="15" hidden="false" customHeight="true" outlineLevel="0" collapsed="false">
      <c r="A12" s="101" t="s">
        <v>498</v>
      </c>
      <c r="B12" s="101" t="s">
        <v>496</v>
      </c>
      <c r="C12" s="119" t="n">
        <v>150000</v>
      </c>
      <c r="D12" s="108" t="n">
        <f aca="false">C12/12</f>
        <v>12500</v>
      </c>
      <c r="E12" s="120" t="n">
        <v>1</v>
      </c>
      <c r="F12" s="101" t="s">
        <v>483</v>
      </c>
      <c r="G12" s="106" t="s">
        <v>283</v>
      </c>
      <c r="H12" s="102" t="n">
        <v>0</v>
      </c>
      <c r="I12" s="105" t="n">
        <v>0</v>
      </c>
      <c r="J12" s="1" t="s">
        <v>497</v>
      </c>
    </row>
    <row r="13" customFormat="false" ht="15" hidden="false" customHeight="true" outlineLevel="0" collapsed="false">
      <c r="A13" s="101" t="s">
        <v>499</v>
      </c>
      <c r="B13" s="101" t="s">
        <v>496</v>
      </c>
      <c r="C13" s="119" t="n">
        <v>110000</v>
      </c>
      <c r="D13" s="108" t="n">
        <f aca="false">C13/12</f>
        <v>9166.66666666667</v>
      </c>
      <c r="E13" s="120" t="n">
        <v>1</v>
      </c>
      <c r="F13" s="101" t="s">
        <v>483</v>
      </c>
      <c r="G13" s="106" t="s">
        <v>283</v>
      </c>
      <c r="H13" s="102" t="n">
        <v>0</v>
      </c>
      <c r="I13" s="105" t="n">
        <v>0</v>
      </c>
      <c r="J13" s="1" t="s">
        <v>497</v>
      </c>
    </row>
    <row r="14" customFormat="false" ht="15" hidden="false" customHeight="true" outlineLevel="0" collapsed="false">
      <c r="A14" s="101" t="s">
        <v>500</v>
      </c>
      <c r="B14" s="101" t="s">
        <v>501</v>
      </c>
      <c r="C14" s="119" t="n">
        <v>75000</v>
      </c>
      <c r="D14" s="108" t="n">
        <f aca="false">C14/12</f>
        <v>6250</v>
      </c>
      <c r="E14" s="120" t="n">
        <v>1</v>
      </c>
      <c r="F14" s="101" t="s">
        <v>483</v>
      </c>
      <c r="G14" s="106" t="s">
        <v>283</v>
      </c>
      <c r="H14" s="102" t="n">
        <v>0</v>
      </c>
      <c r="I14" s="105" t="n">
        <v>0</v>
      </c>
      <c r="J14" s="1" t="s">
        <v>497</v>
      </c>
    </row>
    <row r="15" customFormat="false" ht="15" hidden="false" customHeight="true" outlineLevel="0" collapsed="false">
      <c r="A15" s="123" t="s">
        <v>502</v>
      </c>
      <c r="B15" s="101" t="s">
        <v>501</v>
      </c>
      <c r="C15" s="119" t="n">
        <v>125000</v>
      </c>
      <c r="D15" s="108" t="n">
        <f aca="false">C15/12</f>
        <v>10416.6666666667</v>
      </c>
      <c r="E15" s="120" t="n">
        <v>2</v>
      </c>
      <c r="F15" s="101" t="s">
        <v>483</v>
      </c>
      <c r="G15" s="106" t="s">
        <v>283</v>
      </c>
      <c r="H15" s="102" t="n">
        <v>0</v>
      </c>
      <c r="I15" s="105" t="n">
        <v>0</v>
      </c>
      <c r="J15" s="1" t="s">
        <v>497</v>
      </c>
    </row>
    <row r="16" customFormat="false" ht="15" hidden="false" customHeight="true" outlineLevel="0" collapsed="false">
      <c r="A16" s="123" t="s">
        <v>503</v>
      </c>
      <c r="B16" s="101" t="s">
        <v>501</v>
      </c>
      <c r="C16" s="119" t="n">
        <v>125000</v>
      </c>
      <c r="D16" s="108" t="n">
        <f aca="false">C16/12</f>
        <v>10416.6666666667</v>
      </c>
      <c r="E16" s="120" t="n">
        <v>3</v>
      </c>
      <c r="F16" s="101" t="s">
        <v>483</v>
      </c>
      <c r="G16" s="106" t="s">
        <v>283</v>
      </c>
      <c r="H16" s="102" t="n">
        <v>0</v>
      </c>
      <c r="I16" s="105" t="n">
        <v>0</v>
      </c>
      <c r="J16" s="1" t="s">
        <v>497</v>
      </c>
    </row>
    <row r="17" customFormat="false" ht="15" hidden="false" customHeight="true" outlineLevel="0" collapsed="false">
      <c r="A17" s="123" t="s">
        <v>504</v>
      </c>
      <c r="B17" s="101" t="s">
        <v>501</v>
      </c>
      <c r="C17" s="119" t="n">
        <v>125000</v>
      </c>
      <c r="D17" s="108" t="n">
        <f aca="false">C17/12</f>
        <v>10416.6666666667</v>
      </c>
      <c r="E17" s="120" t="n">
        <v>999</v>
      </c>
      <c r="F17" s="101" t="s">
        <v>483</v>
      </c>
      <c r="G17" s="106" t="s">
        <v>283</v>
      </c>
      <c r="H17" s="102" t="n">
        <v>0</v>
      </c>
      <c r="I17" s="105" t="n">
        <v>0</v>
      </c>
      <c r="J17" s="1" t="s">
        <v>497</v>
      </c>
    </row>
    <row r="18" customFormat="false" ht="15" hidden="false" customHeight="true" outlineLevel="0" collapsed="false">
      <c r="A18" s="123" t="s">
        <v>505</v>
      </c>
      <c r="B18" s="101" t="s">
        <v>501</v>
      </c>
      <c r="C18" s="119" t="n">
        <v>125000</v>
      </c>
      <c r="D18" s="108" t="n">
        <f aca="false">C18/12</f>
        <v>10416.6666666667</v>
      </c>
      <c r="E18" s="120" t="n">
        <v>999</v>
      </c>
      <c r="F18" s="101" t="s">
        <v>483</v>
      </c>
      <c r="G18" s="106" t="s">
        <v>283</v>
      </c>
      <c r="H18" s="102" t="n">
        <v>0</v>
      </c>
      <c r="I18" s="105" t="n">
        <v>0</v>
      </c>
      <c r="J18" s="1" t="s">
        <v>497</v>
      </c>
    </row>
    <row r="19" customFormat="false" ht="15" hidden="false" customHeight="true" outlineLevel="0" collapsed="false">
      <c r="A19" s="101" t="s">
        <v>506</v>
      </c>
      <c r="B19" s="101" t="s">
        <v>507</v>
      </c>
      <c r="C19" s="119" t="n">
        <v>62400</v>
      </c>
      <c r="D19" s="108" t="n">
        <f aca="false">C19/12</f>
        <v>5200</v>
      </c>
      <c r="E19" s="120" t="n">
        <v>1</v>
      </c>
      <c r="F19" s="101" t="s">
        <v>483</v>
      </c>
      <c r="G19" s="106" t="s">
        <v>283</v>
      </c>
      <c r="H19" s="102" t="n">
        <v>0</v>
      </c>
      <c r="I19" s="105" t="n">
        <v>0</v>
      </c>
      <c r="J19" s="1" t="s">
        <v>497</v>
      </c>
    </row>
    <row r="20" customFormat="false" ht="15" hidden="false" customHeight="true" outlineLevel="0" collapsed="false">
      <c r="A20" s="101" t="s">
        <v>508</v>
      </c>
      <c r="B20" s="101" t="s">
        <v>507</v>
      </c>
      <c r="C20" s="119" t="n">
        <v>85000</v>
      </c>
      <c r="D20" s="108" t="n">
        <f aca="false">C20/12</f>
        <v>7083.33333333333</v>
      </c>
      <c r="E20" s="120" t="n">
        <v>1</v>
      </c>
      <c r="F20" s="101" t="s">
        <v>483</v>
      </c>
      <c r="G20" s="106" t="s">
        <v>283</v>
      </c>
      <c r="H20" s="102" t="n">
        <v>0</v>
      </c>
      <c r="I20" s="105" t="n">
        <v>0</v>
      </c>
      <c r="J20" s="1" t="s">
        <v>497</v>
      </c>
    </row>
    <row r="21" customFormat="false" ht="15" hidden="false" customHeight="true" outlineLevel="0" collapsed="false">
      <c r="A21" s="101" t="s">
        <v>509</v>
      </c>
      <c r="B21" s="101" t="s">
        <v>510</v>
      </c>
      <c r="C21" s="119" t="n">
        <v>69992</v>
      </c>
      <c r="D21" s="108" t="n">
        <f aca="false">C21/12</f>
        <v>5832.66666666667</v>
      </c>
      <c r="E21" s="120" t="n">
        <v>1</v>
      </c>
      <c r="F21" s="101" t="s">
        <v>483</v>
      </c>
      <c r="G21" s="106" t="s">
        <v>283</v>
      </c>
      <c r="H21" s="102" t="n">
        <v>0</v>
      </c>
      <c r="I21" s="105" t="n">
        <v>0</v>
      </c>
      <c r="J21" s="1" t="s">
        <v>497</v>
      </c>
    </row>
    <row r="22" customFormat="false" ht="15" hidden="false" customHeight="true" outlineLevel="0" collapsed="false">
      <c r="A22" s="101" t="s">
        <v>511</v>
      </c>
      <c r="B22" s="101" t="s">
        <v>510</v>
      </c>
      <c r="C22" s="119" t="n">
        <v>52000</v>
      </c>
      <c r="D22" s="108" t="n">
        <f aca="false">C22/12</f>
        <v>4333.33333333333</v>
      </c>
      <c r="E22" s="120" t="n">
        <v>1</v>
      </c>
      <c r="F22" s="101" t="s">
        <v>483</v>
      </c>
      <c r="G22" s="106" t="s">
        <v>283</v>
      </c>
      <c r="H22" s="102" t="n">
        <v>0</v>
      </c>
      <c r="I22" s="105" t="n">
        <v>0</v>
      </c>
      <c r="J22" s="1" t="s">
        <v>497</v>
      </c>
    </row>
    <row r="23" customFormat="false" ht="15" hidden="false" customHeight="true" outlineLevel="0" collapsed="false">
      <c r="A23" s="101" t="s">
        <v>512</v>
      </c>
      <c r="B23" s="101" t="s">
        <v>513</v>
      </c>
      <c r="C23" s="119" t="n">
        <v>70000</v>
      </c>
      <c r="D23" s="108" t="n">
        <f aca="false">C23/12</f>
        <v>5833.33333333333</v>
      </c>
      <c r="E23" s="120" t="n">
        <v>1</v>
      </c>
      <c r="F23" s="101" t="s">
        <v>483</v>
      </c>
      <c r="G23" s="106" t="s">
        <v>283</v>
      </c>
      <c r="H23" s="102" t="n">
        <v>0</v>
      </c>
      <c r="I23" s="105" t="n">
        <v>0</v>
      </c>
      <c r="J23" s="1" t="s">
        <v>484</v>
      </c>
    </row>
    <row r="24" customFormat="false" ht="15" hidden="false" customHeight="true" outlineLevel="0" collapsed="false">
      <c r="A24" s="101" t="s">
        <v>514</v>
      </c>
      <c r="B24" s="101" t="s">
        <v>513</v>
      </c>
      <c r="C24" s="119" t="n">
        <v>97500</v>
      </c>
      <c r="D24" s="108" t="n">
        <f aca="false">C24/12</f>
        <v>8125</v>
      </c>
      <c r="E24" s="120" t="n">
        <v>1</v>
      </c>
      <c r="F24" s="101" t="s">
        <v>483</v>
      </c>
      <c r="G24" s="106" t="s">
        <v>283</v>
      </c>
      <c r="H24" s="102" t="n">
        <v>0</v>
      </c>
      <c r="I24" s="105" t="n">
        <v>0</v>
      </c>
      <c r="J24" s="1" t="s">
        <v>484</v>
      </c>
    </row>
    <row r="25" customFormat="false" ht="15" hidden="false" customHeight="true" outlineLevel="0" collapsed="false">
      <c r="A25" s="123" t="s">
        <v>515</v>
      </c>
      <c r="B25" s="101" t="s">
        <v>513</v>
      </c>
      <c r="C25" s="119" t="n">
        <v>100000</v>
      </c>
      <c r="D25" s="108" t="n">
        <f aca="false">C25/12</f>
        <v>8333.33333333333</v>
      </c>
      <c r="E25" s="120" t="n">
        <v>3</v>
      </c>
      <c r="F25" s="101" t="s">
        <v>483</v>
      </c>
      <c r="G25" s="106" t="s">
        <v>283</v>
      </c>
      <c r="H25" s="102" t="n">
        <v>0</v>
      </c>
      <c r="I25" s="105" t="n">
        <v>0</v>
      </c>
      <c r="J25" s="1" t="s">
        <v>484</v>
      </c>
    </row>
    <row r="27" customFormat="false" ht="15" hidden="false" customHeight="true" outlineLevel="0" collapsed="false">
      <c r="A27" s="8" t="s">
        <v>516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517</v>
      </c>
      <c r="B28" s="101" t="s">
        <v>518</v>
      </c>
      <c r="C28" s="119" t="n">
        <v>400000</v>
      </c>
      <c r="D28" s="108" t="n">
        <f aca="false">C28/12</f>
        <v>33333.3333333333</v>
      </c>
      <c r="E28" s="120" t="n">
        <v>1</v>
      </c>
      <c r="F28" s="101" t="s">
        <v>519</v>
      </c>
      <c r="G28" s="106" t="s">
        <v>283</v>
      </c>
      <c r="H28" s="102" t="n">
        <v>1</v>
      </c>
      <c r="I28" s="78" t="n">
        <v>0.5</v>
      </c>
      <c r="J28" s="1" t="s">
        <v>520</v>
      </c>
    </row>
    <row r="29" customFormat="false" ht="15" hidden="false" customHeight="true" outlineLevel="0" collapsed="false">
      <c r="A29" s="101" t="s">
        <v>521</v>
      </c>
      <c r="B29" s="101" t="s">
        <v>518</v>
      </c>
      <c r="C29" s="119" t="n">
        <v>400000</v>
      </c>
      <c r="D29" s="108" t="n">
        <f aca="false">C29/12</f>
        <v>33333.3333333333</v>
      </c>
      <c r="E29" s="120" t="n">
        <v>1</v>
      </c>
      <c r="F29" s="101" t="s">
        <v>519</v>
      </c>
      <c r="G29" s="106" t="s">
        <v>283</v>
      </c>
      <c r="H29" s="102" t="n">
        <v>1</v>
      </c>
      <c r="I29" s="78" t="n">
        <v>0.2</v>
      </c>
      <c r="J29" s="1" t="s">
        <v>520</v>
      </c>
    </row>
    <row r="30" customFormat="false" ht="15" hidden="false" customHeight="true" outlineLevel="0" collapsed="false">
      <c r="A30" s="101" t="s">
        <v>522</v>
      </c>
      <c r="B30" s="101" t="s">
        <v>523</v>
      </c>
      <c r="C30" s="119" t="n">
        <v>222000</v>
      </c>
      <c r="D30" s="108" t="n">
        <f aca="false">C30/12</f>
        <v>18500</v>
      </c>
      <c r="E30" s="120" t="n">
        <v>1</v>
      </c>
      <c r="F30" s="101" t="s">
        <v>519</v>
      </c>
      <c r="G30" s="106" t="s">
        <v>283</v>
      </c>
      <c r="H30" s="102" t="n">
        <v>1</v>
      </c>
      <c r="I30" s="102" t="n">
        <v>0</v>
      </c>
      <c r="J30" s="1" t="s">
        <v>520</v>
      </c>
    </row>
    <row r="31" customFormat="false" ht="15" hidden="false" customHeight="true" outlineLevel="0" collapsed="false">
      <c r="A31" s="101" t="s">
        <v>524</v>
      </c>
      <c r="B31" s="101" t="s">
        <v>525</v>
      </c>
      <c r="C31" s="119" t="n">
        <v>115000</v>
      </c>
      <c r="D31" s="108" t="n">
        <f aca="false">C31/12</f>
        <v>9583.33333333333</v>
      </c>
      <c r="E31" s="120" t="n">
        <v>1</v>
      </c>
      <c r="F31" s="101" t="s">
        <v>519</v>
      </c>
      <c r="G31" s="106" t="s">
        <v>283</v>
      </c>
      <c r="H31" s="102" t="n">
        <v>1</v>
      </c>
      <c r="I31" s="102" t="n">
        <v>0</v>
      </c>
      <c r="J31" s="1" t="s">
        <v>520</v>
      </c>
    </row>
    <row r="32" customFormat="false" ht="15" hidden="false" customHeight="true" outlineLevel="0" collapsed="false">
      <c r="A32" s="101" t="s">
        <v>526</v>
      </c>
      <c r="B32" s="101" t="s">
        <v>527</v>
      </c>
      <c r="C32" s="119" t="n">
        <v>250000</v>
      </c>
      <c r="D32" s="108" t="n">
        <f aca="false">C32/12</f>
        <v>20833.3333333333</v>
      </c>
      <c r="E32" s="120" t="n">
        <v>1</v>
      </c>
      <c r="F32" s="101" t="s">
        <v>519</v>
      </c>
      <c r="G32" s="106" t="s">
        <v>283</v>
      </c>
      <c r="H32" s="102" t="n">
        <v>0</v>
      </c>
      <c r="I32" s="78" t="n">
        <v>0.3</v>
      </c>
      <c r="J32" s="1" t="s">
        <v>520</v>
      </c>
    </row>
    <row r="33" customFormat="false" ht="15" hidden="false" customHeight="true" outlineLevel="0" collapsed="false">
      <c r="A33" s="101" t="s">
        <v>528</v>
      </c>
      <c r="B33" s="101" t="s">
        <v>529</v>
      </c>
      <c r="C33" s="119" t="n">
        <v>150000</v>
      </c>
      <c r="D33" s="108" t="n">
        <f aca="false">C33/12</f>
        <v>12500</v>
      </c>
      <c r="E33" s="120" t="n">
        <v>1</v>
      </c>
      <c r="F33" s="101" t="s">
        <v>519</v>
      </c>
      <c r="G33" s="106" t="s">
        <v>283</v>
      </c>
      <c r="H33" s="102" t="n">
        <v>0</v>
      </c>
      <c r="I33" s="78" t="n">
        <v>0.75</v>
      </c>
      <c r="J33" s="1" t="s">
        <v>520</v>
      </c>
    </row>
    <row r="34" customFormat="false" ht="15" hidden="false" customHeight="true" outlineLevel="0" collapsed="false">
      <c r="A34" s="101" t="s">
        <v>530</v>
      </c>
      <c r="B34" s="101" t="s">
        <v>531</v>
      </c>
      <c r="C34" s="119" t="n">
        <v>250000</v>
      </c>
      <c r="D34" s="108" t="n">
        <f aca="false">C34/12</f>
        <v>20833.3333333333</v>
      </c>
      <c r="E34" s="120" t="n">
        <v>1</v>
      </c>
      <c r="F34" s="101" t="s">
        <v>519</v>
      </c>
      <c r="G34" s="106" t="s">
        <v>283</v>
      </c>
      <c r="H34" s="102" t="n">
        <v>0</v>
      </c>
      <c r="I34" s="78" t="n">
        <v>0.75</v>
      </c>
      <c r="J34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532</v>
      </c>
      <c r="B1" s="4" t="s">
        <v>533</v>
      </c>
    </row>
    <row r="2" customFormat="false" ht="15" hidden="false" customHeight="true" outlineLevel="0" collapsed="false">
      <c r="A2" s="124" t="n">
        <v>1</v>
      </c>
      <c r="B2" s="125" t="n">
        <f aca="false">(1+Assumptions!$B$26)^INT((A2-1)/12)</f>
        <v>1</v>
      </c>
    </row>
    <row r="3" customFormat="false" ht="15" hidden="false" customHeight="true" outlineLevel="0" collapsed="false">
      <c r="A3" s="124" t="n">
        <v>2</v>
      </c>
      <c r="B3" s="125" t="n">
        <f aca="false">(1+Assumptions!$B$26)^INT((A3-1)/12)</f>
        <v>1</v>
      </c>
    </row>
    <row r="4" customFormat="false" ht="15" hidden="false" customHeight="true" outlineLevel="0" collapsed="false">
      <c r="A4" s="124" t="n">
        <v>3</v>
      </c>
      <c r="B4" s="125" t="n">
        <f aca="false">(1+Assumptions!$B$26)^INT((A4-1)/12)</f>
        <v>1</v>
      </c>
    </row>
    <row r="5" customFormat="false" ht="15" hidden="false" customHeight="true" outlineLevel="0" collapsed="false">
      <c r="A5" s="124" t="n">
        <v>4</v>
      </c>
      <c r="B5" s="125" t="n">
        <f aca="false">(1+Assumptions!$B$26)^INT((A5-1)/12)</f>
        <v>1</v>
      </c>
    </row>
    <row r="6" customFormat="false" ht="15" hidden="false" customHeight="true" outlineLevel="0" collapsed="false">
      <c r="A6" s="124" t="n">
        <v>5</v>
      </c>
      <c r="B6" s="125" t="n">
        <f aca="false">(1+Assumptions!$B$26)^INT((A6-1)/12)</f>
        <v>1</v>
      </c>
    </row>
    <row r="7" customFormat="false" ht="15" hidden="false" customHeight="true" outlineLevel="0" collapsed="false">
      <c r="A7" s="124" t="n">
        <v>6</v>
      </c>
      <c r="B7" s="125" t="n">
        <f aca="false">(1+Assumptions!$B$26)^INT((A7-1)/12)</f>
        <v>1</v>
      </c>
    </row>
    <row r="8" customFormat="false" ht="15" hidden="false" customHeight="true" outlineLevel="0" collapsed="false">
      <c r="A8" s="124" t="n">
        <v>7</v>
      </c>
      <c r="B8" s="125" t="n">
        <f aca="false">(1+Assumptions!$B$26)^INT((A8-1)/12)</f>
        <v>1</v>
      </c>
    </row>
    <row r="9" customFormat="false" ht="15" hidden="false" customHeight="true" outlineLevel="0" collapsed="false">
      <c r="A9" s="124" t="n">
        <v>8</v>
      </c>
      <c r="B9" s="125" t="n">
        <f aca="false">(1+Assumptions!$B$26)^INT((A9-1)/12)</f>
        <v>1</v>
      </c>
    </row>
    <row r="10" customFormat="false" ht="15" hidden="false" customHeight="true" outlineLevel="0" collapsed="false">
      <c r="A10" s="124" t="n">
        <v>9</v>
      </c>
      <c r="B10" s="125" t="n">
        <f aca="false">(1+Assumptions!$B$26)^INT((A10-1)/12)</f>
        <v>1</v>
      </c>
    </row>
    <row r="11" customFormat="false" ht="15" hidden="false" customHeight="true" outlineLevel="0" collapsed="false">
      <c r="A11" s="124" t="n">
        <v>10</v>
      </c>
      <c r="B11" s="125" t="n">
        <f aca="false">(1+Assumptions!$B$26)^INT((A11-1)/12)</f>
        <v>1</v>
      </c>
    </row>
    <row r="12" customFormat="false" ht="15" hidden="false" customHeight="true" outlineLevel="0" collapsed="false">
      <c r="A12" s="124" t="n">
        <v>11</v>
      </c>
      <c r="B12" s="125" t="n">
        <f aca="false">(1+Assumptions!$B$26)^INT((A12-1)/12)</f>
        <v>1</v>
      </c>
    </row>
    <row r="13" customFormat="false" ht="15" hidden="false" customHeight="true" outlineLevel="0" collapsed="false">
      <c r="A13" s="124" t="n">
        <v>12</v>
      </c>
      <c r="B13" s="125" t="n">
        <f aca="false">(1+Assumptions!$B$26)^INT((A13-1)/12)</f>
        <v>1</v>
      </c>
    </row>
    <row r="14" customFormat="false" ht="15" hidden="false" customHeight="true" outlineLevel="0" collapsed="false">
      <c r="A14" s="124" t="n">
        <v>13</v>
      </c>
      <c r="B14" s="125" t="n">
        <f aca="false">(1+Assumptions!$B$26)^INT((A14-1)/12)</f>
        <v>1.02</v>
      </c>
    </row>
    <row r="15" customFormat="false" ht="15" hidden="false" customHeight="true" outlineLevel="0" collapsed="false">
      <c r="A15" s="124" t="n">
        <v>14</v>
      </c>
      <c r="B15" s="125" t="n">
        <f aca="false">(1+Assumptions!$B$26)^INT((A15-1)/12)</f>
        <v>1.02</v>
      </c>
    </row>
    <row r="16" customFormat="false" ht="15" hidden="false" customHeight="true" outlineLevel="0" collapsed="false">
      <c r="A16" s="124" t="n">
        <v>15</v>
      </c>
      <c r="B16" s="125" t="n">
        <f aca="false">(1+Assumptions!$B$26)^INT((A16-1)/12)</f>
        <v>1.02</v>
      </c>
    </row>
    <row r="17" customFormat="false" ht="15" hidden="false" customHeight="true" outlineLevel="0" collapsed="false">
      <c r="A17" s="124" t="n">
        <v>16</v>
      </c>
      <c r="B17" s="125" t="n">
        <f aca="false">(1+Assumptions!$B$26)^INT((A17-1)/12)</f>
        <v>1.02</v>
      </c>
    </row>
    <row r="18" customFormat="false" ht="15" hidden="false" customHeight="true" outlineLevel="0" collapsed="false">
      <c r="A18" s="124" t="n">
        <v>17</v>
      </c>
      <c r="B18" s="125" t="n">
        <f aca="false">(1+Assumptions!$B$26)^INT((A18-1)/12)</f>
        <v>1.02</v>
      </c>
    </row>
    <row r="19" customFormat="false" ht="15" hidden="false" customHeight="true" outlineLevel="0" collapsed="false">
      <c r="A19" s="124" t="n">
        <v>18</v>
      </c>
      <c r="B19" s="125" t="n">
        <f aca="false">(1+Assumptions!$B$26)^INT((A19-1)/12)</f>
        <v>1.02</v>
      </c>
    </row>
    <row r="20" customFormat="false" ht="15" hidden="false" customHeight="true" outlineLevel="0" collapsed="false">
      <c r="A20" s="124" t="n">
        <v>19</v>
      </c>
      <c r="B20" s="125" t="n">
        <f aca="false">(1+Assumptions!$B$26)^INT((A20-1)/12)</f>
        <v>1.02</v>
      </c>
    </row>
    <row r="21" customFormat="false" ht="15" hidden="false" customHeight="true" outlineLevel="0" collapsed="false">
      <c r="A21" s="124" t="n">
        <v>20</v>
      </c>
      <c r="B21" s="125" t="n">
        <f aca="false">(1+Assumptions!$B$26)^INT((A21-1)/12)</f>
        <v>1.02</v>
      </c>
    </row>
    <row r="22" customFormat="false" ht="15" hidden="false" customHeight="true" outlineLevel="0" collapsed="false">
      <c r="A22" s="124" t="n">
        <v>21</v>
      </c>
      <c r="B22" s="125" t="n">
        <f aca="false">(1+Assumptions!$B$26)^INT((A22-1)/12)</f>
        <v>1.02</v>
      </c>
    </row>
    <row r="23" customFormat="false" ht="15" hidden="false" customHeight="true" outlineLevel="0" collapsed="false">
      <c r="A23" s="124" t="n">
        <v>22</v>
      </c>
      <c r="B23" s="125" t="n">
        <f aca="false">(1+Assumptions!$B$26)^INT((A23-1)/12)</f>
        <v>1.02</v>
      </c>
    </row>
    <row r="24" customFormat="false" ht="15" hidden="false" customHeight="true" outlineLevel="0" collapsed="false">
      <c r="A24" s="124" t="n">
        <v>23</v>
      </c>
      <c r="B24" s="125" t="n">
        <f aca="false">(1+Assumptions!$B$26)^INT((A24-1)/12)</f>
        <v>1.02</v>
      </c>
    </row>
    <row r="25" customFormat="false" ht="15" hidden="false" customHeight="true" outlineLevel="0" collapsed="false">
      <c r="A25" s="124" t="n">
        <v>24</v>
      </c>
      <c r="B25" s="125" t="n">
        <f aca="false">(1+Assumptions!$B$26)^INT((A25-1)/12)</f>
        <v>1.02</v>
      </c>
    </row>
    <row r="26" customFormat="false" ht="15" hidden="false" customHeight="true" outlineLevel="0" collapsed="false">
      <c r="A26" s="124" t="n">
        <v>25</v>
      </c>
      <c r="B26" s="125" t="n">
        <f aca="false">(1+Assumptions!$B$26)^INT((A26-1)/12)</f>
        <v>1.0404</v>
      </c>
    </row>
    <row r="27" customFormat="false" ht="15" hidden="false" customHeight="true" outlineLevel="0" collapsed="false">
      <c r="A27" s="124" t="n">
        <v>26</v>
      </c>
      <c r="B27" s="125" t="n">
        <f aca="false">(1+Assumptions!$B$26)^INT((A27-1)/12)</f>
        <v>1.0404</v>
      </c>
    </row>
    <row r="28" customFormat="false" ht="15" hidden="false" customHeight="true" outlineLevel="0" collapsed="false">
      <c r="A28" s="124" t="n">
        <v>27</v>
      </c>
      <c r="B28" s="125" t="n">
        <f aca="false">(1+Assumptions!$B$26)^INT((A28-1)/12)</f>
        <v>1.0404</v>
      </c>
    </row>
    <row r="29" customFormat="false" ht="15" hidden="false" customHeight="true" outlineLevel="0" collapsed="false">
      <c r="A29" s="124" t="n">
        <v>28</v>
      </c>
      <c r="B29" s="125" t="n">
        <f aca="false">(1+Assumptions!$B$26)^INT((A29-1)/12)</f>
        <v>1.0404</v>
      </c>
    </row>
    <row r="30" customFormat="false" ht="15" hidden="false" customHeight="true" outlineLevel="0" collapsed="false">
      <c r="A30" s="124" t="n">
        <v>29</v>
      </c>
      <c r="B30" s="125" t="n">
        <f aca="false">(1+Assumptions!$B$26)^INT((A30-1)/12)</f>
        <v>1.0404</v>
      </c>
    </row>
    <row r="31" customFormat="false" ht="15" hidden="false" customHeight="true" outlineLevel="0" collapsed="false">
      <c r="A31" s="124" t="n">
        <v>30</v>
      </c>
      <c r="B31" s="125" t="n">
        <f aca="false">(1+Assumptions!$B$26)^INT((A31-1)/12)</f>
        <v>1.0404</v>
      </c>
    </row>
    <row r="32" customFormat="false" ht="15" hidden="false" customHeight="true" outlineLevel="0" collapsed="false">
      <c r="A32" s="124" t="n">
        <v>31</v>
      </c>
      <c r="B32" s="125" t="n">
        <f aca="false">(1+Assumptions!$B$26)^INT((A32-1)/12)</f>
        <v>1.0404</v>
      </c>
    </row>
    <row r="33" customFormat="false" ht="15" hidden="false" customHeight="true" outlineLevel="0" collapsed="false">
      <c r="A33" s="124" t="n">
        <v>32</v>
      </c>
      <c r="B33" s="125" t="n">
        <f aca="false">(1+Assumptions!$B$26)^INT((A33-1)/12)</f>
        <v>1.0404</v>
      </c>
    </row>
    <row r="34" customFormat="false" ht="15" hidden="false" customHeight="true" outlineLevel="0" collapsed="false">
      <c r="A34" s="124" t="n">
        <v>33</v>
      </c>
      <c r="B34" s="125" t="n">
        <f aca="false">(1+Assumptions!$B$26)^INT((A34-1)/12)</f>
        <v>1.0404</v>
      </c>
    </row>
    <row r="35" customFormat="false" ht="15" hidden="false" customHeight="true" outlineLevel="0" collapsed="false">
      <c r="A35" s="124" t="n">
        <v>34</v>
      </c>
      <c r="B35" s="125" t="n">
        <f aca="false">(1+Assumptions!$B$26)^INT((A35-1)/12)</f>
        <v>1.0404</v>
      </c>
    </row>
    <row r="36" customFormat="false" ht="15" hidden="false" customHeight="true" outlineLevel="0" collapsed="false">
      <c r="A36" s="124" t="n">
        <v>35</v>
      </c>
      <c r="B36" s="125" t="n">
        <f aca="false">(1+Assumptions!$B$26)^INT((A36-1)/12)</f>
        <v>1.0404</v>
      </c>
    </row>
    <row r="37" customFormat="false" ht="15" hidden="false" customHeight="true" outlineLevel="0" collapsed="false">
      <c r="A37" s="124" t="n">
        <v>36</v>
      </c>
      <c r="B37" s="125" t="n">
        <f aca="false">(1+Assumptions!$B$26)^INT((A37-1)/12)</f>
        <v>1.0404</v>
      </c>
    </row>
    <row r="38" customFormat="false" ht="15" hidden="false" customHeight="true" outlineLevel="0" collapsed="false">
      <c r="A38" s="124" t="n">
        <v>37</v>
      </c>
      <c r="B38" s="125" t="n">
        <f aca="false">(1+Assumptions!$B$26)^INT((A38-1)/12)</f>
        <v>1.061208</v>
      </c>
    </row>
    <row r="39" customFormat="false" ht="15" hidden="false" customHeight="true" outlineLevel="0" collapsed="false">
      <c r="A39" s="124" t="n">
        <v>38</v>
      </c>
      <c r="B39" s="125" t="n">
        <f aca="false">(1+Assumptions!$B$26)^INT((A39-1)/12)</f>
        <v>1.061208</v>
      </c>
    </row>
    <row r="40" customFormat="false" ht="15" hidden="false" customHeight="true" outlineLevel="0" collapsed="false">
      <c r="A40" s="124" t="n">
        <v>39</v>
      </c>
      <c r="B40" s="125" t="n">
        <f aca="false">(1+Assumptions!$B$26)^INT((A40-1)/12)</f>
        <v>1.061208</v>
      </c>
    </row>
    <row r="41" customFormat="false" ht="15" hidden="false" customHeight="true" outlineLevel="0" collapsed="false">
      <c r="A41" s="124" t="n">
        <v>40</v>
      </c>
      <c r="B41" s="125" t="n">
        <f aca="false">(1+Assumptions!$B$26)^INT((A41-1)/12)</f>
        <v>1.061208</v>
      </c>
    </row>
    <row r="42" customFormat="false" ht="15" hidden="false" customHeight="true" outlineLevel="0" collapsed="false">
      <c r="A42" s="124" t="n">
        <v>41</v>
      </c>
      <c r="B42" s="125" t="n">
        <f aca="false">(1+Assumptions!$B$26)^INT((A42-1)/12)</f>
        <v>1.061208</v>
      </c>
    </row>
    <row r="43" customFormat="false" ht="15" hidden="false" customHeight="true" outlineLevel="0" collapsed="false">
      <c r="A43" s="124" t="n">
        <v>42</v>
      </c>
      <c r="B43" s="125" t="n">
        <f aca="false">(1+Assumptions!$B$26)^INT((A43-1)/12)</f>
        <v>1.061208</v>
      </c>
    </row>
    <row r="44" customFormat="false" ht="15" hidden="false" customHeight="true" outlineLevel="0" collapsed="false">
      <c r="A44" s="124" t="n">
        <v>43</v>
      </c>
      <c r="B44" s="125" t="n">
        <f aca="false">(1+Assumptions!$B$26)^INT((A44-1)/12)</f>
        <v>1.061208</v>
      </c>
    </row>
    <row r="45" customFormat="false" ht="15" hidden="false" customHeight="true" outlineLevel="0" collapsed="false">
      <c r="A45" s="124" t="n">
        <v>44</v>
      </c>
      <c r="B45" s="125" t="n">
        <f aca="false">(1+Assumptions!$B$26)^INT((A45-1)/12)</f>
        <v>1.061208</v>
      </c>
    </row>
    <row r="46" customFormat="false" ht="15" hidden="false" customHeight="true" outlineLevel="0" collapsed="false">
      <c r="A46" s="124" t="n">
        <v>45</v>
      </c>
      <c r="B46" s="125" t="n">
        <f aca="false">(1+Assumptions!$B$26)^INT((A46-1)/12)</f>
        <v>1.061208</v>
      </c>
    </row>
    <row r="47" customFormat="false" ht="15" hidden="false" customHeight="true" outlineLevel="0" collapsed="false">
      <c r="A47" s="124" t="n">
        <v>46</v>
      </c>
      <c r="B47" s="125" t="n">
        <f aca="false">(1+Assumptions!$B$26)^INT((A47-1)/12)</f>
        <v>1.061208</v>
      </c>
    </row>
    <row r="48" customFormat="false" ht="15" hidden="false" customHeight="true" outlineLevel="0" collapsed="false">
      <c r="A48" s="124" t="n">
        <v>47</v>
      </c>
      <c r="B48" s="125" t="n">
        <f aca="false">(1+Assumptions!$B$26)^INT((A48-1)/12)</f>
        <v>1.061208</v>
      </c>
    </row>
    <row r="49" customFormat="false" ht="15" hidden="false" customHeight="true" outlineLevel="0" collapsed="false">
      <c r="A49" s="124" t="n">
        <v>48</v>
      </c>
      <c r="B49" s="125" t="n">
        <f aca="false">(1+Assumptions!$B$26)^INT((A49-1)/12)</f>
        <v>1.061208</v>
      </c>
    </row>
    <row r="50" customFormat="false" ht="15" hidden="false" customHeight="true" outlineLevel="0" collapsed="false">
      <c r="A50" s="124" t="n">
        <v>49</v>
      </c>
      <c r="B50" s="125" t="n">
        <f aca="false">(1+Assumptions!$B$26)^INT((A50-1)/12)</f>
        <v>1.08243216</v>
      </c>
    </row>
    <row r="51" customFormat="false" ht="15" hidden="false" customHeight="true" outlineLevel="0" collapsed="false">
      <c r="A51" s="124" t="n">
        <v>50</v>
      </c>
      <c r="B51" s="125" t="n">
        <f aca="false">(1+Assumptions!$B$26)^INT((A51-1)/12)</f>
        <v>1.08243216</v>
      </c>
    </row>
    <row r="52" customFormat="false" ht="15" hidden="false" customHeight="true" outlineLevel="0" collapsed="false">
      <c r="A52" s="124" t="n">
        <v>51</v>
      </c>
      <c r="B52" s="125" t="n">
        <f aca="false">(1+Assumptions!$B$26)^INT((A52-1)/12)</f>
        <v>1.08243216</v>
      </c>
    </row>
    <row r="53" customFormat="false" ht="15" hidden="false" customHeight="true" outlineLevel="0" collapsed="false">
      <c r="A53" s="124" t="n">
        <v>52</v>
      </c>
      <c r="B53" s="125" t="n">
        <f aca="false">(1+Assumptions!$B$26)^INT((A53-1)/12)</f>
        <v>1.08243216</v>
      </c>
    </row>
    <row r="54" customFormat="false" ht="15" hidden="false" customHeight="true" outlineLevel="0" collapsed="false">
      <c r="A54" s="124" t="n">
        <v>53</v>
      </c>
      <c r="B54" s="125" t="n">
        <f aca="false">(1+Assumptions!$B$26)^INT((A54-1)/12)</f>
        <v>1.08243216</v>
      </c>
    </row>
    <row r="55" customFormat="false" ht="15" hidden="false" customHeight="true" outlineLevel="0" collapsed="false">
      <c r="A55" s="124" t="n">
        <v>54</v>
      </c>
      <c r="B55" s="125" t="n">
        <f aca="false">(1+Assumptions!$B$26)^INT((A55-1)/12)</f>
        <v>1.08243216</v>
      </c>
    </row>
    <row r="56" customFormat="false" ht="15" hidden="false" customHeight="true" outlineLevel="0" collapsed="false">
      <c r="A56" s="124" t="n">
        <v>55</v>
      </c>
      <c r="B56" s="125" t="n">
        <f aca="false">(1+Assumptions!$B$26)^INT((A56-1)/12)</f>
        <v>1.08243216</v>
      </c>
    </row>
    <row r="57" customFormat="false" ht="15" hidden="false" customHeight="true" outlineLevel="0" collapsed="false">
      <c r="A57" s="124" t="n">
        <v>56</v>
      </c>
      <c r="B57" s="125" t="n">
        <f aca="false">(1+Assumptions!$B$26)^INT((A57-1)/12)</f>
        <v>1.08243216</v>
      </c>
    </row>
    <row r="58" customFormat="false" ht="15" hidden="false" customHeight="true" outlineLevel="0" collapsed="false">
      <c r="A58" s="124" t="n">
        <v>57</v>
      </c>
      <c r="B58" s="125" t="n">
        <f aca="false">(1+Assumptions!$B$26)^INT((A58-1)/12)</f>
        <v>1.08243216</v>
      </c>
    </row>
    <row r="59" customFormat="false" ht="15" hidden="false" customHeight="true" outlineLevel="0" collapsed="false">
      <c r="A59" s="124" t="n">
        <v>58</v>
      </c>
      <c r="B59" s="125" t="n">
        <f aca="false">(1+Assumptions!$B$26)^INT((A59-1)/12)</f>
        <v>1.08243216</v>
      </c>
    </row>
    <row r="60" customFormat="false" ht="15" hidden="false" customHeight="true" outlineLevel="0" collapsed="false">
      <c r="A60" s="124" t="n">
        <v>59</v>
      </c>
      <c r="B60" s="125" t="n">
        <f aca="false">(1+Assumptions!$B$26)^INT((A60-1)/12)</f>
        <v>1.08243216</v>
      </c>
    </row>
    <row r="61" customFormat="false" ht="15" hidden="false" customHeight="true" outlineLevel="0" collapsed="false">
      <c r="A61" s="124" t="n">
        <v>60</v>
      </c>
      <c r="B61" s="125" t="n">
        <f aca="false">(1+Assumptions!$B$26)^INT((A61-1)/12)</f>
        <v>1.08243216</v>
      </c>
    </row>
    <row r="62" customFormat="false" ht="15" hidden="false" customHeight="true" outlineLevel="0" collapsed="false">
      <c r="A62" s="124" t="n">
        <v>61</v>
      </c>
      <c r="B62" s="125" t="n">
        <f aca="false">(1+Assumptions!$B$26)^INT((A62-1)/12)</f>
        <v>1.1040808032</v>
      </c>
    </row>
    <row r="63" customFormat="false" ht="15" hidden="false" customHeight="true" outlineLevel="0" collapsed="false">
      <c r="A63" s="124" t="n">
        <v>62</v>
      </c>
      <c r="B63" s="125" t="n">
        <f aca="false">(1+Assumptions!$B$26)^INT((A63-1)/12)</f>
        <v>1.1040808032</v>
      </c>
    </row>
    <row r="64" customFormat="false" ht="15" hidden="false" customHeight="true" outlineLevel="0" collapsed="false">
      <c r="A64" s="124" t="n">
        <v>63</v>
      </c>
      <c r="B64" s="125" t="n">
        <f aca="false">(1+Assumptions!$B$26)^INT((A64-1)/12)</f>
        <v>1.1040808032</v>
      </c>
    </row>
    <row r="65" customFormat="false" ht="15" hidden="false" customHeight="true" outlineLevel="0" collapsed="false">
      <c r="A65" s="124" t="n">
        <v>64</v>
      </c>
      <c r="B65" s="125" t="n">
        <f aca="false">(1+Assumptions!$B$26)^INT((A65-1)/12)</f>
        <v>1.1040808032</v>
      </c>
    </row>
    <row r="66" customFormat="false" ht="15" hidden="false" customHeight="true" outlineLevel="0" collapsed="false">
      <c r="A66" s="124" t="n">
        <v>65</v>
      </c>
      <c r="B66" s="125" t="n">
        <f aca="false">(1+Assumptions!$B$26)^INT((A66-1)/12)</f>
        <v>1.1040808032</v>
      </c>
    </row>
    <row r="67" customFormat="false" ht="15" hidden="false" customHeight="true" outlineLevel="0" collapsed="false">
      <c r="A67" s="124" t="n">
        <v>66</v>
      </c>
      <c r="B67" s="125" t="n">
        <f aca="false">(1+Assumptions!$B$26)^INT((A67-1)/12)</f>
        <v>1.1040808032</v>
      </c>
    </row>
    <row r="68" customFormat="false" ht="15" hidden="false" customHeight="true" outlineLevel="0" collapsed="false">
      <c r="A68" s="124" t="n">
        <v>67</v>
      </c>
      <c r="B68" s="125" t="n">
        <f aca="false">(1+Assumptions!$B$26)^INT((A68-1)/12)</f>
        <v>1.1040808032</v>
      </c>
    </row>
    <row r="69" customFormat="false" ht="15" hidden="false" customHeight="true" outlineLevel="0" collapsed="false">
      <c r="A69" s="124" t="n">
        <v>68</v>
      </c>
      <c r="B69" s="125" t="n">
        <f aca="false">(1+Assumptions!$B$26)^INT((A69-1)/12)</f>
        <v>1.1040808032</v>
      </c>
    </row>
    <row r="70" customFormat="false" ht="15" hidden="false" customHeight="true" outlineLevel="0" collapsed="false">
      <c r="A70" s="124" t="n">
        <v>69</v>
      </c>
      <c r="B70" s="125" t="n">
        <f aca="false">(1+Assumptions!$B$26)^INT((A70-1)/12)</f>
        <v>1.1040808032</v>
      </c>
    </row>
    <row r="71" customFormat="false" ht="15" hidden="false" customHeight="true" outlineLevel="0" collapsed="false">
      <c r="A71" s="124" t="n">
        <v>70</v>
      </c>
      <c r="B71" s="125" t="n">
        <f aca="false">(1+Assumptions!$B$26)^INT((A71-1)/12)</f>
        <v>1.1040808032</v>
      </c>
    </row>
    <row r="72" customFormat="false" ht="15" hidden="false" customHeight="true" outlineLevel="0" collapsed="false">
      <c r="A72" s="124" t="n">
        <v>71</v>
      </c>
      <c r="B72" s="125" t="n">
        <f aca="false">(1+Assumptions!$B$26)^INT((A72-1)/12)</f>
        <v>1.1040808032</v>
      </c>
    </row>
    <row r="73" customFormat="false" ht="15" hidden="false" customHeight="true" outlineLevel="0" collapsed="false">
      <c r="A73" s="124" t="n">
        <v>72</v>
      </c>
      <c r="B73" s="125" t="n">
        <f aca="false">(1+Assumptions!$B$26)^INT((A73-1)/12)</f>
        <v>1.1040808032</v>
      </c>
    </row>
    <row r="74" customFormat="false" ht="15" hidden="false" customHeight="true" outlineLevel="0" collapsed="false">
      <c r="A74" s="124" t="n">
        <v>73</v>
      </c>
      <c r="B74" s="125" t="n">
        <f aca="false">(1+Assumptions!$B$26)^INT((A74-1)/12)</f>
        <v>1.126162419264</v>
      </c>
    </row>
    <row r="75" customFormat="false" ht="15" hidden="false" customHeight="true" outlineLevel="0" collapsed="false">
      <c r="A75" s="124" t="n">
        <v>74</v>
      </c>
      <c r="B75" s="125" t="n">
        <f aca="false">(1+Assumptions!$B$26)^INT((A75-1)/12)</f>
        <v>1.126162419264</v>
      </c>
    </row>
    <row r="76" customFormat="false" ht="15" hidden="false" customHeight="true" outlineLevel="0" collapsed="false">
      <c r="A76" s="124" t="n">
        <v>75</v>
      </c>
      <c r="B76" s="125" t="n">
        <f aca="false">(1+Assumptions!$B$26)^INT((A76-1)/12)</f>
        <v>1.126162419264</v>
      </c>
    </row>
    <row r="77" customFormat="false" ht="15" hidden="false" customHeight="true" outlineLevel="0" collapsed="false">
      <c r="A77" s="124" t="n">
        <v>76</v>
      </c>
      <c r="B77" s="125" t="n">
        <f aca="false">(1+Assumptions!$B$26)^INT((A77-1)/12)</f>
        <v>1.126162419264</v>
      </c>
    </row>
    <row r="78" customFormat="false" ht="15" hidden="false" customHeight="true" outlineLevel="0" collapsed="false">
      <c r="A78" s="124" t="n">
        <v>77</v>
      </c>
      <c r="B78" s="125" t="n">
        <f aca="false">(1+Assumptions!$B$26)^INT((A78-1)/12)</f>
        <v>1.126162419264</v>
      </c>
    </row>
    <row r="79" customFormat="false" ht="15" hidden="false" customHeight="true" outlineLevel="0" collapsed="false">
      <c r="A79" s="124" t="n">
        <v>78</v>
      </c>
      <c r="B79" s="125" t="n">
        <f aca="false">(1+Assumptions!$B$26)^INT((A79-1)/12)</f>
        <v>1.126162419264</v>
      </c>
    </row>
    <row r="80" customFormat="false" ht="15" hidden="false" customHeight="true" outlineLevel="0" collapsed="false">
      <c r="A80" s="124" t="n">
        <v>79</v>
      </c>
      <c r="B80" s="125" t="n">
        <f aca="false">(1+Assumptions!$B$26)^INT((A80-1)/12)</f>
        <v>1.126162419264</v>
      </c>
    </row>
    <row r="81" customFormat="false" ht="15" hidden="false" customHeight="true" outlineLevel="0" collapsed="false">
      <c r="A81" s="124" t="n">
        <v>80</v>
      </c>
      <c r="B81" s="125" t="n">
        <f aca="false">(1+Assumptions!$B$26)^INT((A81-1)/12)</f>
        <v>1.126162419264</v>
      </c>
    </row>
    <row r="82" customFormat="false" ht="15" hidden="false" customHeight="true" outlineLevel="0" collapsed="false">
      <c r="A82" s="124" t="n">
        <v>81</v>
      </c>
      <c r="B82" s="125" t="n">
        <f aca="false">(1+Assumptions!$B$26)^INT((A82-1)/12)</f>
        <v>1.126162419264</v>
      </c>
    </row>
    <row r="83" customFormat="false" ht="15" hidden="false" customHeight="true" outlineLevel="0" collapsed="false">
      <c r="A83" s="124" t="n">
        <v>82</v>
      </c>
      <c r="B83" s="125" t="n">
        <f aca="false">(1+Assumptions!$B$26)^INT((A83-1)/12)</f>
        <v>1.126162419264</v>
      </c>
    </row>
    <row r="84" customFormat="false" ht="15" hidden="false" customHeight="true" outlineLevel="0" collapsed="false">
      <c r="A84" s="124" t="n">
        <v>83</v>
      </c>
      <c r="B84" s="125" t="n">
        <f aca="false">(1+Assumptions!$B$26)^INT((A84-1)/12)</f>
        <v>1.126162419264</v>
      </c>
    </row>
    <row r="85" customFormat="false" ht="15" hidden="false" customHeight="true" outlineLevel="0" collapsed="false">
      <c r="A85" s="124" t="n">
        <v>84</v>
      </c>
      <c r="B85" s="125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534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4" t="n">
        <v>1</v>
      </c>
      <c r="D3" s="124" t="n">
        <v>2</v>
      </c>
      <c r="E3" s="124" t="n">
        <v>3</v>
      </c>
      <c r="F3" s="124" t="n">
        <v>4</v>
      </c>
      <c r="G3" s="124" t="n">
        <v>5</v>
      </c>
      <c r="H3" s="124" t="n">
        <v>6</v>
      </c>
      <c r="I3" s="124" t="n">
        <v>7</v>
      </c>
      <c r="J3" s="124" t="n">
        <v>8</v>
      </c>
      <c r="K3" s="124" t="n">
        <v>9</v>
      </c>
      <c r="L3" s="124" t="n">
        <v>10</v>
      </c>
      <c r="M3" s="124" t="n">
        <v>11</v>
      </c>
      <c r="N3" s="124" t="n">
        <v>12</v>
      </c>
      <c r="O3" s="124" t="n">
        <v>13</v>
      </c>
      <c r="P3" s="124" t="n">
        <v>14</v>
      </c>
      <c r="Q3" s="124" t="n">
        <v>15</v>
      </c>
      <c r="R3" s="124" t="n">
        <v>16</v>
      </c>
      <c r="S3" s="124" t="n">
        <v>17</v>
      </c>
      <c r="T3" s="124" t="n">
        <v>18</v>
      </c>
      <c r="U3" s="124" t="n">
        <v>19</v>
      </c>
      <c r="V3" s="124" t="n">
        <v>20</v>
      </c>
      <c r="W3" s="124" t="n">
        <v>21</v>
      </c>
      <c r="X3" s="124" t="n">
        <v>22</v>
      </c>
      <c r="Y3" s="124" t="n">
        <v>23</v>
      </c>
      <c r="Z3" s="124" t="n">
        <v>24</v>
      </c>
      <c r="AA3" s="124" t="n">
        <v>25</v>
      </c>
      <c r="AB3" s="124" t="n">
        <v>26</v>
      </c>
      <c r="AC3" s="124" t="n">
        <v>27</v>
      </c>
      <c r="AD3" s="124" t="n">
        <v>28</v>
      </c>
      <c r="AE3" s="124" t="n">
        <v>29</v>
      </c>
      <c r="AF3" s="124" t="n">
        <v>30</v>
      </c>
      <c r="AG3" s="124" t="n">
        <v>31</v>
      </c>
      <c r="AH3" s="124" t="n">
        <v>32</v>
      </c>
      <c r="AI3" s="124" t="n">
        <v>33</v>
      </c>
      <c r="AJ3" s="124" t="n">
        <v>34</v>
      </c>
      <c r="AK3" s="124" t="n">
        <v>35</v>
      </c>
      <c r="AL3" s="124" t="n">
        <v>36</v>
      </c>
      <c r="AM3" s="124" t="n">
        <v>37</v>
      </c>
      <c r="AN3" s="124" t="n">
        <v>38</v>
      </c>
      <c r="AO3" s="124" t="n">
        <v>39</v>
      </c>
      <c r="AP3" s="124" t="n">
        <v>40</v>
      </c>
      <c r="AQ3" s="124" t="n">
        <v>41</v>
      </c>
      <c r="AR3" s="124" t="n">
        <v>42</v>
      </c>
      <c r="AS3" s="124" t="n">
        <v>43</v>
      </c>
      <c r="AT3" s="124" t="n">
        <v>44</v>
      </c>
      <c r="AU3" s="124" t="n">
        <v>45</v>
      </c>
      <c r="AV3" s="124" t="n">
        <v>46</v>
      </c>
      <c r="AW3" s="124" t="n">
        <v>47</v>
      </c>
      <c r="AX3" s="124" t="n">
        <v>48</v>
      </c>
      <c r="AY3" s="124" t="n">
        <v>49</v>
      </c>
      <c r="AZ3" s="124" t="n">
        <v>50</v>
      </c>
      <c r="BA3" s="124" t="n">
        <v>51</v>
      </c>
      <c r="BB3" s="124" t="n">
        <v>52</v>
      </c>
      <c r="BC3" s="124" t="n">
        <v>53</v>
      </c>
      <c r="BD3" s="124" t="n">
        <v>54</v>
      </c>
      <c r="BE3" s="124" t="n">
        <v>55</v>
      </c>
      <c r="BF3" s="124" t="n">
        <v>56</v>
      </c>
      <c r="BG3" s="124" t="n">
        <v>57</v>
      </c>
      <c r="BH3" s="124" t="n">
        <v>58</v>
      </c>
      <c r="BI3" s="124" t="n">
        <v>59</v>
      </c>
      <c r="BJ3" s="124" t="n">
        <v>60</v>
      </c>
      <c r="BK3" s="124" t="n">
        <v>61</v>
      </c>
      <c r="BL3" s="124" t="n">
        <v>62</v>
      </c>
      <c r="BM3" s="124" t="n">
        <v>63</v>
      </c>
      <c r="BN3" s="124" t="n">
        <v>64</v>
      </c>
      <c r="BO3" s="124" t="n">
        <v>65</v>
      </c>
      <c r="BP3" s="124" t="n">
        <v>66</v>
      </c>
      <c r="BQ3" s="124" t="n">
        <v>67</v>
      </c>
      <c r="BR3" s="124" t="n">
        <v>68</v>
      </c>
      <c r="BS3" s="124" t="n">
        <v>69</v>
      </c>
      <c r="BT3" s="124" t="n">
        <v>70</v>
      </c>
      <c r="BU3" s="124" t="n">
        <v>71</v>
      </c>
      <c r="BV3" s="124" t="n">
        <v>72</v>
      </c>
      <c r="BW3" s="124" t="n">
        <v>73</v>
      </c>
      <c r="BX3" s="124" t="n">
        <v>74</v>
      </c>
      <c r="BY3" s="124" t="n">
        <v>75</v>
      </c>
      <c r="BZ3" s="124" t="n">
        <v>76</v>
      </c>
      <c r="CA3" s="124" t="n">
        <v>77</v>
      </c>
      <c r="CB3" s="124" t="n">
        <v>78</v>
      </c>
      <c r="CC3" s="124" t="n">
        <v>79</v>
      </c>
      <c r="CD3" s="124" t="n">
        <v>80</v>
      </c>
      <c r="CE3" s="124" t="n">
        <v>81</v>
      </c>
      <c r="CF3" s="124" t="n">
        <v>82</v>
      </c>
      <c r="CG3" s="124" t="n">
        <v>83</v>
      </c>
      <c r="CH3" s="124" t="n">
        <v>84</v>
      </c>
    </row>
    <row r="4" customFormat="false" ht="15" hidden="false" customHeight="true" outlineLevel="0" collapsed="false">
      <c r="A4" s="101" t="s">
        <v>535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261407.666666667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261407.666666667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261407.666666667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261407.666666667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261407.666666667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261407.666666667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261407.666666667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261407.666666667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261407.666666667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294387.490307491</v>
      </c>
    </row>
    <row r="5" customFormat="false" ht="15" hidden="false" customHeight="true" outlineLevel="0" collapsed="false">
      <c r="A5" s="101" t="s">
        <v>536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537</v>
      </c>
    </row>
    <row r="8" customFormat="false" ht="15" hidden="false" customHeight="true" outlineLevel="0" collapsed="false">
      <c r="A8" s="101" t="s">
        <v>157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158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159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160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6" t="s">
        <v>161</v>
      </c>
      <c r="C16" s="127" t="n">
        <f aca="false">SUM(C8:C15)</f>
        <v>23599007.06059</v>
      </c>
      <c r="D16" s="127" t="n">
        <f aca="false">SUM(D8:D15)</f>
        <v>21846708.4387409</v>
      </c>
      <c r="E16" s="127" t="n">
        <f aca="false">SUM(E8:E15)</f>
        <v>19934994.8604503</v>
      </c>
      <c r="F16" s="127" t="n">
        <f aca="false">SUM(F8:F15)</f>
        <v>59988330.5577988</v>
      </c>
      <c r="G16" s="127" t="n">
        <f aca="false">SUM(G8:G15)</f>
        <v>56830895.3462433</v>
      </c>
      <c r="H16" s="127" t="n">
        <f aca="false">SUM(H8:H15)</f>
        <v>53470466.1002521</v>
      </c>
      <c r="I16" s="127" t="n">
        <f aca="false">SUM(I8:I15)</f>
        <v>78806360.8366376</v>
      </c>
      <c r="J16" s="127" t="n">
        <f aca="false">SUM(J8:J15)</f>
        <v>95138155.8113951</v>
      </c>
      <c r="K16" s="127" t="n">
        <f aca="false">SUM(K8:K15)</f>
        <v>89880219.2871105</v>
      </c>
      <c r="L16" s="127" t="n">
        <f aca="false">SUM(L8:L15)</f>
        <v>84327348.5196844</v>
      </c>
      <c r="M16" s="127" t="n">
        <f aca="false">SUM(M8:M15)</f>
        <v>78517826.7676414</v>
      </c>
      <c r="N16" s="127" t="n">
        <f aca="false">SUM(N8:N15)</f>
        <v>72497927.0285711</v>
      </c>
      <c r="O16" s="127" t="n">
        <f aca="false">SUM(O8:O15)</f>
        <v>110860792.787625</v>
      </c>
      <c r="P16" s="127" t="n">
        <f aca="false">SUM(P8:P15)</f>
        <v>103756479.760667</v>
      </c>
      <c r="Q16" s="127" t="n">
        <f aca="false">SUM(Q8:Q15)</f>
        <v>96517203.055075</v>
      </c>
      <c r="R16" s="127" t="n">
        <f aca="false">SUM(R8:R15)</f>
        <v>89832380.402737</v>
      </c>
      <c r="S16" s="127" t="n">
        <f aca="false">SUM(S8:S15)</f>
        <v>83021753.709656</v>
      </c>
      <c r="T16" s="127" t="n">
        <f aca="false">SUM(T8:T15)</f>
        <v>76187589.600929</v>
      </c>
      <c r="U16" s="127" t="n">
        <f aca="false">SUM(U8:U15)</f>
        <v>69427945.700482</v>
      </c>
      <c r="V16" s="127" t="n">
        <f aca="false">SUM(V8:V15)</f>
        <v>62831519.462922</v>
      </c>
      <c r="W16" s="127" t="n">
        <f aca="false">SUM(W8:W15)</f>
        <v>56473335.557832</v>
      </c>
      <c r="X16" s="127" t="n">
        <f aca="false">SUM(X8:X15)</f>
        <v>50412135.689664</v>
      </c>
      <c r="Y16" s="127" t="n">
        <f aca="false">SUM(Y8:Y15)</f>
        <v>44689514.450515</v>
      </c>
      <c r="Z16" s="127" t="n">
        <f aca="false">SUM(Z8:Z15)</f>
        <v>39330314.060104</v>
      </c>
      <c r="AA16" s="127" t="n">
        <f aca="false">SUM(AA8:AA15)</f>
        <v>34344660.92992</v>
      </c>
      <c r="AB16" s="127" t="n">
        <f aca="false">SUM(AB8:AB15)</f>
        <v>30015781.27808</v>
      </c>
      <c r="AC16" s="127" t="n">
        <f aca="false">SUM(AC8:AC15)</f>
        <v>67115910.942616</v>
      </c>
      <c r="AD16" s="127" t="n">
        <f aca="false">SUM(AD8:AD15)</f>
        <v>63678669.505813</v>
      </c>
      <c r="AE16" s="127" t="n">
        <f aca="false">SUM(AE8:AE15)</f>
        <v>60195756.503803</v>
      </c>
      <c r="AF16" s="127" t="n">
        <f aca="false">SUM(AF8:AF15)</f>
        <v>56684810.890851</v>
      </c>
      <c r="AG16" s="127" t="n">
        <f aca="false">SUM(AG8:AG15)</f>
        <v>53163021.419372</v>
      </c>
      <c r="AH16" s="127" t="n">
        <f aca="false">SUM(AH8:AH15)</f>
        <v>49646883.209601</v>
      </c>
      <c r="AI16" s="127" t="n">
        <f aca="false">SUM(AI8:AI15)</f>
        <v>46152166.879778</v>
      </c>
      <c r="AJ16" s="127" t="n">
        <f aca="false">SUM(AJ8:AJ15)</f>
        <v>42693842.409563</v>
      </c>
      <c r="AK16" s="127" t="n">
        <f aca="false">SUM(AK8:AK15)</f>
        <v>39286070.295121</v>
      </c>
      <c r="AL16" s="127" t="n">
        <f aca="false">SUM(AL8:AL15)</f>
        <v>35942217.821294</v>
      </c>
      <c r="AM16" s="127" t="n">
        <f aca="false">SUM(AM8:AM15)</f>
        <v>32894612.367548</v>
      </c>
      <c r="AN16" s="127" t="n">
        <f aca="false">SUM(AN8:AN15)</f>
        <v>29903009.833158</v>
      </c>
      <c r="AO16" s="127" t="n">
        <f aca="false">SUM(AO8:AO15)</f>
        <v>26981928.712532</v>
      </c>
      <c r="AP16" s="127" t="n">
        <f aca="false">SUM(AP8:AP15)</f>
        <v>24145214.967326</v>
      </c>
      <c r="AQ16" s="127" t="n">
        <f aca="false">SUM(AQ8:AQ15)</f>
        <v>21405892.487426</v>
      </c>
      <c r="AR16" s="127" t="n">
        <f aca="false">SUM(AR8:AR15)</f>
        <v>18775979.790616</v>
      </c>
      <c r="AS16" s="127" t="n">
        <f aca="false">SUM(AS8:AS15)</f>
        <v>16893987.49148</v>
      </c>
      <c r="AT16" s="127" t="n">
        <f aca="false">SUM(AT8:AT15)</f>
        <v>15049033.294064</v>
      </c>
      <c r="AU16" s="127" t="n">
        <f aca="false">SUM(AU8:AU15)</f>
        <v>13258584.501624</v>
      </c>
      <c r="AV16" s="127" t="n">
        <f aca="false">SUM(AV8:AV15)</f>
        <v>11538273.165056</v>
      </c>
      <c r="AW16" s="127" t="n">
        <f aca="false">SUM(AW8:AW15)</f>
        <v>9901787.667552</v>
      </c>
      <c r="AX16" s="127" t="n">
        <f aca="false">SUM(AX8:AX15)</f>
        <v>8360541.887544</v>
      </c>
      <c r="AY16" s="127" t="n">
        <f aca="false">SUM(AY8:AY15)</f>
        <v>6923385.71628</v>
      </c>
      <c r="AZ16" s="127" t="n">
        <f aca="false">SUM(AZ8:AZ15)</f>
        <v>5596646.412456</v>
      </c>
      <c r="BA16" s="127" t="n">
        <f aca="false">SUM(BA8:BA15)</f>
        <v>4384004.53832</v>
      </c>
      <c r="BB16" s="127" t="n">
        <f aca="false">SUM(BB8:BB15)</f>
        <v>3286659.3782</v>
      </c>
      <c r="BC16" s="127" t="n">
        <f aca="false">SUM(BC8:BC15)</f>
        <v>2303535.711664</v>
      </c>
      <c r="BD16" s="127" t="n">
        <f aca="false">SUM(BD8:BD15)</f>
        <v>1431490.58668</v>
      </c>
      <c r="BE16" s="127" t="n">
        <f aca="false">SUM(BE8:BE15)</f>
        <v>665685.511304001</v>
      </c>
      <c r="BF16" s="127" t="n">
        <f aca="false">SUM(BF8:BF15)</f>
        <v>-165.418527995574</v>
      </c>
      <c r="BG16" s="127" t="n">
        <f aca="false">SUM(BG8:BG15)</f>
        <v>0</v>
      </c>
      <c r="BH16" s="127" t="n">
        <f aca="false">SUM(BH8:BH15)</f>
        <v>0</v>
      </c>
      <c r="BI16" s="127" t="n">
        <f aca="false">SUM(BI8:BI15)</f>
        <v>0</v>
      </c>
      <c r="BJ16" s="127" t="n">
        <f aca="false">SUM(BJ8:BJ15)</f>
        <v>0</v>
      </c>
      <c r="BK16" s="127" t="n">
        <f aca="false">SUM(BK8:BK15)</f>
        <v>0</v>
      </c>
      <c r="BL16" s="127" t="n">
        <f aca="false">SUM(BL8:BL15)</f>
        <v>0</v>
      </c>
      <c r="BM16" s="127" t="n">
        <f aca="false">SUM(BM8:BM15)</f>
        <v>0</v>
      </c>
      <c r="BN16" s="127" t="n">
        <f aca="false">SUM(BN8:BN15)</f>
        <v>0</v>
      </c>
      <c r="BO16" s="127" t="n">
        <f aca="false">SUM(BO8:BO15)</f>
        <v>0</v>
      </c>
      <c r="BP16" s="127" t="n">
        <f aca="false">SUM(BP8:BP15)</f>
        <v>0</v>
      </c>
      <c r="BQ16" s="127" t="n">
        <f aca="false">SUM(BQ8:BQ15)</f>
        <v>0</v>
      </c>
      <c r="BR16" s="127" t="n">
        <f aca="false">SUM(BR8:BR15)</f>
        <v>0</v>
      </c>
      <c r="BS16" s="127" t="n">
        <f aca="false">SUM(BS8:BS15)</f>
        <v>0</v>
      </c>
      <c r="BT16" s="127" t="n">
        <f aca="false">SUM(BT8:BT15)</f>
        <v>0</v>
      </c>
      <c r="BU16" s="127" t="n">
        <f aca="false">SUM(BU8:BU15)</f>
        <v>0</v>
      </c>
      <c r="BV16" s="127" t="n">
        <f aca="false">SUM(BV8:BV15)</f>
        <v>0</v>
      </c>
      <c r="BW16" s="127" t="n">
        <f aca="false">SUM(BW8:BW15)</f>
        <v>0</v>
      </c>
      <c r="BX16" s="127" t="n">
        <f aca="false">SUM(BX8:BX15)</f>
        <v>0</v>
      </c>
      <c r="BY16" s="127" t="n">
        <f aca="false">SUM(BY8:BY15)</f>
        <v>0</v>
      </c>
      <c r="BZ16" s="127" t="n">
        <f aca="false">SUM(BZ8:BZ15)</f>
        <v>0</v>
      </c>
      <c r="CA16" s="127" t="n">
        <f aca="false">SUM(CA8:CA15)</f>
        <v>0</v>
      </c>
      <c r="CB16" s="127" t="n">
        <f aca="false">SUM(CB8:CB15)</f>
        <v>0</v>
      </c>
      <c r="CC16" s="127" t="n">
        <f aca="false">SUM(CC8:CC15)</f>
        <v>0</v>
      </c>
      <c r="CD16" s="127" t="n">
        <f aca="false">SUM(CD8:CD15)</f>
        <v>0</v>
      </c>
      <c r="CE16" s="127" t="n">
        <f aca="false">SUM(CE8:CE15)</f>
        <v>0</v>
      </c>
      <c r="CF16" s="127" t="n">
        <f aca="false">SUM(CF8:CF15)</f>
        <v>0</v>
      </c>
      <c r="CG16" s="127" t="n">
        <f aca="false">SUM(CG8:CG15)</f>
        <v>0</v>
      </c>
      <c r="CH16" s="127" t="n">
        <f aca="false">SUM(CH8:CH15)</f>
        <v>0</v>
      </c>
    </row>
    <row r="18" customFormat="false" ht="15" hidden="false" customHeight="true" outlineLevel="0" collapsed="false">
      <c r="A18" s="8" t="s">
        <v>538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539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8" t="s">
        <v>540</v>
      </c>
      <c r="C20" s="129" t="n">
        <f aca="false">MIN(C19,Model!C60)</f>
        <v>0</v>
      </c>
      <c r="D20" s="129" t="n">
        <f aca="false">MIN(D19,Model!D60)</f>
        <v>0</v>
      </c>
      <c r="E20" s="129" t="n">
        <f aca="false">MIN(E19,Model!E60)</f>
        <v>0</v>
      </c>
      <c r="F20" s="129" t="n">
        <f aca="false">MIN(F19,Model!F60)</f>
        <v>0</v>
      </c>
      <c r="G20" s="129" t="n">
        <f aca="false">MIN(G19,Model!G60)</f>
        <v>0</v>
      </c>
      <c r="H20" s="129" t="n">
        <f aca="false">MIN(H19,Model!H60)</f>
        <v>0</v>
      </c>
      <c r="I20" s="129" t="n">
        <f aca="false">MIN(I19,Model!I60)</f>
        <v>0</v>
      </c>
      <c r="J20" s="129" t="n">
        <f aca="false">MIN(J19,Model!J60)</f>
        <v>0</v>
      </c>
      <c r="K20" s="129" t="n">
        <f aca="false">MIN(K19,Model!K60)</f>
        <v>0</v>
      </c>
      <c r="L20" s="129" t="n">
        <f aca="false">MIN(L19,Model!L60)</f>
        <v>0</v>
      </c>
      <c r="M20" s="129" t="n">
        <f aca="false">MIN(M19,Model!M60)</f>
        <v>0</v>
      </c>
      <c r="N20" s="129" t="n">
        <f aca="false">MIN(N19,Model!N60)</f>
        <v>0</v>
      </c>
      <c r="O20" s="129" t="n">
        <f aca="false">MIN(O19,Model!O60)</f>
        <v>0</v>
      </c>
      <c r="P20" s="129" t="n">
        <f aca="false">MIN(P19,Model!P60)</f>
        <v>0</v>
      </c>
      <c r="Q20" s="129" t="n">
        <f aca="false">MIN(Q19,Model!Q60)</f>
        <v>0</v>
      </c>
      <c r="R20" s="129" t="n">
        <f aca="false">MIN(R19,Model!R60)</f>
        <v>0</v>
      </c>
      <c r="S20" s="129" t="n">
        <f aca="false">MIN(S19,Model!S60)</f>
        <v>0</v>
      </c>
      <c r="T20" s="129" t="n">
        <f aca="false">MIN(T19,Model!T60)</f>
        <v>0</v>
      </c>
      <c r="U20" s="129" t="n">
        <f aca="false">MIN(U19,Model!U60)</f>
        <v>0</v>
      </c>
      <c r="V20" s="129" t="n">
        <f aca="false">MIN(V19,Model!V60)</f>
        <v>0</v>
      </c>
      <c r="W20" s="129" t="n">
        <f aca="false">MIN(W19,Model!W60)</f>
        <v>0</v>
      </c>
      <c r="X20" s="129" t="n">
        <f aca="false">MIN(X19,Model!X60)</f>
        <v>0</v>
      </c>
      <c r="Y20" s="129" t="n">
        <f aca="false">MIN(Y19,Model!Y60)</f>
        <v>0</v>
      </c>
      <c r="Z20" s="129" t="n">
        <f aca="false">MIN(Z19,Model!Z60)</f>
        <v>0</v>
      </c>
      <c r="AA20" s="129" t="n">
        <f aca="false">MIN(AA19,Model!AA60)</f>
        <v>0</v>
      </c>
      <c r="AB20" s="129" t="n">
        <f aca="false">MIN(AB19,Model!AB60)</f>
        <v>0</v>
      </c>
      <c r="AC20" s="129" t="n">
        <f aca="false">MIN(AC19,Model!AC60)</f>
        <v>0</v>
      </c>
      <c r="AD20" s="129" t="n">
        <f aca="false">MIN(AD19,Model!AD60)</f>
        <v>0</v>
      </c>
      <c r="AE20" s="129" t="n">
        <f aca="false">MIN(AE19,Model!AE60)</f>
        <v>0</v>
      </c>
      <c r="AF20" s="129" t="n">
        <f aca="false">MIN(AF19,Model!AF60)</f>
        <v>0</v>
      </c>
      <c r="AG20" s="129" t="n">
        <f aca="false">MIN(AG19,Model!AG60)</f>
        <v>0</v>
      </c>
      <c r="AH20" s="129" t="n">
        <f aca="false">MIN(AH19,Model!AH60)</f>
        <v>0</v>
      </c>
      <c r="AI20" s="129" t="n">
        <f aca="false">MIN(AI19,Model!AI60)</f>
        <v>0</v>
      </c>
      <c r="AJ20" s="129" t="n">
        <f aca="false">MIN(AJ19,Model!AJ60)</f>
        <v>0</v>
      </c>
      <c r="AK20" s="129" t="n">
        <f aca="false">MIN(AK19,Model!AK60)</f>
        <v>0</v>
      </c>
      <c r="AL20" s="129" t="n">
        <f aca="false">MIN(AL19,Model!AL60)</f>
        <v>0</v>
      </c>
      <c r="AM20" s="129" t="n">
        <f aca="false">MIN(AM19,Model!AM60)</f>
        <v>0</v>
      </c>
      <c r="AN20" s="129" t="n">
        <f aca="false">MIN(AN19,Model!AN60)</f>
        <v>0</v>
      </c>
      <c r="AO20" s="129" t="n">
        <f aca="false">MIN(AO19,Model!AO60)</f>
        <v>0</v>
      </c>
      <c r="AP20" s="129" t="n">
        <f aca="false">MIN(AP19,Model!AP60)</f>
        <v>0</v>
      </c>
      <c r="AQ20" s="129" t="n">
        <f aca="false">MIN(AQ19,Model!AQ60)</f>
        <v>0</v>
      </c>
      <c r="AR20" s="129" t="n">
        <f aca="false">MIN(AR19,Model!AR60)</f>
        <v>81683</v>
      </c>
      <c r="AS20" s="129" t="n">
        <f aca="false">MIN(AS19,Model!AS60)</f>
        <v>0</v>
      </c>
      <c r="AT20" s="129" t="n">
        <f aca="false">MIN(AT19,Model!AT60)</f>
        <v>0</v>
      </c>
      <c r="AU20" s="129" t="n">
        <f aca="false">MIN(AU19,Model!AU60)</f>
        <v>81682</v>
      </c>
      <c r="AV20" s="129" t="n">
        <f aca="false">MIN(AV19,Model!AV60)</f>
        <v>0</v>
      </c>
      <c r="AW20" s="129" t="n">
        <f aca="false">MIN(AW19,Model!AW60)</f>
        <v>0</v>
      </c>
      <c r="AX20" s="129" t="n">
        <f aca="false">MIN(AX19,Model!AX60)</f>
        <v>81682</v>
      </c>
      <c r="AY20" s="129" t="n">
        <f aca="false">MIN(AY19,Model!AY60)</f>
        <v>0</v>
      </c>
      <c r="AZ20" s="129" t="n">
        <f aca="false">MIN(AZ19,Model!AZ60)</f>
        <v>0</v>
      </c>
      <c r="BA20" s="129" t="n">
        <f aca="false">MIN(BA19,Model!BA60)</f>
        <v>81682</v>
      </c>
      <c r="BB20" s="129" t="n">
        <f aca="false">MIN(BB19,Model!BB60)</f>
        <v>0</v>
      </c>
      <c r="BC20" s="129" t="n">
        <f aca="false">MIN(BC19,Model!BC60)</f>
        <v>0</v>
      </c>
      <c r="BD20" s="129" t="n">
        <f aca="false">MIN(BD19,Model!BD60)</f>
        <v>59178</v>
      </c>
      <c r="BE20" s="129" t="n">
        <f aca="false">MIN(BE19,Model!BE60)</f>
        <v>0</v>
      </c>
      <c r="BF20" s="129" t="n">
        <f aca="false">MIN(BF19,Model!BF60)</f>
        <v>0</v>
      </c>
      <c r="BG20" s="129" t="n">
        <f aca="false">MIN(BG19,Model!BG60)</f>
        <v>59176</v>
      </c>
      <c r="BH20" s="129" t="n">
        <f aca="false">MIN(BH19,Model!BH60)</f>
        <v>0</v>
      </c>
      <c r="BI20" s="129" t="n">
        <f aca="false">MIN(BI19,Model!BI60)</f>
        <v>0</v>
      </c>
      <c r="BJ20" s="129" t="n">
        <f aca="false">MIN(BJ19,Model!BJ60)</f>
        <v>59176</v>
      </c>
      <c r="BK20" s="129" t="n">
        <f aca="false">MIN(BK19,Model!BK60)</f>
        <v>0</v>
      </c>
      <c r="BL20" s="129" t="n">
        <f aca="false">MIN(BL19,Model!BL60)</f>
        <v>0</v>
      </c>
      <c r="BM20" s="129" t="n">
        <f aca="false">MIN(BM19,Model!BM60)</f>
        <v>59176</v>
      </c>
      <c r="BN20" s="129" t="n">
        <f aca="false">MIN(BN19,Model!BN60)</f>
        <v>0</v>
      </c>
      <c r="BO20" s="129" t="n">
        <f aca="false">MIN(BO19,Model!BO60)</f>
        <v>0</v>
      </c>
      <c r="BP20" s="129" t="n">
        <f aca="false">MIN(BP19,Model!BP60)</f>
        <v>16249.48</v>
      </c>
      <c r="BQ20" s="129" t="n">
        <f aca="false">MIN(BQ19,Model!BQ60)</f>
        <v>0</v>
      </c>
      <c r="BR20" s="129" t="n">
        <f aca="false">MIN(BR19,Model!BR60)</f>
        <v>0</v>
      </c>
      <c r="BS20" s="129" t="n">
        <f aca="false">MIN(BS19,Model!BS60)</f>
        <v>0</v>
      </c>
      <c r="BT20" s="129" t="n">
        <f aca="false">MIN(BT19,Model!BT60)</f>
        <v>0</v>
      </c>
      <c r="BU20" s="129" t="n">
        <f aca="false">MIN(BU19,Model!BU60)</f>
        <v>0</v>
      </c>
      <c r="BV20" s="129" t="n">
        <f aca="false">MIN(BV19,Model!BV60)</f>
        <v>0</v>
      </c>
      <c r="BW20" s="129" t="n">
        <f aca="false">MIN(BW19,Model!BW60)</f>
        <v>0</v>
      </c>
      <c r="BX20" s="129" t="n">
        <f aca="false">MIN(BX19,Model!BX60)</f>
        <v>0</v>
      </c>
      <c r="BY20" s="129" t="n">
        <f aca="false">MIN(BY19,Model!BY60)</f>
        <v>0</v>
      </c>
      <c r="BZ20" s="129" t="n">
        <f aca="false">MIN(BZ19,Model!BZ60)</f>
        <v>0</v>
      </c>
      <c r="CA20" s="129" t="n">
        <f aca="false">MIN(CA19,Model!CA60)</f>
        <v>0</v>
      </c>
      <c r="CB20" s="129" t="n">
        <f aca="false">MIN(CB19,Model!CB60)</f>
        <v>0</v>
      </c>
      <c r="CC20" s="129" t="n">
        <f aca="false">MIN(CC19,Model!CC60)</f>
        <v>0</v>
      </c>
      <c r="CD20" s="129" t="n">
        <f aca="false">MIN(CD19,Model!CD60)</f>
        <v>0</v>
      </c>
      <c r="CE20" s="129" t="n">
        <f aca="false">MIN(CE19,Model!CE60)</f>
        <v>0</v>
      </c>
      <c r="CF20" s="129" t="n">
        <f aca="false">MIN(CF19,Model!CF60)</f>
        <v>0</v>
      </c>
      <c r="CG20" s="129" t="n">
        <f aca="false">MIN(CG19,Model!CG60)</f>
        <v>0</v>
      </c>
      <c r="CH20" s="129" t="n">
        <f aca="false">MIN(CH19,Model!CH60)</f>
        <v>0</v>
      </c>
    </row>
    <row r="21" customFormat="false" ht="15" hidden="false" customHeight="true" outlineLevel="0" collapsed="false">
      <c r="A21" s="126" t="s">
        <v>541</v>
      </c>
      <c r="C21" s="127" t="n">
        <f aca="false">MAX(0,C19-C20)</f>
        <v>579684.48</v>
      </c>
      <c r="D21" s="127" t="n">
        <f aca="false">MAX(0,D19-D20)</f>
        <v>579684.48</v>
      </c>
      <c r="E21" s="127" t="n">
        <f aca="false">MAX(0,E19-E20)</f>
        <v>579684.48</v>
      </c>
      <c r="F21" s="127" t="n">
        <f aca="false">MAX(0,F19-F20)</f>
        <v>579684.48</v>
      </c>
      <c r="G21" s="127" t="n">
        <f aca="false">MAX(0,G19-G20)</f>
        <v>579684.48</v>
      </c>
      <c r="H21" s="127" t="n">
        <f aca="false">MAX(0,H19-H20)</f>
        <v>579684.48</v>
      </c>
      <c r="I21" s="127" t="n">
        <f aca="false">MAX(0,I19-I20)</f>
        <v>579684.48</v>
      </c>
      <c r="J21" s="127" t="n">
        <f aca="false">MAX(0,J19-J20)</f>
        <v>579684.48</v>
      </c>
      <c r="K21" s="127" t="n">
        <f aca="false">MAX(0,K19-K20)</f>
        <v>579684.48</v>
      </c>
      <c r="L21" s="127" t="n">
        <f aca="false">MAX(0,L19-L20)</f>
        <v>579684.48</v>
      </c>
      <c r="M21" s="127" t="n">
        <f aca="false">MAX(0,M19-M20)</f>
        <v>579684.48</v>
      </c>
      <c r="N21" s="127" t="n">
        <f aca="false">MAX(0,N19-N20)</f>
        <v>579684.48</v>
      </c>
      <c r="O21" s="127" t="n">
        <f aca="false">MAX(0,O19-O20)</f>
        <v>579684.48</v>
      </c>
      <c r="P21" s="127" t="n">
        <f aca="false">MAX(0,P19-P20)</f>
        <v>579684.48</v>
      </c>
      <c r="Q21" s="127" t="n">
        <f aca="false">MAX(0,Q19-Q20)</f>
        <v>579684.48</v>
      </c>
      <c r="R21" s="127" t="n">
        <f aca="false">MAX(0,R19-R20)</f>
        <v>579684.48</v>
      </c>
      <c r="S21" s="127" t="n">
        <f aca="false">MAX(0,S19-S20)</f>
        <v>579684.48</v>
      </c>
      <c r="T21" s="127" t="n">
        <f aca="false">MAX(0,T19-T20)</f>
        <v>579684.48</v>
      </c>
      <c r="U21" s="127" t="n">
        <f aca="false">MAX(0,U19-U20)</f>
        <v>579684.48</v>
      </c>
      <c r="V21" s="127" t="n">
        <f aca="false">MAX(0,V19-V20)</f>
        <v>579684.48</v>
      </c>
      <c r="W21" s="127" t="n">
        <f aca="false">MAX(0,W19-W20)</f>
        <v>579684.48</v>
      </c>
      <c r="X21" s="127" t="n">
        <f aca="false">MAX(0,X19-X20)</f>
        <v>579684.48</v>
      </c>
      <c r="Y21" s="127" t="n">
        <f aca="false">MAX(0,Y19-Y20)</f>
        <v>579684.48</v>
      </c>
      <c r="Z21" s="127" t="n">
        <f aca="false">MAX(0,Z19-Z20)</f>
        <v>579684.48</v>
      </c>
      <c r="AA21" s="127" t="n">
        <f aca="false">MAX(0,AA19-AA20)</f>
        <v>579684.48</v>
      </c>
      <c r="AB21" s="127" t="n">
        <f aca="false">MAX(0,AB19-AB20)</f>
        <v>579684.48</v>
      </c>
      <c r="AC21" s="127" t="n">
        <f aca="false">MAX(0,AC19-AC20)</f>
        <v>579684.48</v>
      </c>
      <c r="AD21" s="127" t="n">
        <f aca="false">MAX(0,AD19-AD20)</f>
        <v>579684.48</v>
      </c>
      <c r="AE21" s="127" t="n">
        <f aca="false">MAX(0,AE19-AE20)</f>
        <v>579684.48</v>
      </c>
      <c r="AF21" s="127" t="n">
        <f aca="false">MAX(0,AF19-AF20)</f>
        <v>579684.48</v>
      </c>
      <c r="AG21" s="127" t="n">
        <f aca="false">MAX(0,AG19-AG20)</f>
        <v>579684.48</v>
      </c>
      <c r="AH21" s="127" t="n">
        <f aca="false">MAX(0,AH19-AH20)</f>
        <v>579684.48</v>
      </c>
      <c r="AI21" s="127" t="n">
        <f aca="false">MAX(0,AI19-AI20)</f>
        <v>579684.48</v>
      </c>
      <c r="AJ21" s="127" t="n">
        <f aca="false">MAX(0,AJ19-AJ20)</f>
        <v>579684.48</v>
      </c>
      <c r="AK21" s="127" t="n">
        <f aca="false">MAX(0,AK19-AK20)</f>
        <v>579684.48</v>
      </c>
      <c r="AL21" s="127" t="n">
        <f aca="false">MAX(0,AL19-AL20)</f>
        <v>579684.48</v>
      </c>
      <c r="AM21" s="127" t="n">
        <f aca="false">MAX(0,AM19-AM20)</f>
        <v>579684.48</v>
      </c>
      <c r="AN21" s="127" t="n">
        <f aca="false">MAX(0,AN19-AN20)</f>
        <v>579684.48</v>
      </c>
      <c r="AO21" s="127" t="n">
        <f aca="false">MAX(0,AO19-AO20)</f>
        <v>579684.48</v>
      </c>
      <c r="AP21" s="127" t="n">
        <f aca="false">MAX(0,AP19-AP20)</f>
        <v>579684.48</v>
      </c>
      <c r="AQ21" s="127" t="n">
        <f aca="false">MAX(0,AQ19-AQ20)</f>
        <v>579684.48</v>
      </c>
      <c r="AR21" s="127" t="n">
        <f aca="false">MAX(0,AR19-AR20)</f>
        <v>498001.48</v>
      </c>
      <c r="AS21" s="127" t="n">
        <f aca="false">MAX(0,AS19-AS20)</f>
        <v>498001.48</v>
      </c>
      <c r="AT21" s="127" t="n">
        <f aca="false">MAX(0,AT19-AT20)</f>
        <v>498001.48</v>
      </c>
      <c r="AU21" s="127" t="n">
        <f aca="false">MAX(0,AU19-AU20)</f>
        <v>416319.48</v>
      </c>
      <c r="AV21" s="127" t="n">
        <f aca="false">MAX(0,AV19-AV20)</f>
        <v>416319.48</v>
      </c>
      <c r="AW21" s="127" t="n">
        <f aca="false">MAX(0,AW19-AW20)</f>
        <v>416319.48</v>
      </c>
      <c r="AX21" s="127" t="n">
        <f aca="false">MAX(0,AX19-AX20)</f>
        <v>334637.48</v>
      </c>
      <c r="AY21" s="127" t="n">
        <f aca="false">MAX(0,AY19-AY20)</f>
        <v>334637.48</v>
      </c>
      <c r="AZ21" s="127" t="n">
        <f aca="false">MAX(0,AZ19-AZ20)</f>
        <v>334637.48</v>
      </c>
      <c r="BA21" s="127" t="n">
        <f aca="false">MAX(0,BA19-BA20)</f>
        <v>252955.48</v>
      </c>
      <c r="BB21" s="127" t="n">
        <f aca="false">MAX(0,BB19-BB20)</f>
        <v>252955.48</v>
      </c>
      <c r="BC21" s="127" t="n">
        <f aca="false">MAX(0,BC19-BC20)</f>
        <v>252955.48</v>
      </c>
      <c r="BD21" s="127" t="n">
        <f aca="false">MAX(0,BD19-BD20)</f>
        <v>193777.48</v>
      </c>
      <c r="BE21" s="127" t="n">
        <f aca="false">MAX(0,BE19-BE20)</f>
        <v>193777.48</v>
      </c>
      <c r="BF21" s="127" t="n">
        <f aca="false">MAX(0,BF19-BF20)</f>
        <v>193777.48</v>
      </c>
      <c r="BG21" s="127" t="n">
        <f aca="false">MAX(0,BG19-BG20)</f>
        <v>134601.48</v>
      </c>
      <c r="BH21" s="127" t="n">
        <f aca="false">MAX(0,BH19-BH20)</f>
        <v>134601.48</v>
      </c>
      <c r="BI21" s="127" t="n">
        <f aca="false">MAX(0,BI19-BI20)</f>
        <v>134601.48</v>
      </c>
      <c r="BJ21" s="127" t="n">
        <f aca="false">MAX(0,BJ19-BJ20)</f>
        <v>75425.48</v>
      </c>
      <c r="BK21" s="127" t="n">
        <f aca="false">MAX(0,BK19-BK20)</f>
        <v>75425.48</v>
      </c>
      <c r="BL21" s="127" t="n">
        <f aca="false">MAX(0,BL19-BL20)</f>
        <v>75425.48</v>
      </c>
      <c r="BM21" s="127" t="n">
        <f aca="false">MAX(0,BM19-BM20)</f>
        <v>16249.48</v>
      </c>
      <c r="BN21" s="127" t="n">
        <f aca="false">MAX(0,BN19-BN20)</f>
        <v>16249.48</v>
      </c>
      <c r="BO21" s="127" t="n">
        <f aca="false">MAX(0,BO19-BO20)</f>
        <v>16249.48</v>
      </c>
      <c r="BP21" s="127" t="n">
        <f aca="false">MAX(0,BP19-BP20)</f>
        <v>0</v>
      </c>
      <c r="BQ21" s="127" t="n">
        <f aca="false">MAX(0,BQ19-BQ20)</f>
        <v>0</v>
      </c>
      <c r="BR21" s="127" t="n">
        <f aca="false">MAX(0,BR19-BR20)</f>
        <v>0</v>
      </c>
      <c r="BS21" s="127" t="n">
        <f aca="false">MAX(0,BS19-BS20)</f>
        <v>0</v>
      </c>
      <c r="BT21" s="127" t="n">
        <f aca="false">MAX(0,BT19-BT20)</f>
        <v>0</v>
      </c>
      <c r="BU21" s="127" t="n">
        <f aca="false">MAX(0,BU19-BU20)</f>
        <v>0</v>
      </c>
      <c r="BV21" s="127" t="n">
        <f aca="false">MAX(0,BV19-BV20)</f>
        <v>0</v>
      </c>
      <c r="BW21" s="127" t="n">
        <f aca="false">MAX(0,BW19-BW20)</f>
        <v>0</v>
      </c>
      <c r="BX21" s="127" t="n">
        <f aca="false">MAX(0,BX19-BX20)</f>
        <v>0</v>
      </c>
      <c r="BY21" s="127" t="n">
        <f aca="false">MAX(0,BY19-BY20)</f>
        <v>0</v>
      </c>
      <c r="BZ21" s="127" t="n">
        <f aca="false">MAX(0,BZ19-BZ20)</f>
        <v>0</v>
      </c>
      <c r="CA21" s="127" t="n">
        <f aca="false">MAX(0,CA19-CA20)</f>
        <v>0</v>
      </c>
      <c r="CB21" s="127" t="n">
        <f aca="false">MAX(0,CB19-CB20)</f>
        <v>0</v>
      </c>
      <c r="CC21" s="127" t="n">
        <f aca="false">MAX(0,CC19-CC20)</f>
        <v>0</v>
      </c>
      <c r="CD21" s="127" t="n">
        <f aca="false">MAX(0,CD19-CD20)</f>
        <v>0</v>
      </c>
      <c r="CE21" s="127" t="n">
        <f aca="false">MAX(0,CE19-CE20)</f>
        <v>0</v>
      </c>
      <c r="CF21" s="127" t="n">
        <f aca="false">MAX(0,CF19-CF20)</f>
        <v>0</v>
      </c>
      <c r="CG21" s="127" t="n">
        <f aca="false">MAX(0,CG19-CG20)</f>
        <v>0</v>
      </c>
      <c r="CH21" s="127" t="n">
        <f aca="false">MAX(0,CH19-CH20)</f>
        <v>0</v>
      </c>
    </row>
    <row r="22" customFormat="false" ht="15" hidden="false" customHeight="true" outlineLevel="0" collapsed="false">
      <c r="A22" s="101" t="s">
        <v>542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8" t="s">
        <v>543</v>
      </c>
      <c r="C23" s="129" t="n">
        <f aca="false">MIN(C22,Model!C61)</f>
        <v>0</v>
      </c>
      <c r="D23" s="129" t="n">
        <f aca="false">MIN(D22,Model!D61)</f>
        <v>0</v>
      </c>
      <c r="E23" s="129" t="n">
        <f aca="false">MIN(E22,Model!E61)</f>
        <v>0</v>
      </c>
      <c r="F23" s="129" t="n">
        <f aca="false">MIN(F22,Model!F61)</f>
        <v>0</v>
      </c>
      <c r="G23" s="129" t="n">
        <f aca="false">MIN(G22,Model!G61)</f>
        <v>0</v>
      </c>
      <c r="H23" s="129" t="n">
        <f aca="false">MIN(H22,Model!H61)</f>
        <v>0</v>
      </c>
      <c r="I23" s="129" t="n">
        <f aca="false">MIN(I22,Model!I61)</f>
        <v>0</v>
      </c>
      <c r="J23" s="129" t="n">
        <f aca="false">MIN(J22,Model!J61)</f>
        <v>0</v>
      </c>
      <c r="K23" s="129" t="n">
        <f aca="false">MIN(K22,Model!K61)</f>
        <v>0</v>
      </c>
      <c r="L23" s="129" t="n">
        <f aca="false">MIN(L22,Model!L61)</f>
        <v>0</v>
      </c>
      <c r="M23" s="129" t="n">
        <f aca="false">MIN(M22,Model!M61)</f>
        <v>0</v>
      </c>
      <c r="N23" s="129" t="n">
        <f aca="false">MIN(N22,Model!N61)</f>
        <v>0</v>
      </c>
      <c r="O23" s="129" t="n">
        <f aca="false">MIN(O22,Model!O61)</f>
        <v>0</v>
      </c>
      <c r="P23" s="129" t="n">
        <f aca="false">MIN(P22,Model!P61)</f>
        <v>0</v>
      </c>
      <c r="Q23" s="129" t="n">
        <f aca="false">MIN(Q22,Model!Q61)</f>
        <v>0</v>
      </c>
      <c r="R23" s="129" t="n">
        <f aca="false">MIN(R22,Model!R61)</f>
        <v>0</v>
      </c>
      <c r="S23" s="129" t="n">
        <f aca="false">MIN(S22,Model!S61)</f>
        <v>0</v>
      </c>
      <c r="T23" s="129" t="n">
        <f aca="false">MIN(T22,Model!T61)</f>
        <v>0</v>
      </c>
      <c r="U23" s="129" t="n">
        <f aca="false">MIN(U22,Model!U61)</f>
        <v>0</v>
      </c>
      <c r="V23" s="129" t="n">
        <f aca="false">MIN(V22,Model!V61)</f>
        <v>0</v>
      </c>
      <c r="W23" s="129" t="n">
        <f aca="false">MIN(W22,Model!W61)</f>
        <v>0</v>
      </c>
      <c r="X23" s="129" t="n">
        <f aca="false">MIN(X22,Model!X61)</f>
        <v>0</v>
      </c>
      <c r="Y23" s="129" t="n">
        <f aca="false">MIN(Y22,Model!Y61)</f>
        <v>0</v>
      </c>
      <c r="Z23" s="129" t="n">
        <f aca="false">MIN(Z22,Model!Z61)</f>
        <v>0</v>
      </c>
      <c r="AA23" s="129" t="n">
        <f aca="false">MIN(AA22,Model!AA61)</f>
        <v>0</v>
      </c>
      <c r="AB23" s="129" t="n">
        <f aca="false">MIN(AB22,Model!AB61)</f>
        <v>0</v>
      </c>
      <c r="AC23" s="129" t="n">
        <f aca="false">MIN(AC22,Model!AC61)</f>
        <v>0</v>
      </c>
      <c r="AD23" s="129" t="n">
        <f aca="false">MIN(AD22,Model!AD61)</f>
        <v>0</v>
      </c>
      <c r="AE23" s="129" t="n">
        <f aca="false">MIN(AE22,Model!AE61)</f>
        <v>0</v>
      </c>
      <c r="AF23" s="129" t="n">
        <f aca="false">MIN(AF22,Model!AF61)</f>
        <v>0</v>
      </c>
      <c r="AG23" s="129" t="n">
        <f aca="false">MIN(AG22,Model!AG61)</f>
        <v>0</v>
      </c>
      <c r="AH23" s="129" t="n">
        <f aca="false">MIN(AH22,Model!AH61)</f>
        <v>0</v>
      </c>
      <c r="AI23" s="129" t="n">
        <f aca="false">MIN(AI22,Model!AI61)</f>
        <v>0</v>
      </c>
      <c r="AJ23" s="129" t="n">
        <f aca="false">MIN(AJ22,Model!AJ61)</f>
        <v>0</v>
      </c>
      <c r="AK23" s="129" t="n">
        <f aca="false">MIN(AK22,Model!AK61)</f>
        <v>0</v>
      </c>
      <c r="AL23" s="129" t="n">
        <f aca="false">MIN(AL22,Model!AL61)</f>
        <v>0</v>
      </c>
      <c r="AM23" s="129" t="n">
        <f aca="false">MIN(AM22,Model!AM61)</f>
        <v>0</v>
      </c>
      <c r="AN23" s="129" t="n">
        <f aca="false">MIN(AN22,Model!AN61)</f>
        <v>0</v>
      </c>
      <c r="AO23" s="129" t="n">
        <f aca="false">MIN(AO22,Model!AO61)</f>
        <v>0</v>
      </c>
      <c r="AP23" s="129" t="n">
        <f aca="false">MIN(AP22,Model!AP61)</f>
        <v>0</v>
      </c>
      <c r="AQ23" s="129" t="n">
        <f aca="false">MIN(AQ22,Model!AQ61)</f>
        <v>0</v>
      </c>
      <c r="AR23" s="129" t="n">
        <f aca="false">MIN(AR22,Model!AR61)</f>
        <v>0</v>
      </c>
      <c r="AS23" s="129" t="n">
        <f aca="false">MIN(AS22,Model!AS61)</f>
        <v>0</v>
      </c>
      <c r="AT23" s="129" t="n">
        <f aca="false">MIN(AT22,Model!AT61)</f>
        <v>0</v>
      </c>
      <c r="AU23" s="129" t="n">
        <f aca="false">MIN(AU22,Model!AU61)</f>
        <v>0</v>
      </c>
      <c r="AV23" s="129" t="n">
        <f aca="false">MIN(AV22,Model!AV61)</f>
        <v>0</v>
      </c>
      <c r="AW23" s="129" t="n">
        <f aca="false">MIN(AW22,Model!AW61)</f>
        <v>0</v>
      </c>
      <c r="AX23" s="129" t="n">
        <f aca="false">MIN(AX22,Model!AX61)</f>
        <v>0</v>
      </c>
      <c r="AY23" s="129" t="n">
        <f aca="false">MIN(AY22,Model!AY61)</f>
        <v>0</v>
      </c>
      <c r="AZ23" s="129" t="n">
        <f aca="false">MIN(AZ22,Model!AZ61)</f>
        <v>0</v>
      </c>
      <c r="BA23" s="129" t="n">
        <f aca="false">MIN(BA22,Model!BA61)</f>
        <v>602667.7</v>
      </c>
      <c r="BB23" s="129" t="n">
        <f aca="false">MIN(BB22,Model!BB61)</f>
        <v>0</v>
      </c>
      <c r="BC23" s="129" t="n">
        <f aca="false">MIN(BC22,Model!BC61)</f>
        <v>0</v>
      </c>
      <c r="BD23" s="129" t="n">
        <f aca="false">MIN(BD22,Model!BD61)</f>
        <v>0</v>
      </c>
      <c r="BE23" s="129" t="n">
        <f aca="false">MIN(BE22,Model!BE61)</f>
        <v>0</v>
      </c>
      <c r="BF23" s="129" t="n">
        <f aca="false">MIN(BF22,Model!BF61)</f>
        <v>0</v>
      </c>
      <c r="BG23" s="129" t="n">
        <f aca="false">MIN(BG22,Model!BG61)</f>
        <v>0</v>
      </c>
      <c r="BH23" s="129" t="n">
        <f aca="false">MIN(BH22,Model!BH61)</f>
        <v>0</v>
      </c>
      <c r="BI23" s="129" t="n">
        <f aca="false">MIN(BI22,Model!BI61)</f>
        <v>0</v>
      </c>
      <c r="BJ23" s="129" t="n">
        <f aca="false">MIN(BJ22,Model!BJ61)</f>
        <v>0</v>
      </c>
      <c r="BK23" s="129" t="n">
        <f aca="false">MIN(BK22,Model!BK61)</f>
        <v>0</v>
      </c>
      <c r="BL23" s="129" t="n">
        <f aca="false">MIN(BL22,Model!BL61)</f>
        <v>0</v>
      </c>
      <c r="BM23" s="129" t="n">
        <f aca="false">MIN(BM22,Model!BM61)</f>
        <v>0</v>
      </c>
      <c r="BN23" s="129" t="n">
        <f aca="false">MIN(BN22,Model!BN61)</f>
        <v>0</v>
      </c>
      <c r="BO23" s="129" t="n">
        <f aca="false">MIN(BO22,Model!BO61)</f>
        <v>0</v>
      </c>
      <c r="BP23" s="129" t="n">
        <f aca="false">MIN(BP22,Model!BP61)</f>
        <v>0</v>
      </c>
      <c r="BQ23" s="129" t="n">
        <f aca="false">MIN(BQ22,Model!BQ61)</f>
        <v>0</v>
      </c>
      <c r="BR23" s="129" t="n">
        <f aca="false">MIN(BR22,Model!BR61)</f>
        <v>0</v>
      </c>
      <c r="BS23" s="129" t="n">
        <f aca="false">MIN(BS22,Model!BS61)</f>
        <v>0</v>
      </c>
      <c r="BT23" s="129" t="n">
        <f aca="false">MIN(BT22,Model!BT61)</f>
        <v>0</v>
      </c>
      <c r="BU23" s="129" t="n">
        <f aca="false">MIN(BU22,Model!BU61)</f>
        <v>0</v>
      </c>
      <c r="BV23" s="129" t="n">
        <f aca="false">MIN(BV22,Model!BV61)</f>
        <v>0</v>
      </c>
      <c r="BW23" s="129" t="n">
        <f aca="false">MIN(BW22,Model!BW61)</f>
        <v>0</v>
      </c>
      <c r="BX23" s="129" t="n">
        <f aca="false">MIN(BX22,Model!BX61)</f>
        <v>0</v>
      </c>
      <c r="BY23" s="129" t="n">
        <f aca="false">MIN(BY22,Model!BY61)</f>
        <v>0</v>
      </c>
      <c r="BZ23" s="129" t="n">
        <f aca="false">MIN(BZ22,Model!BZ61)</f>
        <v>0</v>
      </c>
      <c r="CA23" s="129" t="n">
        <f aca="false">MIN(CA22,Model!CA61)</f>
        <v>0</v>
      </c>
      <c r="CB23" s="129" t="n">
        <f aca="false">MIN(CB22,Model!CB61)</f>
        <v>0</v>
      </c>
      <c r="CC23" s="129" t="n">
        <f aca="false">MIN(CC22,Model!CC61)</f>
        <v>0</v>
      </c>
      <c r="CD23" s="129" t="n">
        <f aca="false">MIN(CD22,Model!CD61)</f>
        <v>0</v>
      </c>
      <c r="CE23" s="129" t="n">
        <f aca="false">MIN(CE22,Model!CE61)</f>
        <v>0</v>
      </c>
      <c r="CF23" s="129" t="n">
        <f aca="false">MIN(CF22,Model!CF61)</f>
        <v>0</v>
      </c>
      <c r="CG23" s="129" t="n">
        <f aca="false">MIN(CG22,Model!CG61)</f>
        <v>0</v>
      </c>
      <c r="CH23" s="129" t="n">
        <f aca="false">MIN(CH22,Model!CH61)</f>
        <v>0</v>
      </c>
    </row>
    <row r="24" customFormat="false" ht="15" hidden="false" customHeight="true" outlineLevel="0" collapsed="false">
      <c r="A24" s="126" t="s">
        <v>544</v>
      </c>
      <c r="C24" s="127" t="n">
        <f aca="false">MAX(0,C22-C23)</f>
        <v>602667.7</v>
      </c>
      <c r="D24" s="127" t="n">
        <f aca="false">MAX(0,D22-D23)</f>
        <v>602667.7</v>
      </c>
      <c r="E24" s="127" t="n">
        <f aca="false">MAX(0,E22-E23)</f>
        <v>602667.7</v>
      </c>
      <c r="F24" s="127" t="n">
        <f aca="false">MAX(0,F22-F23)</f>
        <v>602667.7</v>
      </c>
      <c r="G24" s="127" t="n">
        <f aca="false">MAX(0,G22-G23)</f>
        <v>602667.7</v>
      </c>
      <c r="H24" s="127" t="n">
        <f aca="false">MAX(0,H22-H23)</f>
        <v>602667.7</v>
      </c>
      <c r="I24" s="127" t="n">
        <f aca="false">MAX(0,I22-I23)</f>
        <v>602667.7</v>
      </c>
      <c r="J24" s="127" t="n">
        <f aca="false">MAX(0,J22-J23)</f>
        <v>602667.7</v>
      </c>
      <c r="K24" s="127" t="n">
        <f aca="false">MAX(0,K22-K23)</f>
        <v>602667.7</v>
      </c>
      <c r="L24" s="127" t="n">
        <f aca="false">MAX(0,L22-L23)</f>
        <v>602667.7</v>
      </c>
      <c r="M24" s="127" t="n">
        <f aca="false">MAX(0,M22-M23)</f>
        <v>602667.7</v>
      </c>
      <c r="N24" s="127" t="n">
        <f aca="false">MAX(0,N22-N23)</f>
        <v>602667.7</v>
      </c>
      <c r="O24" s="127" t="n">
        <f aca="false">MAX(0,O22-O23)</f>
        <v>602667.7</v>
      </c>
      <c r="P24" s="127" t="n">
        <f aca="false">MAX(0,P22-P23)</f>
        <v>602667.7</v>
      </c>
      <c r="Q24" s="127" t="n">
        <f aca="false">MAX(0,Q22-Q23)</f>
        <v>602667.7</v>
      </c>
      <c r="R24" s="127" t="n">
        <f aca="false">MAX(0,R22-R23)</f>
        <v>602667.7</v>
      </c>
      <c r="S24" s="127" t="n">
        <f aca="false">MAX(0,S22-S23)</f>
        <v>602667.7</v>
      </c>
      <c r="T24" s="127" t="n">
        <f aca="false">MAX(0,T22-T23)</f>
        <v>602667.7</v>
      </c>
      <c r="U24" s="127" t="n">
        <f aca="false">MAX(0,U22-U23)</f>
        <v>602667.7</v>
      </c>
      <c r="V24" s="127" t="n">
        <f aca="false">MAX(0,V22-V23)</f>
        <v>602667.7</v>
      </c>
      <c r="W24" s="127" t="n">
        <f aca="false">MAX(0,W22-W23)</f>
        <v>602667.7</v>
      </c>
      <c r="X24" s="127" t="n">
        <f aca="false">MAX(0,X22-X23)</f>
        <v>602667.7</v>
      </c>
      <c r="Y24" s="127" t="n">
        <f aca="false">MAX(0,Y22-Y23)</f>
        <v>602667.7</v>
      </c>
      <c r="Z24" s="127" t="n">
        <f aca="false">MAX(0,Z22-Z23)</f>
        <v>602667.7</v>
      </c>
      <c r="AA24" s="127" t="n">
        <f aca="false">MAX(0,AA22-AA23)</f>
        <v>602667.7</v>
      </c>
      <c r="AB24" s="127" t="n">
        <f aca="false">MAX(0,AB22-AB23)</f>
        <v>602667.7</v>
      </c>
      <c r="AC24" s="127" t="n">
        <f aca="false">MAX(0,AC22-AC23)</f>
        <v>602667.7</v>
      </c>
      <c r="AD24" s="127" t="n">
        <f aca="false">MAX(0,AD22-AD23)</f>
        <v>602667.7</v>
      </c>
      <c r="AE24" s="127" t="n">
        <f aca="false">MAX(0,AE22-AE23)</f>
        <v>602667.7</v>
      </c>
      <c r="AF24" s="127" t="n">
        <f aca="false">MAX(0,AF22-AF23)</f>
        <v>602667.7</v>
      </c>
      <c r="AG24" s="127" t="n">
        <f aca="false">MAX(0,AG22-AG23)</f>
        <v>602667.7</v>
      </c>
      <c r="AH24" s="127" t="n">
        <f aca="false">MAX(0,AH22-AH23)</f>
        <v>602667.7</v>
      </c>
      <c r="AI24" s="127" t="n">
        <f aca="false">MAX(0,AI22-AI23)</f>
        <v>602667.7</v>
      </c>
      <c r="AJ24" s="127" t="n">
        <f aca="false">MAX(0,AJ22-AJ23)</f>
        <v>602667.7</v>
      </c>
      <c r="AK24" s="127" t="n">
        <f aca="false">MAX(0,AK22-AK23)</f>
        <v>602667.7</v>
      </c>
      <c r="AL24" s="127" t="n">
        <f aca="false">MAX(0,AL22-AL23)</f>
        <v>602667.7</v>
      </c>
      <c r="AM24" s="127" t="n">
        <f aca="false">MAX(0,AM22-AM23)</f>
        <v>602667.7</v>
      </c>
      <c r="AN24" s="127" t="n">
        <f aca="false">MAX(0,AN22-AN23)</f>
        <v>602667.7</v>
      </c>
      <c r="AO24" s="127" t="n">
        <f aca="false">MAX(0,AO22-AO23)</f>
        <v>602667.7</v>
      </c>
      <c r="AP24" s="127" t="n">
        <f aca="false">MAX(0,AP22-AP23)</f>
        <v>602667.7</v>
      </c>
      <c r="AQ24" s="127" t="n">
        <f aca="false">MAX(0,AQ22-AQ23)</f>
        <v>602667.7</v>
      </c>
      <c r="AR24" s="127" t="n">
        <f aca="false">MAX(0,AR22-AR23)</f>
        <v>602667.7</v>
      </c>
      <c r="AS24" s="127" t="n">
        <f aca="false">MAX(0,AS22-AS23)</f>
        <v>602667.7</v>
      </c>
      <c r="AT24" s="127" t="n">
        <f aca="false">MAX(0,AT22-AT23)</f>
        <v>602667.7</v>
      </c>
      <c r="AU24" s="127" t="n">
        <f aca="false">MAX(0,AU22-AU23)</f>
        <v>602667.7</v>
      </c>
      <c r="AV24" s="127" t="n">
        <f aca="false">MAX(0,AV22-AV23)</f>
        <v>602667.7</v>
      </c>
      <c r="AW24" s="127" t="n">
        <f aca="false">MAX(0,AW22-AW23)</f>
        <v>602667.7</v>
      </c>
      <c r="AX24" s="127" t="n">
        <f aca="false">MAX(0,AX22-AX23)</f>
        <v>602667.7</v>
      </c>
      <c r="AY24" s="127" t="n">
        <f aca="false">MAX(0,AY22-AY23)</f>
        <v>602667.7</v>
      </c>
      <c r="AZ24" s="127" t="n">
        <f aca="false">MAX(0,AZ22-AZ23)</f>
        <v>602667.7</v>
      </c>
      <c r="BA24" s="127" t="n">
        <f aca="false">MAX(0,BA22-BA23)</f>
        <v>0</v>
      </c>
      <c r="BB24" s="127" t="n">
        <f aca="false">MAX(0,BB22-BB23)</f>
        <v>0</v>
      </c>
      <c r="BC24" s="127" t="n">
        <f aca="false">MAX(0,BC22-BC23)</f>
        <v>0</v>
      </c>
      <c r="BD24" s="127" t="n">
        <f aca="false">MAX(0,BD22-BD23)</f>
        <v>0</v>
      </c>
      <c r="BE24" s="127" t="n">
        <f aca="false">MAX(0,BE22-BE23)</f>
        <v>0</v>
      </c>
      <c r="BF24" s="127" t="n">
        <f aca="false">MAX(0,BF22-BF23)</f>
        <v>0</v>
      </c>
      <c r="BG24" s="127" t="n">
        <f aca="false">MAX(0,BG22-BG23)</f>
        <v>0</v>
      </c>
      <c r="BH24" s="127" t="n">
        <f aca="false">MAX(0,BH22-BH23)</f>
        <v>0</v>
      </c>
      <c r="BI24" s="127" t="n">
        <f aca="false">MAX(0,BI22-BI23)</f>
        <v>0</v>
      </c>
      <c r="BJ24" s="127" t="n">
        <f aca="false">MAX(0,BJ22-BJ23)</f>
        <v>0</v>
      </c>
      <c r="BK24" s="127" t="n">
        <f aca="false">MAX(0,BK22-BK23)</f>
        <v>0</v>
      </c>
      <c r="BL24" s="127" t="n">
        <f aca="false">MAX(0,BL22-BL23)</f>
        <v>0</v>
      </c>
      <c r="BM24" s="127" t="n">
        <f aca="false">MAX(0,BM22-BM23)</f>
        <v>0</v>
      </c>
      <c r="BN24" s="127" t="n">
        <f aca="false">MAX(0,BN22-BN23)</f>
        <v>0</v>
      </c>
      <c r="BO24" s="127" t="n">
        <f aca="false">MAX(0,BO22-BO23)</f>
        <v>0</v>
      </c>
      <c r="BP24" s="127" t="n">
        <f aca="false">MAX(0,BP22-BP23)</f>
        <v>0</v>
      </c>
      <c r="BQ24" s="127" t="n">
        <f aca="false">MAX(0,BQ22-BQ23)</f>
        <v>0</v>
      </c>
      <c r="BR24" s="127" t="n">
        <f aca="false">MAX(0,BR22-BR23)</f>
        <v>0</v>
      </c>
      <c r="BS24" s="127" t="n">
        <f aca="false">MAX(0,BS22-BS23)</f>
        <v>0</v>
      </c>
      <c r="BT24" s="127" t="n">
        <f aca="false">MAX(0,BT22-BT23)</f>
        <v>0</v>
      </c>
      <c r="BU24" s="127" t="n">
        <f aca="false">MAX(0,BU22-BU23)</f>
        <v>0</v>
      </c>
      <c r="BV24" s="127" t="n">
        <f aca="false">MAX(0,BV22-BV23)</f>
        <v>0</v>
      </c>
      <c r="BW24" s="127" t="n">
        <f aca="false">MAX(0,BW22-BW23)</f>
        <v>0</v>
      </c>
      <c r="BX24" s="127" t="n">
        <f aca="false">MAX(0,BX22-BX23)</f>
        <v>0</v>
      </c>
      <c r="BY24" s="127" t="n">
        <f aca="false">MAX(0,BY22-BY23)</f>
        <v>0</v>
      </c>
      <c r="BZ24" s="127" t="n">
        <f aca="false">MAX(0,BZ22-BZ23)</f>
        <v>0</v>
      </c>
      <c r="CA24" s="127" t="n">
        <f aca="false">MAX(0,CA22-CA23)</f>
        <v>0</v>
      </c>
      <c r="CB24" s="127" t="n">
        <f aca="false">MAX(0,CB22-CB23)</f>
        <v>0</v>
      </c>
      <c r="CC24" s="127" t="n">
        <f aca="false">MAX(0,CC22-CC23)</f>
        <v>0</v>
      </c>
      <c r="CD24" s="127" t="n">
        <f aca="false">MAX(0,CD22-CD23)</f>
        <v>0</v>
      </c>
      <c r="CE24" s="127" t="n">
        <f aca="false">MAX(0,CE22-CE23)</f>
        <v>0</v>
      </c>
      <c r="CF24" s="127" t="n">
        <f aca="false">MAX(0,CF22-CF23)</f>
        <v>0</v>
      </c>
      <c r="CG24" s="127" t="n">
        <f aca="false">MAX(0,CG22-CG23)</f>
        <v>0</v>
      </c>
      <c r="CH24" s="127" t="n">
        <f aca="false">MAX(0,CH22-CH23)</f>
        <v>0</v>
      </c>
    </row>
    <row r="25" customFormat="false" ht="15" hidden="false" customHeight="true" outlineLevel="0" collapsed="false">
      <c r="A25" s="1" t="s">
        <v>545</v>
      </c>
      <c r="B25" s="1" t="s">
        <v>546</v>
      </c>
      <c r="C25" s="130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547</v>
      </c>
      <c r="C26" s="130" t="n">
        <f aca="false">MIN(C25,Model!C62)</f>
        <v>0</v>
      </c>
      <c r="D26" s="1" t="n">
        <f aca="false">MIN(D25,Model!D62)</f>
        <v>0</v>
      </c>
      <c r="E26" s="1" t="n">
        <f aca="false">MIN(E25,Model!E62)</f>
        <v>0</v>
      </c>
      <c r="F26" s="1" t="n">
        <f aca="false">MIN(F25,Model!F62)</f>
        <v>0</v>
      </c>
      <c r="G26" s="1" t="n">
        <f aca="false">MIN(G25,Model!G62)</f>
        <v>0</v>
      </c>
      <c r="H26" s="1" t="n">
        <f aca="false">MIN(H25,Model!H62)</f>
        <v>0</v>
      </c>
      <c r="I26" s="1" t="n">
        <f aca="false">MIN(I25,Model!I62)</f>
        <v>0</v>
      </c>
      <c r="J26" s="1" t="n">
        <f aca="false">MIN(J25,Model!J62)</f>
        <v>0</v>
      </c>
      <c r="K26" s="1" t="n">
        <f aca="false">MIN(K25,Model!K62)</f>
        <v>0</v>
      </c>
      <c r="L26" s="1" t="n">
        <f aca="false">MIN(L25,Model!L62)</f>
        <v>0</v>
      </c>
      <c r="M26" s="1" t="n">
        <f aca="false">MIN(M25,Model!M62)</f>
        <v>0</v>
      </c>
      <c r="N26" s="1" t="n">
        <f aca="false">MIN(N25,Model!N62)</f>
        <v>0</v>
      </c>
      <c r="O26" s="1" t="n">
        <f aca="false">MIN(O25,Model!O62)</f>
        <v>0</v>
      </c>
      <c r="P26" s="1" t="n">
        <f aca="false">MIN(P25,Model!P62)</f>
        <v>0</v>
      </c>
      <c r="Q26" s="1" t="n">
        <f aca="false">MIN(Q25,Model!Q62)</f>
        <v>0</v>
      </c>
      <c r="R26" s="1" t="n">
        <f aca="false">MIN(R25,Model!R62)</f>
        <v>0</v>
      </c>
      <c r="S26" s="1" t="n">
        <f aca="false">MIN(S25,Model!S62)</f>
        <v>0</v>
      </c>
      <c r="T26" s="1" t="n">
        <f aca="false">MIN(T25,Model!T62)</f>
        <v>0</v>
      </c>
      <c r="U26" s="1" t="n">
        <f aca="false">MIN(U25,Model!U62)</f>
        <v>0</v>
      </c>
      <c r="V26" s="1" t="n">
        <f aca="false">MIN(V25,Model!V62)</f>
        <v>0</v>
      </c>
      <c r="W26" s="1" t="n">
        <f aca="false">MIN(W25,Model!W62)</f>
        <v>0</v>
      </c>
      <c r="X26" s="1" t="n">
        <f aca="false">MIN(X25,Model!X62)</f>
        <v>0</v>
      </c>
      <c r="Y26" s="1" t="n">
        <f aca="false">MIN(Y25,Model!Y62)</f>
        <v>0</v>
      </c>
      <c r="Z26" s="1" t="n">
        <f aca="false">MIN(Z25,Model!Z62)</f>
        <v>0</v>
      </c>
      <c r="AA26" s="1" t="n">
        <f aca="false">MIN(AA25,Model!AA62)</f>
        <v>0</v>
      </c>
      <c r="AB26" s="1" t="n">
        <f aca="false">MIN(AB25,Model!AB62)</f>
        <v>0</v>
      </c>
      <c r="AC26" s="1" t="n">
        <f aca="false">MIN(AC25,Model!AC62)</f>
        <v>0</v>
      </c>
      <c r="AD26" s="1" t="n">
        <f aca="false">MIN(AD25,Model!AD62)</f>
        <v>0</v>
      </c>
      <c r="AE26" s="1" t="n">
        <f aca="false">MIN(AE25,Model!AE62)</f>
        <v>0</v>
      </c>
      <c r="AF26" s="1" t="n">
        <f aca="false">MIN(AF25,Model!AF62)</f>
        <v>0</v>
      </c>
      <c r="AG26" s="1" t="n">
        <f aca="false">MIN(AG25,Model!AG62)</f>
        <v>0</v>
      </c>
      <c r="AH26" s="1" t="n">
        <f aca="false">MIN(AH25,Model!AH62)</f>
        <v>0</v>
      </c>
      <c r="AI26" s="1" t="n">
        <f aca="false">MIN(AI25,Model!AI62)</f>
        <v>0</v>
      </c>
      <c r="AJ26" s="1" t="n">
        <f aca="false">MIN(AJ25,Model!AJ62)</f>
        <v>0</v>
      </c>
      <c r="AK26" s="1" t="n">
        <f aca="false">MIN(AK25,Model!AK62)</f>
        <v>0</v>
      </c>
      <c r="AL26" s="1" t="n">
        <f aca="false">MIN(AL25,Model!AL62)</f>
        <v>0</v>
      </c>
      <c r="AM26" s="1" t="n">
        <f aca="false">MIN(AM25,Model!AM62)</f>
        <v>0</v>
      </c>
      <c r="AN26" s="1" t="n">
        <f aca="false">MIN(AN25,Model!AN62)</f>
        <v>0</v>
      </c>
      <c r="AO26" s="1" t="n">
        <f aca="false">MIN(AO25,Model!AO62)</f>
        <v>0</v>
      </c>
      <c r="AP26" s="1" t="n">
        <f aca="false">MIN(AP25,Model!AP62)</f>
        <v>0</v>
      </c>
      <c r="AQ26" s="1" t="n">
        <f aca="false">MIN(AQ25,Model!AQ62)</f>
        <v>0</v>
      </c>
      <c r="AR26" s="1" t="n">
        <f aca="false">MIN(AR25,Model!AR62)</f>
        <v>0</v>
      </c>
      <c r="AS26" s="1" t="n">
        <f aca="false">MIN(AS25,Model!AS62)</f>
        <v>0</v>
      </c>
      <c r="AT26" s="1" t="n">
        <f aca="false">MIN(AT25,Model!AT62)</f>
        <v>0</v>
      </c>
      <c r="AU26" s="1" t="n">
        <f aca="false">MIN(AU25,Model!AU62)</f>
        <v>0</v>
      </c>
      <c r="AV26" s="1" t="n">
        <f aca="false">MIN(AV25,Model!AV62)</f>
        <v>0</v>
      </c>
      <c r="AW26" s="1" t="n">
        <f aca="false">MIN(AW25,Model!AW62)</f>
        <v>0</v>
      </c>
      <c r="AX26" s="1" t="n">
        <f aca="false">MIN(AX25,Model!AX62)</f>
        <v>0</v>
      </c>
      <c r="AY26" s="1" t="n">
        <f aca="false">MIN(AY25,Model!AY62)</f>
        <v>0</v>
      </c>
      <c r="AZ26" s="1" t="n">
        <f aca="false">MIN(AZ25,Model!AZ62)</f>
        <v>0</v>
      </c>
      <c r="BA26" s="1" t="n">
        <f aca="false">MIN(BA25,Model!BA62)</f>
        <v>0</v>
      </c>
      <c r="BB26" s="1" t="n">
        <f aca="false">MIN(BB25,Model!BB62)</f>
        <v>0</v>
      </c>
      <c r="BC26" s="1" t="n">
        <f aca="false">MIN(BC25,Model!BC62)</f>
        <v>0</v>
      </c>
      <c r="BD26" s="1" t="n">
        <f aca="false">MIN(BD25,Model!BD62)</f>
        <v>0</v>
      </c>
      <c r="BE26" s="1" t="n">
        <f aca="false">MIN(BE25,Model!BE62)</f>
        <v>0</v>
      </c>
      <c r="BF26" s="1" t="n">
        <f aca="false">MIN(BF25,Model!BF62)</f>
        <v>0</v>
      </c>
      <c r="BG26" s="1" t="n">
        <f aca="false">MIN(BG25,Model!BG62)</f>
        <v>0</v>
      </c>
      <c r="BH26" s="1" t="n">
        <f aca="false">MIN(BH25,Model!BH62)</f>
        <v>0</v>
      </c>
      <c r="BI26" s="1" t="n">
        <f aca="false">MIN(BI25,Model!BI62)</f>
        <v>0</v>
      </c>
      <c r="BJ26" s="1" t="n">
        <f aca="false">MIN(BJ25,Model!BJ62)</f>
        <v>0</v>
      </c>
      <c r="BK26" s="1" t="n">
        <f aca="false">MIN(BK25,Model!BK62)</f>
        <v>0</v>
      </c>
      <c r="BL26" s="1" t="n">
        <f aca="false">MIN(BL25,Model!BL62)</f>
        <v>0</v>
      </c>
      <c r="BM26" s="1" t="n">
        <f aca="false">MIN(BM25,Model!BM62)</f>
        <v>0</v>
      </c>
      <c r="BN26" s="1" t="n">
        <f aca="false">MIN(BN25,Model!BN62)</f>
        <v>0</v>
      </c>
      <c r="BO26" s="1" t="n">
        <f aca="false">MIN(BO25,Model!BO62)</f>
        <v>0</v>
      </c>
      <c r="BP26" s="1" t="n">
        <f aca="false">MIN(BP25,Model!BP62)</f>
        <v>0</v>
      </c>
      <c r="BQ26" s="1" t="n">
        <f aca="false">MIN(BQ25,Model!BQ62)</f>
        <v>0</v>
      </c>
      <c r="BR26" s="1" t="n">
        <f aca="false">MIN(BR25,Model!BR62)</f>
        <v>0</v>
      </c>
      <c r="BS26" s="1" t="n">
        <f aca="false">MIN(BS25,Model!BS62)</f>
        <v>0</v>
      </c>
      <c r="BT26" s="1" t="n">
        <f aca="false">MIN(BT25,Model!BT62)</f>
        <v>0</v>
      </c>
      <c r="BU26" s="1" t="n">
        <f aca="false">MIN(BU25,Model!BU62)</f>
        <v>0</v>
      </c>
      <c r="BV26" s="1" t="n">
        <f aca="false">MIN(BV25,Model!BV62)</f>
        <v>0</v>
      </c>
      <c r="BW26" s="1" t="n">
        <f aca="false">MIN(BW25,Model!BW62)</f>
        <v>0</v>
      </c>
      <c r="BX26" s="1" t="n">
        <f aca="false">MIN(BX25,Model!BX62)</f>
        <v>0</v>
      </c>
      <c r="BY26" s="1" t="n">
        <f aca="false">MIN(BY25,Model!BY62)</f>
        <v>73156</v>
      </c>
      <c r="BZ26" s="1" t="n">
        <f aca="false">MIN(BZ25,Model!BZ62)</f>
        <v>0</v>
      </c>
      <c r="CA26" s="1" t="n">
        <f aca="false">MIN(CA25,Model!CA62)</f>
        <v>0</v>
      </c>
      <c r="CB26" s="1" t="n">
        <f aca="false">MIN(CB25,Model!CB62)</f>
        <v>73155</v>
      </c>
      <c r="CC26" s="1" t="n">
        <f aca="false">MIN(CC25,Model!CC62)</f>
        <v>0</v>
      </c>
      <c r="CD26" s="1" t="n">
        <f aca="false">MIN(CD25,Model!CD62)</f>
        <v>0</v>
      </c>
      <c r="CE26" s="1" t="n">
        <f aca="false">MIN(CE25,Model!CE62)</f>
        <v>73155</v>
      </c>
      <c r="CF26" s="1" t="n">
        <f aca="false">MIN(CF25,Model!CF62)</f>
        <v>0</v>
      </c>
      <c r="CG26" s="1" t="n">
        <f aca="false">MIN(CG25,Model!CG62)</f>
        <v>0</v>
      </c>
      <c r="CH26" s="1" t="n">
        <f aca="false">MIN(CH25,Model!CH62)</f>
        <v>73155</v>
      </c>
    </row>
    <row r="27" customFormat="false" ht="15" hidden="false" customHeight="true" outlineLevel="0" collapsed="false">
      <c r="B27" s="1" t="s">
        <v>548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549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31" t="s">
        <v>550</v>
      </c>
    </row>
    <row r="32" customFormat="false" ht="15" hidden="false" customHeight="true" outlineLevel="0" collapsed="false">
      <c r="A32" s="132" t="s">
        <v>49</v>
      </c>
      <c r="B32" s="65" t="n">
        <f aca="false">LOOKUP(2,1/(Model!C60:CH60&gt;0),Model!C60:CH60)</f>
        <v>76499</v>
      </c>
    </row>
    <row r="33" customFormat="false" ht="15" hidden="false" customHeight="true" outlineLevel="0" collapsed="false">
      <c r="A33" s="132" t="s">
        <v>57</v>
      </c>
      <c r="B33" s="65" t="n">
        <f aca="false">LOOKUP(2,1/(Model!C62:CH62&gt;0),Model!C62:CH62)</f>
        <v>73155</v>
      </c>
    </row>
    <row r="34" customFormat="false" ht="15" hidden="false" customHeight="true" outlineLevel="0" collapsed="false">
      <c r="A34" s="132" t="s">
        <v>54</v>
      </c>
      <c r="B34" s="65" t="n">
        <f aca="false">LOOKUP(2,1/(Model!C61:CH61&gt;0),Model!C61:CH61)</f>
        <v>81362</v>
      </c>
    </row>
    <row r="36" customFormat="false" ht="15" hidden="false" customHeight="true" outlineLevel="0" collapsed="false">
      <c r="A36" s="131" t="s">
        <v>551</v>
      </c>
    </row>
    <row r="37" customFormat="false" ht="15" hidden="false" customHeight="true" outlineLevel="0" collapsed="false">
      <c r="A37" s="132" t="s">
        <v>49</v>
      </c>
      <c r="B37" s="110" t="n">
        <f aca="false">SUMPRODUCT((Model!C60:CH60&gt;0)*1)</f>
        <v>15</v>
      </c>
    </row>
    <row r="38" customFormat="false" ht="15" hidden="false" customHeight="true" outlineLevel="0" collapsed="false">
      <c r="A38" s="132" t="s">
        <v>57</v>
      </c>
      <c r="B38" s="110" t="n">
        <f aca="false">SUMPRODUCT((Model!C62:CH62&gt;0)*1)</f>
        <v>4</v>
      </c>
    </row>
    <row r="39" customFormat="false" ht="15" hidden="false" customHeight="true" outlineLevel="0" collapsed="false">
      <c r="A39" s="132" t="s">
        <v>54</v>
      </c>
      <c r="B39" s="110" t="n">
        <f aca="false">SUMPRODUCT((Model!C61:CH61&gt;0)*1)</f>
        <v>12</v>
      </c>
    </row>
    <row r="41" customFormat="false" ht="15" hidden="false" customHeight="true" outlineLevel="0" collapsed="false">
      <c r="A41" s="131" t="s">
        <v>552</v>
      </c>
    </row>
    <row r="42" customFormat="false" ht="15" hidden="false" customHeight="true" outlineLevel="0" collapsed="false">
      <c r="A42" s="132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32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32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31" t="s">
        <v>553</v>
      </c>
    </row>
    <row r="47" customFormat="false" ht="15" hidden="false" customHeight="true" outlineLevel="0" collapsed="false">
      <c r="A47" s="132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32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32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554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31" t="s">
        <v>555</v>
      </c>
      <c r="B52" s="131" t="s">
        <v>556</v>
      </c>
      <c r="C52" s="131" t="s">
        <v>557</v>
      </c>
      <c r="D52" s="131" t="s">
        <v>558</v>
      </c>
      <c r="E52" s="131" t="s">
        <v>559</v>
      </c>
      <c r="F52" s="131" t="s">
        <v>560</v>
      </c>
      <c r="G52" s="131" t="s">
        <v>561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Model!CH125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31" t="s">
        <v>562</v>
      </c>
      <c r="D93" s="133" t="n">
        <f aca="false">SUM(D53:D92)</f>
        <v>270925.32</v>
      </c>
      <c r="F93" s="133" t="n">
        <f aca="false">SUM(F53:F92)</f>
        <v>240125.881206445</v>
      </c>
      <c r="G93" s="133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4" t="s">
        <v>563</v>
      </c>
    </row>
    <row r="2" customFormat="false" ht="15" hidden="false" customHeight="true" outlineLevel="0" collapsed="false">
      <c r="A2" s="110" t="s">
        <v>271</v>
      </c>
      <c r="B2" s="6" t="inlineStr">
        <is>
          <t>Yes</t>
        </is>
      </c>
    </row>
    <row r="4" customFormat="false" ht="15" hidden="false" customHeight="true" outlineLevel="0" collapsed="false">
      <c r="A4" s="135" t="s">
        <v>564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</row>
    <row r="5" customFormat="false" ht="15" hidden="false" customHeight="true" outlineLevel="0" collapsed="false">
      <c r="A5" s="110" t="s">
        <v>565</v>
      </c>
      <c r="B5" s="110" t="s">
        <v>563</v>
      </c>
    </row>
    <row r="6" customFormat="false" ht="15" hidden="false" customHeight="true" outlineLevel="0" collapsed="false">
      <c r="A6" s="110" t="s">
        <v>566</v>
      </c>
      <c r="B6" s="110" t="s">
        <v>567</v>
      </c>
    </row>
    <row r="7" customFormat="false" ht="15" hidden="false" customHeight="true" outlineLevel="0" collapsed="false">
      <c r="A7" s="110" t="s">
        <v>568</v>
      </c>
      <c r="B7" s="136" t="n">
        <v>60</v>
      </c>
    </row>
    <row r="8" customFormat="false" ht="15" hidden="false" customHeight="true" outlineLevel="0" collapsed="false">
      <c r="A8" s="110" t="s">
        <v>569</v>
      </c>
      <c r="B8" s="110" t="s">
        <v>570</v>
      </c>
    </row>
    <row r="9" customFormat="false" ht="15" hidden="false" customHeight="true" outlineLevel="0" collapsed="false">
      <c r="A9" s="110" t="s">
        <v>571</v>
      </c>
      <c r="B9" s="65" t="n">
        <v>1400000</v>
      </c>
    </row>
    <row r="10" customFormat="false" ht="15" hidden="false" customHeight="true" outlineLevel="0" collapsed="false">
      <c r="A10" s="110" t="s">
        <v>572</v>
      </c>
      <c r="B10" s="65" t="n">
        <v>1609391</v>
      </c>
    </row>
    <row r="11" customFormat="false" ht="15" hidden="false" customHeight="true" outlineLevel="0" collapsed="false">
      <c r="A11" s="110" t="s">
        <v>573</v>
      </c>
      <c r="B11" s="65" t="n">
        <v>3419763</v>
      </c>
    </row>
    <row r="12" customFormat="false" ht="15" hidden="false" customHeight="true" outlineLevel="0" collapsed="false">
      <c r="A12" s="110" t="s">
        <v>469</v>
      </c>
      <c r="B12" s="7">
        <f>B16</f>
        <v>9009665</v>
      </c>
    </row>
    <row r="14" customFormat="false" ht="15" hidden="false" customHeight="true" outlineLevel="0" collapsed="false">
      <c r="A14" s="137" t="s">
        <v>574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</row>
    <row r="15" customFormat="false" ht="15" hidden="false" customHeight="true" outlineLevel="0" collapsed="false">
      <c r="B15" s="138" t="s">
        <v>318</v>
      </c>
      <c r="C15" s="138" t="s">
        <v>1</v>
      </c>
      <c r="D15" s="138" t="s">
        <v>2</v>
      </c>
      <c r="E15" s="138" t="s">
        <v>3</v>
      </c>
      <c r="F15" s="138" t="s">
        <v>4</v>
      </c>
      <c r="G15" s="138" t="s">
        <v>5</v>
      </c>
      <c r="H15" s="138" t="s">
        <v>6</v>
      </c>
      <c r="I15" s="138" t="s">
        <v>7</v>
      </c>
      <c r="J15" s="138" t="s">
        <v>8</v>
      </c>
    </row>
    <row r="16" customFormat="false" ht="15" hidden="false" customHeight="true" outlineLevel="0" collapsed="false">
      <c r="A16" s="110" t="s">
        <v>469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575</v>
      </c>
      <c r="B17" s="7">
        <f>C17+D17+E17+F17+G17+H17+I17+J17</f>
        <v>-1500039</v>
      </c>
      <c r="C17" s="65" t="n">
        <f aca="false">SUM(C100:K100)</f>
        <v>0</v>
      </c>
      <c r="D17" s="65">
        <f>SUM(L100:W100)</f>
        <v>-202088</v>
      </c>
      <c r="E17" s="65">
        <f>SUM(X100:AI100)</f>
        <v>-397927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576</v>
      </c>
      <c r="B18" s="7">
        <f>C18+D18+E18+F18+G18+H18+I18+J18</f>
        <v>-456000</v>
      </c>
      <c r="C18" s="65" t="n">
        <f aca="false">SUM(C101:K101)</f>
        <v>0</v>
      </c>
      <c r="D18" s="65">
        <f>SUM(L101:W101)</f>
        <v>-114000</v>
      </c>
      <c r="E18" s="65">
        <f>SUM(X101:AI101)</f>
        <v>-114000</v>
      </c>
      <c r="F18" s="65">
        <f>SUM(AJ101:AU101)</f>
        <v>-114000</v>
      </c>
      <c r="G18" s="65">
        <f>SUM(AV101:BG101)</f>
        <v>-114000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9" t="s">
        <v>577</v>
      </c>
      <c r="B19" s="140">
        <f>C19+D19+E19+F19+G19+H19+I19+J19</f>
        <v>7053626</v>
      </c>
      <c r="C19" s="140" t="n">
        <f aca="false">SUM(C102:K102)</f>
        <v>0</v>
      </c>
      <c r="D19" s="140">
        <f>SUM(L102:W102)</f>
        <v>768293.6599999999</v>
      </c>
      <c r="E19" s="140">
        <f>SUM(X102:AI102)</f>
        <v>3186090.3899999997</v>
      </c>
      <c r="F19" s="140">
        <f>SUM(AJ102:AU102)</f>
        <v>1863287.0100000002</v>
      </c>
      <c r="G19" s="140">
        <f>SUM(AV102:BG102)</f>
        <v>805320.4200000002</v>
      </c>
      <c r="H19" s="140" t="n">
        <f aca="false">SUM(BH102:BS102)</f>
        <v>430634.52</v>
      </c>
      <c r="I19" s="140" t="n">
        <f aca="false">SUM(BT102:CE102)</f>
        <v>0</v>
      </c>
      <c r="J19" s="140" t="n">
        <f aca="false">SUM(CF102:CH102)</f>
        <v>0</v>
      </c>
    </row>
    <row r="20" customFormat="false" ht="15" hidden="false" customHeight="true" outlineLevel="0" collapsed="false">
      <c r="A20" s="110" t="s">
        <v>578</v>
      </c>
      <c r="B20" s="7">
        <f>C20+D20+E20+F20+G20+H20+I20+J20</f>
        <v>563192.617</v>
      </c>
      <c r="C20" s="65" t="n">
        <f aca="false">SUM(C103:K103)</f>
        <v>0</v>
      </c>
      <c r="D20" s="65">
        <f>SUM(L103:W103)</f>
        <v>93581.82</v>
      </c>
      <c r="E20" s="65">
        <f>SUM(X103:AI103)</f>
        <v>150000</v>
      </c>
      <c r="F20" s="65">
        <f>SUM(AJ103:AU103)</f>
        <v>148450.302</v>
      </c>
      <c r="G20" s="65" t="n">
        <f aca="false">SUM(AV103:BG103)</f>
        <v>136933.242</v>
      </c>
      <c r="H20" s="65">
        <f>SUM(BH103:BS103)</f>
        <v>34227.253000000004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9" t="s">
        <v>579</v>
      </c>
      <c r="B21" s="140">
        <f>C21+D21+E21+F21+G21+H21+I21+J21</f>
        <v>6490433.382999999</v>
      </c>
      <c r="C21" s="140" t="n">
        <f aca="false">SUM(C104:K104)</f>
        <v>0</v>
      </c>
      <c r="D21" s="140">
        <f>SUM(L104:W104)</f>
        <v>674711.8399999999</v>
      </c>
      <c r="E21" s="140">
        <f>SUM(X104:AI104)</f>
        <v>3036090.3899999997</v>
      </c>
      <c r="F21" s="140">
        <f>SUM(AJ104:AU104)</f>
        <v>1714836.708</v>
      </c>
      <c r="G21" s="140">
        <f>SUM(AV104:BG104)</f>
        <v>668387.178</v>
      </c>
      <c r="H21" s="140">
        <f>SUM(BH104:BS104)</f>
        <v>396407.267</v>
      </c>
      <c r="I21" s="140" t="n">
        <f aca="false">SUM(BT104:CE104)</f>
        <v>0</v>
      </c>
      <c r="J21" s="140" t="n">
        <f aca="false">SUM(CF104:CH104)</f>
        <v>0</v>
      </c>
    </row>
    <row r="22" customFormat="false" ht="15" hidden="false" customHeight="true" outlineLevel="0" collapsed="false">
      <c r="A22" s="110" t="inlineStr">
        <is>
          <t>Schuyler Bonus (40/45/50%)</t>
        </is>
      </c>
      <c r="B22" s="7">
        <f>C22+D22+E22+F22+G22+H22+I22+J22</f>
        <v>2951665.926</v>
      </c>
      <c r="C22" s="65" t="n">
        <f aca="false">SUM(C105:K105)</f>
        <v>0</v>
      </c>
      <c r="D22" s="65">
        <f>SUM(L105:W105)</f>
        <v>269884.73600000003</v>
      </c>
      <c r="E22" s="65">
        <f>SUM(X105:AI105)</f>
        <v>1335772.7319999998</v>
      </c>
      <c r="F22" s="65">
        <f>SUM(AJ105:AU105)</f>
        <v>813611.2355</v>
      </c>
      <c r="G22" s="65">
        <f>SUM(AV105:BG105)</f>
        <v>334193.589</v>
      </c>
      <c r="H22" s="65">
        <f>SUM(BH105:BS105)</f>
        <v>198203.6335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581</v>
      </c>
      <c r="B23" s="7">
        <f>C23+D23+E23+F23+G23+H23+I23+J23</f>
        <v>3538767.4570000004</v>
      </c>
      <c r="C23" s="65" t="n">
        <f aca="false">SUM(C106:K106)</f>
        <v>0</v>
      </c>
      <c r="D23" s="65">
        <f>SUM(L106:W106)</f>
        <v>404827.10399999993</v>
      </c>
      <c r="E23" s="65">
        <f>SUM(X106:AI106)</f>
        <v>1700317.658</v>
      </c>
      <c r="F23" s="65">
        <f>SUM(AJ106:AU106)</f>
        <v>901225.4724999999</v>
      </c>
      <c r="G23" s="65">
        <f>SUM(AV106:BG106)</f>
        <v>334193.589</v>
      </c>
      <c r="H23" s="65">
        <f>SUM(BH106:BS106)</f>
        <v>198203.6335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41" t="s">
        <v>582</v>
      </c>
      <c r="B24" s="142">
        <f>C24+D24+E24+F24+G24+H24+I24+J24</f>
        <v>4101960.074</v>
      </c>
      <c r="C24" s="142" t="n">
        <f aca="false">SUM(C107:K107)</f>
        <v>0</v>
      </c>
      <c r="D24" s="142">
        <f>SUM(L107:W107)</f>
        <v>498408.924</v>
      </c>
      <c r="E24" s="142">
        <f>SUM(X107:AI107)</f>
        <v>1850317.658</v>
      </c>
      <c r="F24" s="142">
        <f>SUM(AJ107:AU107)</f>
        <v>1049675.7745</v>
      </c>
      <c r="G24" s="142">
        <f>SUM(AV107:BG107)</f>
        <v>471126.831</v>
      </c>
      <c r="H24" s="142">
        <f>SUM(BH107:BS107)</f>
        <v>232430.88650000002</v>
      </c>
      <c r="I24" s="142" t="n">
        <f aca="false">SUM(BT107:CE107)</f>
        <v>0</v>
      </c>
      <c r="J24" s="142" t="n">
        <f aca="false">SUM(CF107:CH107)</f>
        <v>0</v>
      </c>
    </row>
    <row r="26" customFormat="false" ht="15" hidden="false" customHeight="true" outlineLevel="0" collapsed="false">
      <c r="A26" s="143" t="s">
        <v>583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</row>
    <row r="27" customFormat="false" ht="15" hidden="false" customHeight="true" outlineLevel="0" collapsed="false">
      <c r="A27" s="144" t="s">
        <v>584</v>
      </c>
      <c r="B27" s="144" t="s">
        <v>585</v>
      </c>
      <c r="C27" s="144" t="s">
        <v>586</v>
      </c>
      <c r="D27" s="144" t="s">
        <v>571</v>
      </c>
      <c r="E27" s="144" t="s">
        <v>587</v>
      </c>
    </row>
    <row r="28" customFormat="false" ht="15" hidden="false" customHeight="true" outlineLevel="0" collapsed="false">
      <c r="A28" s="110" t="s">
        <v>588</v>
      </c>
      <c r="B28" s="136" t="n">
        <v>6</v>
      </c>
      <c r="C28" s="110" t="s">
        <v>589</v>
      </c>
      <c r="D28" s="65" t="n">
        <v>1400000</v>
      </c>
      <c r="E28" s="145" t="s">
        <v>590</v>
      </c>
    </row>
    <row r="29" customFormat="false" ht="15" hidden="false" customHeight="true" outlineLevel="0" collapsed="false">
      <c r="A29" s="110" t="s">
        <v>591</v>
      </c>
      <c r="B29" s="136" t="n">
        <v>18</v>
      </c>
      <c r="C29" s="110" t="s">
        <v>592</v>
      </c>
      <c r="D29" s="65" t="n">
        <v>1400000</v>
      </c>
      <c r="E29" s="145" t="s">
        <v>593</v>
      </c>
    </row>
    <row r="30" customFormat="false" ht="15" hidden="false" customHeight="true" outlineLevel="0" collapsed="false">
      <c r="A30" s="110" t="s">
        <v>594</v>
      </c>
      <c r="B30" s="136" t="n">
        <v>18</v>
      </c>
      <c r="C30" s="110" t="s">
        <v>595</v>
      </c>
      <c r="D30" s="65" t="n">
        <v>1400000</v>
      </c>
      <c r="E30" s="145" t="s">
        <v>596</v>
      </c>
    </row>
    <row r="31" customFormat="false" ht="15" hidden="false" customHeight="true" outlineLevel="0" collapsed="false">
      <c r="A31" s="110" t="s">
        <v>597</v>
      </c>
      <c r="B31" s="136" t="n">
        <v>18</v>
      </c>
      <c r="C31" s="110" t="s">
        <v>598</v>
      </c>
      <c r="D31" s="65" t="n">
        <v>1400000</v>
      </c>
      <c r="E31" s="145" t="s">
        <v>599</v>
      </c>
    </row>
    <row r="32" customFormat="false" ht="15" hidden="false" customHeight="true" outlineLevel="0" collapsed="false">
      <c r="A32" s="144" t="s">
        <v>318</v>
      </c>
      <c r="B32" s="146" t="n">
        <v>60</v>
      </c>
      <c r="C32" s="144" t="s">
        <v>600</v>
      </c>
      <c r="D32" s="147" t="n">
        <v>1400000</v>
      </c>
    </row>
    <row r="34" customFormat="false" ht="15" hidden="false" customHeight="true" outlineLevel="0" collapsed="false">
      <c r="A34" s="148" t="s">
        <v>601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</row>
    <row r="35" customFormat="false" ht="15" hidden="false" customHeight="true" outlineLevel="0" collapsed="false">
      <c r="A35" s="149" t="s">
        <v>602</v>
      </c>
      <c r="B35" s="149" t="s">
        <v>603</v>
      </c>
      <c r="C35" s="149" t="s">
        <v>604</v>
      </c>
      <c r="D35" s="149" t="s">
        <v>605</v>
      </c>
      <c r="E35" s="149" t="s">
        <v>606</v>
      </c>
      <c r="F35" s="149" t="s">
        <v>236</v>
      </c>
    </row>
    <row r="36" customFormat="false" ht="15" hidden="false" customHeight="true" outlineLevel="0" collapsed="false">
      <c r="A36" s="110" t="s">
        <v>607</v>
      </c>
      <c r="B36" s="110" t="s">
        <v>608</v>
      </c>
      <c r="C36" s="110" t="s">
        <v>609</v>
      </c>
      <c r="D36" s="65" t="n">
        <v>14000</v>
      </c>
      <c r="E36" s="65" t="n">
        <v>840000</v>
      </c>
      <c r="F36" s="150" t="s">
        <v>610</v>
      </c>
    </row>
    <row r="37" customFormat="false" ht="15" hidden="false" customHeight="true" outlineLevel="0" collapsed="false">
      <c r="A37" s="110" t="s">
        <v>611</v>
      </c>
      <c r="B37" s="110" t="s">
        <v>612</v>
      </c>
      <c r="C37" s="110" t="s">
        <v>613</v>
      </c>
      <c r="D37" s="65" t="n">
        <v>96563</v>
      </c>
      <c r="E37" s="65" t="n">
        <v>5793808</v>
      </c>
      <c r="F37" s="150" t="s">
        <v>614</v>
      </c>
    </row>
    <row r="38" customFormat="false" ht="15" hidden="false" customHeight="true" outlineLevel="0" collapsed="false">
      <c r="A38" s="110" t="s">
        <v>615</v>
      </c>
      <c r="B38" s="110" t="s">
        <v>616</v>
      </c>
      <c r="C38" s="110" t="s">
        <v>617</v>
      </c>
      <c r="D38" s="65" t="n">
        <v>5400</v>
      </c>
      <c r="E38" s="65" t="n">
        <v>324000</v>
      </c>
      <c r="F38" s="150" t="s">
        <v>618</v>
      </c>
    </row>
    <row r="39" customFormat="false" ht="15" hidden="false" customHeight="true" outlineLevel="0" collapsed="false">
      <c r="A39" s="110" t="s">
        <v>619</v>
      </c>
      <c r="B39" s="110" t="s">
        <v>608</v>
      </c>
      <c r="C39" s="110" t="s">
        <v>620</v>
      </c>
      <c r="D39" s="65" t="n">
        <v>34198</v>
      </c>
      <c r="E39" s="65" t="n">
        <v>2051858</v>
      </c>
      <c r="F39" s="150" t="s">
        <v>621</v>
      </c>
    </row>
    <row r="40" customFormat="false" ht="15" hidden="false" customHeight="true" outlineLevel="0" collapsed="false">
      <c r="A40" s="149" t="s">
        <v>469</v>
      </c>
      <c r="D40" s="151" t="n">
        <v>150161</v>
      </c>
      <c r="E40" s="151" t="n">
        <v>9009665</v>
      </c>
    </row>
    <row r="42" customFormat="false" ht="15" hidden="false" customHeight="true" outlineLevel="0" collapsed="false">
      <c r="A42" s="152" t="s">
        <v>622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</row>
    <row r="43" customFormat="false" ht="15" hidden="false" customHeight="true" outlineLevel="0" collapsed="false">
      <c r="A43" s="153" t="s">
        <v>475</v>
      </c>
      <c r="B43" s="153" t="s">
        <v>623</v>
      </c>
      <c r="C43" s="153" t="s">
        <v>624</v>
      </c>
      <c r="D43" s="153" t="s">
        <v>625</v>
      </c>
      <c r="E43" s="153" t="s">
        <v>626</v>
      </c>
      <c r="F43" s="153" t="s">
        <v>627</v>
      </c>
      <c r="G43" s="153" t="s">
        <v>628</v>
      </c>
    </row>
    <row r="44" customFormat="false" ht="15" hidden="false" customHeight="true" outlineLevel="0" collapsed="false">
      <c r="A44" s="110" t="inlineStr">
        <is>
          <t>Project Manager 1</t>
        </is>
      </c>
      <c r="B44" s="65">
        <v>125000</v>
      </c>
      <c r="C44" s="65">
        <v>10417</v>
      </c>
      <c r="D44" s="110" t="inlineStr">
        <is>
          <t>Mo 11</t>
        </is>
      </c>
      <c r="E44" s="110" t="s">
        <v>630</v>
      </c>
      <c r="F44" s="110">
        <v>47</v>
      </c>
      <c r="G44" s="65">
        <f>C44*F44</f>
        <v>489599</v>
      </c>
    </row>
    <row r="45" customFormat="false" ht="15" hidden="false" customHeight="true" outlineLevel="0" collapsed="false">
      <c r="A45" s="110" t="s">
        <v>631</v>
      </c>
      <c r="B45" s="65" t="n">
        <v>90000</v>
      </c>
      <c r="C45" s="65" t="n">
        <v>7500</v>
      </c>
      <c r="D45" s="110" t="inlineStr">
        <is>
          <t>Mo 14</t>
        </is>
      </c>
      <c r="E45" s="110" t="s">
        <v>630</v>
      </c>
      <c r="F45" s="110">
        <v>44</v>
      </c>
      <c r="G45" s="65">
        <f>C45*F45</f>
        <v>330000</v>
      </c>
    </row>
    <row r="46" customFormat="false" ht="15" hidden="false" customHeight="true" outlineLevel="0" collapsed="false">
      <c r="A46" s="110" t="inlineStr">
        <is>
          <t>Accountant</t>
        </is>
      </c>
      <c r="B46" s="65">
        <v>110000</v>
      </c>
      <c r="C46" s="65">
        <v>9167</v>
      </c>
      <c r="D46" s="110" t="inlineStr">
        <is>
          <t>Mo 19</t>
        </is>
      </c>
      <c r="E46" s="110" t="s">
        <v>630</v>
      </c>
      <c r="F46" s="110">
        <v>39</v>
      </c>
      <c r="G46" s="65">
        <f>C46*F46</f>
        <v>357513</v>
      </c>
    </row>
    <row r="47" customFormat="false" ht="15" hidden="false" customHeight="true" outlineLevel="0" collapsed="false">
      <c r="A47" s="110" t="s">
        <v>633</v>
      </c>
      <c r="B47" s="65" t="n">
        <v>125000</v>
      </c>
      <c r="C47" s="65" t="n">
        <v>10417</v>
      </c>
      <c r="D47" s="110" t="inlineStr">
        <is>
          <t>Mo 27</t>
        </is>
      </c>
      <c r="E47" s="110" t="s">
        <v>630</v>
      </c>
      <c r="F47" s="110">
        <v>31</v>
      </c>
      <c r="G47" s="65">
        <f>C47*F47</f>
        <v>322927</v>
      </c>
    </row>
    <row r="48" customFormat="false" ht="15" hidden="false" customHeight="true" outlineLevel="0" collapsed="false">
      <c r="A48" s="153" t="s">
        <v>634</v>
      </c>
      <c r="G48" s="154">
        <f>SUM(G44:G47)</f>
        <v>1500039</v>
      </c>
    </row>
    <row r="50" customFormat="false" ht="15" hidden="false" customHeight="true" outlineLevel="0" collapsed="false">
      <c r="A50" s="155" t="s">
        <v>635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5"/>
    </row>
    <row r="51" customFormat="false" ht="15" hidden="false" customHeight="true" outlineLevel="0" collapsed="false">
      <c r="A51" s="156" t="s">
        <v>636</v>
      </c>
      <c r="B51" s="156" t="s">
        <v>637</v>
      </c>
      <c r="C51" s="156" t="s">
        <v>624</v>
      </c>
      <c r="D51" s="156" t="s">
        <v>638</v>
      </c>
      <c r="E51" s="156" t="s">
        <v>318</v>
      </c>
    </row>
    <row r="52" customFormat="false" ht="15" hidden="false" customHeight="true" outlineLevel="0" collapsed="false">
      <c r="A52" s="110" t="s">
        <v>639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115</v>
      </c>
      <c r="B53" s="65">
        <v>20000</v>
      </c>
      <c r="C53" s="65">
        <v>1667</v>
      </c>
      <c r="D53" s="110" t="n">
        <v>4</v>
      </c>
      <c r="E53" s="65">
        <v>80000</v>
      </c>
    </row>
    <row r="54" customFormat="false" ht="15" hidden="false" customHeight="true" outlineLevel="0" collapsed="false">
      <c r="A54" s="110" t="s">
        <v>640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641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6" t="s">
        <v>642</v>
      </c>
      <c r="E56" s="157">
        <v>456000</v>
      </c>
    </row>
    <row r="57" customFormat="false" ht="15" hidden="false" customHeight="true" outlineLevel="0" collapsed="false">
      <c r="A57" s="158" t="s">
        <v>643</v>
      </c>
    </row>
    <row r="59" customFormat="false" ht="15" hidden="false" customHeight="true" outlineLevel="0" collapsed="false">
      <c r="A59" s="159" t="s">
        <v>644</v>
      </c>
      <c r="B59" s="159"/>
      <c r="C59" s="159"/>
      <c r="D59" s="159"/>
      <c r="E59" s="159"/>
      <c r="F59" s="159"/>
      <c r="G59" s="159"/>
      <c r="H59" s="159"/>
      <c r="I59" s="159"/>
      <c r="J59" s="159"/>
      <c r="K59" s="159"/>
    </row>
    <row r="60" customFormat="false" ht="15" hidden="false" customHeight="true" outlineLevel="0" collapsed="false">
      <c r="A60" s="110" t="s">
        <v>645</v>
      </c>
      <c r="B60" s="65">
        <f>B16</f>
        <v>9009665</v>
      </c>
    </row>
    <row r="61" customFormat="false" ht="15" hidden="false" customHeight="true" outlineLevel="0" collapsed="false">
      <c r="A61" s="110" t="s">
        <v>575</v>
      </c>
      <c r="B61" s="65">
        <f>B17</f>
        <v>-1500039</v>
      </c>
    </row>
    <row r="62" customFormat="false" ht="15" hidden="false" customHeight="true" outlineLevel="0" collapsed="false">
      <c r="A62" s="110" t="s">
        <v>576</v>
      </c>
      <c r="B62" s="65">
        <f>B18</f>
        <v>-456000</v>
      </c>
    </row>
    <row r="63" customFormat="false" ht="15" hidden="false" customHeight="true" outlineLevel="0" collapsed="false">
      <c r="A63" s="144" t="s">
        <v>577</v>
      </c>
      <c r="B63" s="147">
        <f>B60+B61+B62</f>
        <v>7053626</v>
      </c>
    </row>
    <row r="64" customFormat="false" ht="15" hidden="false" customHeight="true" outlineLevel="0" collapsed="false">
      <c r="A64" s="110" t="inlineStr">
        <is>
          <t>SP Overhead (10% Revenue, max $150K/yr)</t>
        </is>
      </c>
      <c r="B64" s="65">
        <f>-B20</f>
        <v>-563192.617</v>
      </c>
    </row>
    <row r="65" customFormat="false" ht="15" hidden="false" customHeight="true" outlineLevel="0" collapsed="false">
      <c r="A65" s="144" t="s">
        <v>579</v>
      </c>
      <c r="B65" s="147">
        <f>B63+B64</f>
        <v>6490433.383</v>
      </c>
    </row>
    <row r="66" customFormat="false" ht="15" hidden="false" customHeight="true" outlineLevel="0" collapsed="false">
      <c r="A66" s="110" t="inlineStr">
        <is>
          <t>Schuyler Bonus (40/45/50% tiered)</t>
        </is>
      </c>
      <c r="B66" s="65">
        <f>-B22</f>
        <v>-2951665.926</v>
      </c>
    </row>
    <row r="67" customFormat="false" ht="15" hidden="false" customHeight="true" outlineLevel="0" collapsed="false">
      <c r="A67" s="144" t="s">
        <v>581</v>
      </c>
      <c r="B67" s="147">
        <f>B65+B66</f>
        <v>3538767.4570000004</v>
      </c>
    </row>
    <row r="68" customFormat="false" ht="15" hidden="false" customHeight="true" outlineLevel="0" collapsed="false">
      <c r="A68" s="110" t="s">
        <v>578</v>
      </c>
      <c r="B68" s="65">
        <f>B20</f>
        <v>563192.617</v>
      </c>
    </row>
    <row r="69" customFormat="false" ht="15" hidden="false" customHeight="true" outlineLevel="0" collapsed="false">
      <c r="A69" s="144" t="s">
        <v>582</v>
      </c>
      <c r="B69" s="147">
        <f>B67+B68</f>
        <v>4101960.0740000005</v>
      </c>
    </row>
    <row r="71" customFormat="false" ht="15" hidden="false" customHeight="true" outlineLevel="0" collapsed="false">
      <c r="A71" s="148" t="s">
        <v>648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</row>
    <row r="72" customFormat="false" ht="15" hidden="false" customHeight="true" outlineLevel="0" collapsed="false">
      <c r="A72" s="149" t="s">
        <v>474</v>
      </c>
      <c r="B72" s="149" t="s">
        <v>475</v>
      </c>
      <c r="C72" s="149" t="s">
        <v>649</v>
      </c>
    </row>
    <row r="73" customFormat="false" ht="31.5" hidden="false" customHeight="true" outlineLevel="0" collapsed="false">
      <c r="A73" s="6" t="s">
        <v>524</v>
      </c>
      <c r="B73" s="110" t="s">
        <v>650</v>
      </c>
      <c r="C73" s="160" t="s">
        <v>651</v>
      </c>
      <c r="D73" s="160"/>
      <c r="E73" s="160"/>
      <c r="F73" s="160"/>
      <c r="G73" s="160"/>
    </row>
    <row r="74" customFormat="false" ht="31.5" hidden="false" customHeight="true" outlineLevel="0" collapsed="false">
      <c r="A74" s="6" t="s">
        <v>517</v>
      </c>
      <c r="B74" s="110" t="s">
        <v>652</v>
      </c>
      <c r="C74" s="160" t="s">
        <v>653</v>
      </c>
      <c r="D74" s="160"/>
      <c r="E74" s="160"/>
      <c r="F74" s="160"/>
      <c r="G74" s="160"/>
    </row>
    <row r="75" customFormat="false" ht="31.5" hidden="false" customHeight="true" outlineLevel="0" collapsed="false">
      <c r="A75" s="6" t="s">
        <v>526</v>
      </c>
      <c r="B75" s="110" t="s">
        <v>654</v>
      </c>
      <c r="C75" s="160" t="s">
        <v>655</v>
      </c>
      <c r="D75" s="160"/>
      <c r="E75" s="160"/>
      <c r="F75" s="160"/>
      <c r="G75" s="160"/>
    </row>
    <row r="76" customFormat="false" ht="31.5" hidden="false" customHeight="true" outlineLevel="0" collapsed="false">
      <c r="A76" s="6" t="s">
        <v>530</v>
      </c>
      <c r="B76" s="110" t="s">
        <v>656</v>
      </c>
      <c r="C76" s="160" t="s">
        <v>657</v>
      </c>
      <c r="D76" s="160"/>
      <c r="E76" s="160"/>
      <c r="F76" s="160"/>
      <c r="G76" s="160"/>
    </row>
    <row r="77" customFormat="false" ht="31.5" hidden="false" customHeight="true" outlineLevel="0" collapsed="false">
      <c r="A77" s="6" t="s">
        <v>528</v>
      </c>
      <c r="B77" s="110" t="s">
        <v>656</v>
      </c>
      <c r="C77" s="160" t="s">
        <v>658</v>
      </c>
      <c r="D77" s="160"/>
      <c r="E77" s="160"/>
      <c r="F77" s="160"/>
      <c r="G77" s="160"/>
    </row>
    <row r="78" customFormat="false" ht="31.5" hidden="false" customHeight="true" outlineLevel="0" collapsed="false">
      <c r="A78" s="6" t="s">
        <v>522</v>
      </c>
      <c r="B78" s="110" t="s">
        <v>659</v>
      </c>
      <c r="C78" s="160" t="s">
        <v>660</v>
      </c>
      <c r="D78" s="160"/>
      <c r="E78" s="160"/>
      <c r="F78" s="160"/>
      <c r="G78" s="160"/>
    </row>
    <row r="80" customFormat="false" ht="15" hidden="false" customHeight="true" outlineLevel="0" collapsed="false">
      <c r="A80" s="161" t="s">
        <v>661</v>
      </c>
      <c r="B80" s="161"/>
      <c r="C80" s="161"/>
      <c r="D80" s="161"/>
      <c r="E80" s="161"/>
      <c r="F80" s="161"/>
      <c r="G80" s="161"/>
      <c r="H80" s="161"/>
      <c r="I80" s="161"/>
      <c r="J80" s="161"/>
      <c r="K80" s="161"/>
    </row>
    <row r="81" customFormat="false" ht="27.75" hidden="false" customHeight="true" outlineLevel="0" collapsed="false">
      <c r="A81" s="6" t="s">
        <v>662</v>
      </c>
      <c r="B81" s="160" t="s">
        <v>663</v>
      </c>
      <c r="C81" s="160"/>
      <c r="D81" s="160"/>
      <c r="E81" s="160"/>
      <c r="F81" s="160"/>
      <c r="G81" s="160"/>
    </row>
    <row r="82" customFormat="false" ht="27.75" hidden="false" customHeight="true" outlineLevel="0" collapsed="false">
      <c r="A82" s="6" t="s">
        <v>664</v>
      </c>
      <c r="B82" s="160" t="s">
        <v>665</v>
      </c>
      <c r="C82" s="160"/>
      <c r="D82" s="160"/>
      <c r="E82" s="160"/>
      <c r="F82" s="160"/>
      <c r="G82" s="160"/>
    </row>
    <row r="83" customFormat="false" ht="27.75" hidden="false" customHeight="true" outlineLevel="0" collapsed="false">
      <c r="A83" s="6" t="s">
        <v>666</v>
      </c>
      <c r="B83" s="160" t="s">
        <v>667</v>
      </c>
      <c r="C83" s="160"/>
      <c r="D83" s="160"/>
      <c r="E83" s="160"/>
      <c r="F83" s="160"/>
      <c r="G83" s="160"/>
    </row>
    <row r="84" customFormat="false" ht="27.75" hidden="false" customHeight="true" outlineLevel="0" collapsed="false">
      <c r="A84" s="6" t="s">
        <v>668</v>
      </c>
      <c r="B84" s="160" t="s">
        <v>669</v>
      </c>
      <c r="C84" s="160"/>
      <c r="D84" s="160"/>
      <c r="E84" s="160"/>
      <c r="F84" s="160"/>
      <c r="G84" s="160"/>
    </row>
    <row r="85" customFormat="false" ht="27.75" hidden="false" customHeight="true" outlineLevel="0" collapsed="false">
      <c r="A85" s="6" t="s">
        <v>670</v>
      </c>
      <c r="B85" s="160" t="inlineStr">
        <is>
          <t>SP Overhead is 10% of all fee revenue, capped at $150,000 per year, retained by Six Peak.</t>
        </is>
      </c>
      <c r="C85" s="160"/>
      <c r="D85" s="160"/>
      <c r="E85" s="160"/>
      <c r="F85" s="160"/>
      <c r="G85" s="160"/>
    </row>
    <row r="86" customFormat="false" ht="27.75" hidden="false" customHeight="true" outlineLevel="0" collapsed="false">
      <c r="A86" s="6" t="s">
        <v>672</v>
      </c>
      <c r="B86" s="160" t="inlineStr">
        <is>
          <t>Schuyler bonus: 40% on first 20 deals (Mo 10-24), 45% on next 20 (Mo 25-37), 50% on final 20 (Mo 38+). Paid on positive months only.</t>
        </is>
      </c>
      <c r="C86" s="160"/>
      <c r="D86" s="160"/>
      <c r="E86" s="160"/>
      <c r="F86" s="160"/>
      <c r="G86" s="160"/>
    </row>
    <row r="87" customFormat="false" ht="27.75" hidden="false" customHeight="true" outlineLevel="0" collapsed="false">
      <c r="A87" s="6" t="s">
        <v>674</v>
      </c>
      <c r="B87" s="160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60"/>
      <c r="D87" s="160"/>
      <c r="E87" s="160"/>
      <c r="F87" s="160"/>
      <c r="G87" s="160"/>
    </row>
    <row r="88" customFormat="false" ht="27.75" hidden="false" customHeight="true" outlineLevel="0" collapsed="false">
      <c r="A88" s="6" t="s">
        <v>676</v>
      </c>
      <c r="B88" s="160" t="inlineStr">
        <is>
          <t>Other OpEx: Acctg/Audit/Tax ($40K/yr), Insurance ($20K/yr), Office ($2,500/mo), Computer ($24K/yr).</t>
        </is>
      </c>
      <c r="C88" s="160"/>
      <c r="D88" s="160"/>
      <c r="E88" s="160"/>
      <c r="F88" s="160"/>
      <c r="G88" s="160"/>
    </row>
    <row r="89" customFormat="false" ht="27.75" hidden="false" customHeight="true" outlineLevel="0" collapsed="false">
      <c r="A89" s="6" t="s">
        <v>678</v>
      </c>
      <c r="B89" s="160" t="s">
        <v>679</v>
      </c>
      <c r="C89" s="160"/>
      <c r="D89" s="160"/>
      <c r="E89" s="160"/>
      <c r="F89" s="160"/>
      <c r="G89" s="160"/>
    </row>
    <row r="90" customFormat="false" ht="27.75" hidden="false" customHeight="true" outlineLevel="0" collapsed="false">
      <c r="A90" s="6" t="s">
        <v>680</v>
      </c>
      <c r="B90" s="160" t="s">
        <v>681</v>
      </c>
      <c r="C90" s="160"/>
      <c r="D90" s="160"/>
      <c r="E90" s="160"/>
      <c r="F90" s="160"/>
      <c r="G90" s="160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3" t="s">
        <v>682</v>
      </c>
      <c r="B93" s="143"/>
      <c r="C93" s="143"/>
      <c r="D93" s="143"/>
      <c r="E93" s="143"/>
      <c r="F93" s="143"/>
      <c r="G93" s="143"/>
      <c r="H93" s="143"/>
      <c r="I93" s="143"/>
      <c r="J93" s="143"/>
      <c r="K93" s="143"/>
    </row>
    <row r="94" customFormat="false" ht="15" hidden="false" customHeight="true" outlineLevel="0" collapsed="false">
      <c r="A94" s="110" t="s">
        <v>683</v>
      </c>
      <c r="B94" s="162" t="n">
        <v>0.1</v>
      </c>
    </row>
    <row r="95" customFormat="false" ht="15" hidden="false" customHeight="true" outlineLevel="0" collapsed="false">
      <c r="A95" s="110" t="inlineStr">
        <is>
          <t>SP Overhead Annual Cap</t>
        </is>
      </c>
      <c r="B95" s="162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3" t="s">
        <v>685</v>
      </c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</row>
    <row r="98" customFormat="false" ht="15" hidden="false" customHeight="true" outlineLevel="0" collapsed="false">
      <c r="A98" s="164"/>
      <c r="C98" s="166" t="n">
        <v>1</v>
      </c>
      <c r="D98" s="166" t="n">
        <v>2</v>
      </c>
      <c r="E98" s="166" t="n">
        <v>3</v>
      </c>
      <c r="F98" s="166" t="n">
        <v>4</v>
      </c>
      <c r="G98" s="166" t="n">
        <v>5</v>
      </c>
      <c r="H98" s="166" t="n">
        <v>6</v>
      </c>
      <c r="I98" s="166" t="n">
        <v>7</v>
      </c>
      <c r="J98" s="166" t="n">
        <v>8</v>
      </c>
      <c r="K98" s="166" t="n">
        <v>9</v>
      </c>
      <c r="L98" s="166" t="n">
        <v>10</v>
      </c>
      <c r="M98" s="166" t="n">
        <v>11</v>
      </c>
      <c r="N98" s="166" t="n">
        <v>12</v>
      </c>
      <c r="O98" s="166" t="n">
        <v>13</v>
      </c>
      <c r="P98" s="166" t="n">
        <v>14</v>
      </c>
      <c r="Q98" s="166" t="n">
        <v>15</v>
      </c>
      <c r="R98" s="166" t="n">
        <v>16</v>
      </c>
      <c r="S98" s="166" t="n">
        <v>17</v>
      </c>
      <c r="T98" s="166" t="n">
        <v>18</v>
      </c>
      <c r="U98" s="166" t="n">
        <v>19</v>
      </c>
      <c r="V98" s="166" t="n">
        <v>20</v>
      </c>
      <c r="W98" s="166" t="n">
        <v>21</v>
      </c>
      <c r="X98" s="166" t="n">
        <v>22</v>
      </c>
      <c r="Y98" s="166" t="n">
        <v>23</v>
      </c>
      <c r="Z98" s="166" t="n">
        <v>24</v>
      </c>
      <c r="AA98" s="166" t="n">
        <v>25</v>
      </c>
      <c r="AB98" s="166" t="n">
        <v>26</v>
      </c>
      <c r="AC98" s="166" t="n">
        <v>27</v>
      </c>
      <c r="AD98" s="166" t="n">
        <v>28</v>
      </c>
      <c r="AE98" s="166" t="n">
        <v>29</v>
      </c>
      <c r="AF98" s="166" t="n">
        <v>30</v>
      </c>
      <c r="AG98" s="166" t="n">
        <v>31</v>
      </c>
      <c r="AH98" s="166" t="n">
        <v>32</v>
      </c>
      <c r="AI98" s="166" t="n">
        <v>33</v>
      </c>
      <c r="AJ98" s="166" t="n">
        <v>34</v>
      </c>
      <c r="AK98" s="166" t="n">
        <v>35</v>
      </c>
      <c r="AL98" s="166" t="n">
        <v>36</v>
      </c>
      <c r="AM98" s="166" t="n">
        <v>37</v>
      </c>
      <c r="AN98" s="166" t="n">
        <v>38</v>
      </c>
      <c r="AO98" s="166" t="n">
        <v>39</v>
      </c>
      <c r="AP98" s="166" t="n">
        <v>40</v>
      </c>
      <c r="AQ98" s="166" t="n">
        <v>41</v>
      </c>
      <c r="AR98" s="166" t="n">
        <v>42</v>
      </c>
      <c r="AS98" s="166" t="n">
        <v>43</v>
      </c>
      <c r="AT98" s="166" t="n">
        <v>44</v>
      </c>
      <c r="AU98" s="166" t="n">
        <v>45</v>
      </c>
      <c r="AV98" s="166" t="n">
        <v>46</v>
      </c>
      <c r="AW98" s="166" t="n">
        <v>47</v>
      </c>
      <c r="AX98" s="166" t="n">
        <v>48</v>
      </c>
      <c r="AY98" s="166" t="n">
        <v>49</v>
      </c>
      <c r="AZ98" s="166" t="n">
        <v>50</v>
      </c>
      <c r="BA98" s="166" t="n">
        <v>51</v>
      </c>
      <c r="BB98" s="166" t="n">
        <v>52</v>
      </c>
      <c r="BC98" s="166" t="n">
        <v>53</v>
      </c>
      <c r="BD98" s="166" t="n">
        <v>54</v>
      </c>
      <c r="BE98" s="166" t="n">
        <v>55</v>
      </c>
      <c r="BF98" s="166" t="n">
        <v>56</v>
      </c>
      <c r="BG98" s="166" t="n">
        <v>57</v>
      </c>
      <c r="BH98" s="166" t="n">
        <v>58</v>
      </c>
      <c r="BI98" s="166" t="n">
        <v>59</v>
      </c>
      <c r="BJ98" s="166" t="n">
        <v>60</v>
      </c>
      <c r="BK98" s="166" t="n">
        <v>61</v>
      </c>
      <c r="BL98" s="166" t="n">
        <v>62</v>
      </c>
      <c r="BM98" s="166" t="n">
        <v>63</v>
      </c>
      <c r="BN98" s="166" t="n">
        <v>64</v>
      </c>
      <c r="BO98" s="166" t="n">
        <v>65</v>
      </c>
      <c r="BP98" s="166" t="n">
        <v>66</v>
      </c>
      <c r="BQ98" s="166" t="n">
        <v>67</v>
      </c>
      <c r="BR98" s="166" t="n">
        <v>68</v>
      </c>
      <c r="BS98" s="166" t="n">
        <v>69</v>
      </c>
      <c r="BT98" s="166" t="n">
        <v>70</v>
      </c>
      <c r="BU98" s="166" t="n">
        <v>71</v>
      </c>
      <c r="BV98" s="166" t="n">
        <v>72</v>
      </c>
      <c r="BW98" s="166" t="n">
        <v>73</v>
      </c>
      <c r="BX98" s="166" t="n">
        <v>74</v>
      </c>
      <c r="BY98" s="166" t="n">
        <v>75</v>
      </c>
      <c r="BZ98" s="166" t="n">
        <v>76</v>
      </c>
      <c r="CA98" s="166" t="n">
        <v>77</v>
      </c>
      <c r="CB98" s="166" t="n">
        <v>78</v>
      </c>
      <c r="CC98" s="166" t="n">
        <v>79</v>
      </c>
      <c r="CD98" s="166" t="n">
        <v>80</v>
      </c>
      <c r="CE98" s="166" t="n">
        <v>81</v>
      </c>
      <c r="CF98" s="166" t="n">
        <v>82</v>
      </c>
      <c r="CG98" s="166" t="n">
        <v>83</v>
      </c>
      <c r="CH98" s="166" t="n">
        <v>84</v>
      </c>
    </row>
    <row r="99" customFormat="false" ht="15" hidden="false" customHeight="true" outlineLevel="0" collapsed="false">
      <c r="A99" s="166" t="s">
        <v>469</v>
      </c>
      <c r="B99" s="167" t="n">
        <f aca="false">SUM(C99:CH99)</f>
        <v>9009665</v>
      </c>
      <c r="C99" s="164"/>
      <c r="D99" s="164"/>
      <c r="E99" s="164"/>
      <c r="F99" s="164"/>
      <c r="G99" s="164"/>
      <c r="H99" s="164"/>
      <c r="I99" s="164"/>
      <c r="J99" s="164"/>
      <c r="K99" s="164"/>
      <c r="L99" s="168" t="n">
        <v>45050.36</v>
      </c>
      <c r="M99" s="168" t="n">
        <v>45050.36</v>
      </c>
      <c r="N99" s="168" t="n">
        <v>45050.36</v>
      </c>
      <c r="O99" s="168" t="n">
        <v>45050.36</v>
      </c>
      <c r="P99" s="168" t="n">
        <v>45050.36</v>
      </c>
      <c r="Q99" s="168" t="n">
        <v>45050.36</v>
      </c>
      <c r="R99" s="168" t="n">
        <v>70944.52</v>
      </c>
      <c r="S99" s="168" t="n">
        <v>96838.68</v>
      </c>
      <c r="T99" s="168" t="n">
        <v>122732.84</v>
      </c>
      <c r="U99" s="168" t="n">
        <v>148626.99</v>
      </c>
      <c r="V99" s="168" t="n">
        <v>174521.16</v>
      </c>
      <c r="W99" s="168" t="n">
        <v>200415.31</v>
      </c>
      <c r="X99" s="168" t="n">
        <v>226309.46</v>
      </c>
      <c r="Y99" s="168" t="n">
        <v>252203.62</v>
      </c>
      <c r="Z99" s="168" t="n">
        <v>278097.79</v>
      </c>
      <c r="AA99" s="168" t="n">
        <v>303991.94</v>
      </c>
      <c r="AB99" s="168" t="n">
        <v>329886.11</v>
      </c>
      <c r="AC99" s="168" t="n">
        <v>400830.61</v>
      </c>
      <c r="AD99" s="168" t="n">
        <v>311512.01</v>
      </c>
      <c r="AE99" s="168" t="n">
        <v>312294.13</v>
      </c>
      <c r="AF99" s="168" t="n">
        <v>313076.23</v>
      </c>
      <c r="AG99" s="168" t="n">
        <v>313858.34</v>
      </c>
      <c r="AH99" s="168" t="n">
        <v>314640.44</v>
      </c>
      <c r="AI99" s="168" t="n">
        <v>341316.71</v>
      </c>
      <c r="AJ99" s="168" t="n">
        <v>316204.67</v>
      </c>
      <c r="AK99" s="168" t="n">
        <v>291092.62</v>
      </c>
      <c r="AL99" s="168" t="n">
        <v>265980.57</v>
      </c>
      <c r="AM99" s="168" t="n">
        <v>240868.51</v>
      </c>
      <c r="AN99" s="168" t="n">
        <v>215756.47</v>
      </c>
      <c r="AO99" s="168" t="n">
        <v>190644.42</v>
      </c>
      <c r="AP99" s="168" t="n">
        <v>165532.36</v>
      </c>
      <c r="AQ99" s="168" t="n">
        <v>140420.32</v>
      </c>
      <c r="AR99" s="168" t="n">
        <v>115308.27</v>
      </c>
      <c r="AS99" s="168" t="n">
        <v>196095.1</v>
      </c>
      <c r="AT99" s="168" t="n">
        <v>170200.95</v>
      </c>
      <c r="AU99" s="168" t="n">
        <v>119194.75</v>
      </c>
      <c r="AV99" s="168" t="n">
        <v>118412.64</v>
      </c>
      <c r="AW99" s="168" t="n">
        <v>117630.52</v>
      </c>
      <c r="AX99" s="168" t="n">
        <v>116848.42</v>
      </c>
      <c r="AY99" s="168" t="n">
        <v>116066.31</v>
      </c>
      <c r="AZ99" s="168" t="n">
        <v>115284.2</v>
      </c>
      <c r="BA99" s="168" t="n">
        <v>114502.09</v>
      </c>
      <c r="BB99" s="168" t="n">
        <v>113719.98</v>
      </c>
      <c r="BC99" s="168" t="n">
        <v>112937.87</v>
      </c>
      <c r="BD99" s="168" t="n">
        <v>112155.76</v>
      </c>
      <c r="BE99" s="168" t="n">
        <v>111373.65</v>
      </c>
      <c r="BF99" s="168" t="n">
        <v>110591.54</v>
      </c>
      <c r="BG99" s="168" t="n">
        <v>109809.44</v>
      </c>
      <c r="BH99" s="168" t="n">
        <v>109027.32</v>
      </c>
      <c r="BI99" s="168" t="n">
        <v>108245.21</v>
      </c>
      <c r="BJ99" s="168" t="n">
        <v>213361.99</v>
      </c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</row>
    <row r="100" customFormat="false" ht="15" hidden="false" customHeight="true" outlineLevel="0" collapsed="false">
      <c r="A100" s="166" t="s">
        <v>575</v>
      </c>
      <c r="B100" s="167">
        <f>SUM(C100:CH100)</f>
        <v>-1500039</v>
      </c>
      <c r="C100" s="164">
        <v>0</v>
      </c>
      <c r="D100" s="164">
        <v>0</v>
      </c>
      <c r="E100" s="164">
        <v>0</v>
      </c>
      <c r="F100" s="164">
        <v>0</v>
      </c>
      <c r="G100" s="164">
        <v>0</v>
      </c>
      <c r="H100" s="164">
        <v>0</v>
      </c>
      <c r="I100" s="164">
        <v>0</v>
      </c>
      <c r="J100" s="164">
        <v>0</v>
      </c>
      <c r="K100" s="164">
        <v>0</v>
      </c>
      <c r="L100" s="168">
        <v>0</v>
      </c>
      <c r="M100" s="168">
        <v>-10417</v>
      </c>
      <c r="N100" s="168">
        <v>-10417</v>
      </c>
      <c r="O100" s="168">
        <v>-10417</v>
      </c>
      <c r="P100" s="168">
        <v>-17917</v>
      </c>
      <c r="Q100" s="168">
        <v>-17917</v>
      </c>
      <c r="R100" s="168">
        <v>-17917</v>
      </c>
      <c r="S100" s="168">
        <v>-17917</v>
      </c>
      <c r="T100" s="168">
        <v>-17917</v>
      </c>
      <c r="U100" s="168">
        <v>-27084</v>
      </c>
      <c r="V100" s="168">
        <v>-27084</v>
      </c>
      <c r="W100" s="168">
        <v>-27084</v>
      </c>
      <c r="X100" s="168">
        <v>-27084</v>
      </c>
      <c r="Y100" s="168">
        <v>-27084</v>
      </c>
      <c r="Z100" s="168">
        <v>-27084</v>
      </c>
      <c r="AA100" s="168">
        <v>-27084</v>
      </c>
      <c r="AB100" s="168">
        <v>-27084</v>
      </c>
      <c r="AC100" s="168" t="n">
        <v>-37501</v>
      </c>
      <c r="AD100" s="168" t="n">
        <v>-37501</v>
      </c>
      <c r="AE100" s="168" t="n">
        <v>-37501</v>
      </c>
      <c r="AF100" s="168" t="n">
        <v>-37501</v>
      </c>
      <c r="AG100" s="168" t="n">
        <v>-37501</v>
      </c>
      <c r="AH100" s="168" t="n">
        <v>-37501</v>
      </c>
      <c r="AI100" s="168" t="n">
        <v>-37501</v>
      </c>
      <c r="AJ100" s="168" t="n">
        <v>-37501</v>
      </c>
      <c r="AK100" s="168" t="n">
        <v>-37501</v>
      </c>
      <c r="AL100" s="168" t="n">
        <v>-37501</v>
      </c>
      <c r="AM100" s="168" t="n">
        <v>-37501</v>
      </c>
      <c r="AN100" s="168" t="n">
        <v>-37501</v>
      </c>
      <c r="AO100" s="168" t="n">
        <v>-37501</v>
      </c>
      <c r="AP100" s="168" t="n">
        <v>-37501</v>
      </c>
      <c r="AQ100" s="168" t="n">
        <v>-37501</v>
      </c>
      <c r="AR100" s="168" t="n">
        <v>-37501</v>
      </c>
      <c r="AS100" s="168" t="n">
        <v>-37501</v>
      </c>
      <c r="AT100" s="168" t="n">
        <v>-37501</v>
      </c>
      <c r="AU100" s="168" t="n">
        <v>-37501</v>
      </c>
      <c r="AV100" s="168" t="n">
        <v>-37501</v>
      </c>
      <c r="AW100" s="168" t="n">
        <v>-37501</v>
      </c>
      <c r="AX100" s="168" t="n">
        <v>-37501</v>
      </c>
      <c r="AY100" s="168" t="n">
        <v>-37501</v>
      </c>
      <c r="AZ100" s="168" t="n">
        <v>-37501</v>
      </c>
      <c r="BA100" s="168" t="n">
        <v>-37501</v>
      </c>
      <c r="BB100" s="168" t="n">
        <v>-37501</v>
      </c>
      <c r="BC100" s="168" t="n">
        <v>-37501</v>
      </c>
      <c r="BD100" s="168" t="n">
        <v>-37501</v>
      </c>
      <c r="BE100" s="168" t="n">
        <v>-37501</v>
      </c>
      <c r="BF100" s="168" t="n">
        <v>-37501</v>
      </c>
      <c r="BG100" s="168" t="n">
        <v>-37501</v>
      </c>
      <c r="BH100" s="164">
        <v>0</v>
      </c>
      <c r="BI100" s="164">
        <v>0</v>
      </c>
      <c r="BJ100" s="164">
        <v>0</v>
      </c>
      <c r="BK100" s="164">
        <v>0</v>
      </c>
      <c r="BL100" s="164">
        <v>0</v>
      </c>
      <c r="BM100" s="164">
        <v>0</v>
      </c>
      <c r="BN100" s="164">
        <v>0</v>
      </c>
      <c r="BO100" s="164">
        <v>0</v>
      </c>
      <c r="BP100" s="164">
        <v>0</v>
      </c>
      <c r="BQ100" s="164">
        <v>0</v>
      </c>
      <c r="BR100" s="164">
        <v>0</v>
      </c>
      <c r="BS100" s="164">
        <v>0</v>
      </c>
      <c r="BT100" s="164">
        <v>0</v>
      </c>
      <c r="BU100" s="164">
        <v>0</v>
      </c>
      <c r="BV100" s="164">
        <v>0</v>
      </c>
      <c r="BW100" s="164">
        <v>0</v>
      </c>
      <c r="BX100" s="164">
        <v>0</v>
      </c>
      <c r="BY100" s="164">
        <v>0</v>
      </c>
      <c r="BZ100" s="164">
        <v>0</v>
      </c>
      <c r="CA100" s="164">
        <v>0</v>
      </c>
      <c r="CB100" s="164">
        <v>0</v>
      </c>
      <c r="CC100" s="164">
        <v>0</v>
      </c>
      <c r="CD100" s="164">
        <v>0</v>
      </c>
      <c r="CE100" s="164">
        <v>0</v>
      </c>
      <c r="CF100" s="164">
        <v>0</v>
      </c>
      <c r="CG100" s="164">
        <v>0</v>
      </c>
      <c r="CH100" s="164"/>
    </row>
    <row r="101" customFormat="false" ht="15" hidden="false" customHeight="true" outlineLevel="0" collapsed="false">
      <c r="A101" s="166" t="s">
        <v>576</v>
      </c>
      <c r="B101" s="167">
        <f>SUM(C101:CH101)</f>
        <v>-456000</v>
      </c>
      <c r="C101" s="164"/>
      <c r="D101" s="164"/>
      <c r="E101" s="164"/>
      <c r="F101" s="164"/>
      <c r="G101" s="164"/>
      <c r="H101" s="164"/>
      <c r="I101" s="164"/>
      <c r="J101" s="164"/>
      <c r="K101" s="164"/>
      <c r="L101" s="168">
        <v>-9500</v>
      </c>
      <c r="M101" s="168">
        <v>-9500</v>
      </c>
      <c r="N101" s="168">
        <v>-9500</v>
      </c>
      <c r="O101" s="168">
        <v>-9500</v>
      </c>
      <c r="P101" s="168">
        <v>-9500</v>
      </c>
      <c r="Q101" s="168">
        <v>-9500</v>
      </c>
      <c r="R101" s="168">
        <v>-9500</v>
      </c>
      <c r="S101" s="168">
        <v>-9500</v>
      </c>
      <c r="T101" s="168">
        <v>-9500</v>
      </c>
      <c r="U101" s="168">
        <v>-9500</v>
      </c>
      <c r="V101" s="168">
        <v>-9500</v>
      </c>
      <c r="W101" s="168">
        <v>-9500</v>
      </c>
      <c r="X101" s="168">
        <v>-9500</v>
      </c>
      <c r="Y101" s="168">
        <v>-9500</v>
      </c>
      <c r="Z101" s="168">
        <v>-9500</v>
      </c>
      <c r="AA101" s="168">
        <v>-9500</v>
      </c>
      <c r="AB101" s="168">
        <v>-9500</v>
      </c>
      <c r="AC101" s="168">
        <v>-9500</v>
      </c>
      <c r="AD101" s="168">
        <v>-9500</v>
      </c>
      <c r="AE101" s="168">
        <v>-9500</v>
      </c>
      <c r="AF101" s="168">
        <v>-9500</v>
      </c>
      <c r="AG101" s="168">
        <v>-9500</v>
      </c>
      <c r="AH101" s="168">
        <v>-9500</v>
      </c>
      <c r="AI101" s="168">
        <v>-9500</v>
      </c>
      <c r="AJ101" s="168">
        <v>-9500</v>
      </c>
      <c r="AK101" s="168">
        <v>-9500</v>
      </c>
      <c r="AL101" s="168">
        <v>-9500</v>
      </c>
      <c r="AM101" s="168">
        <v>-9500</v>
      </c>
      <c r="AN101" s="168">
        <v>-9500</v>
      </c>
      <c r="AO101" s="168">
        <v>-9500</v>
      </c>
      <c r="AP101" s="168">
        <v>-9500</v>
      </c>
      <c r="AQ101" s="168">
        <v>-9500</v>
      </c>
      <c r="AR101" s="168">
        <v>-9500</v>
      </c>
      <c r="AS101" s="168">
        <v>-9500</v>
      </c>
      <c r="AT101" s="168">
        <v>-9500</v>
      </c>
      <c r="AU101" s="168">
        <v>-9500</v>
      </c>
      <c r="AV101" s="168">
        <v>-9500</v>
      </c>
      <c r="AW101" s="168">
        <v>-9500</v>
      </c>
      <c r="AX101" s="168">
        <v>-9500</v>
      </c>
      <c r="AY101" s="168">
        <v>-9500</v>
      </c>
      <c r="AZ101" s="168">
        <v>-9500</v>
      </c>
      <c r="BA101" s="168">
        <v>-9500</v>
      </c>
      <c r="BB101" s="168">
        <v>-9500</v>
      </c>
      <c r="BC101" s="168">
        <v>-9500</v>
      </c>
      <c r="BD101" s="168">
        <v>-9500</v>
      </c>
      <c r="BE101" s="168">
        <v>-9500</v>
      </c>
      <c r="BF101" s="168">
        <v>-9500</v>
      </c>
      <c r="BG101" s="168">
        <v>-9500</v>
      </c>
      <c r="BH101" s="164"/>
      <c r="BI101" s="164"/>
      <c r="BJ101" s="164"/>
      <c r="BK101" s="164"/>
      <c r="BL101" s="164"/>
      <c r="BM101" s="164"/>
      <c r="BN101" s="164"/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4"/>
      <c r="CD101" s="164"/>
      <c r="CE101" s="164"/>
      <c r="CF101" s="164"/>
      <c r="CG101" s="164"/>
      <c r="CH101" s="164"/>
    </row>
    <row r="102" customFormat="false" ht="15" hidden="false" customHeight="true" outlineLevel="0" collapsed="false">
      <c r="A102" s="166" t="s">
        <v>577</v>
      </c>
      <c r="B102" s="167">
        <f>SUM(C102:CH102)</f>
        <v>7053625.999999999</v>
      </c>
      <c r="C102" s="169" t="n">
        <f aca="false">C99+C100+C101</f>
        <v>0</v>
      </c>
      <c r="D102" s="169" t="n">
        <f aca="false">D99+D100+D101</f>
        <v>0</v>
      </c>
      <c r="E102" s="169" t="n">
        <f aca="false">E99+E100+E101</f>
        <v>0</v>
      </c>
      <c r="F102" s="169" t="n">
        <f aca="false">F99+F100+F101</f>
        <v>0</v>
      </c>
      <c r="G102" s="169" t="n">
        <f aca="false">G99+G100+G101</f>
        <v>0</v>
      </c>
      <c r="H102" s="169" t="n">
        <f aca="false">H99+H100+H101</f>
        <v>0</v>
      </c>
      <c r="I102" s="169" t="n">
        <f aca="false">I99+I100+I101</f>
        <v>0</v>
      </c>
      <c r="J102" s="169" t="n">
        <f aca="false">J99+J100+J101</f>
        <v>0</v>
      </c>
      <c r="K102" s="169" t="n">
        <f aca="false">K99+K100+K101</f>
        <v>0</v>
      </c>
      <c r="L102" s="169">
        <f>L99+L100+L101</f>
        <v>35550.36</v>
      </c>
      <c r="M102" s="169">
        <f>M99+M100+M101</f>
        <v>25133.36</v>
      </c>
      <c r="N102" s="169">
        <f>N99+N100+N101</f>
        <v>25133.36</v>
      </c>
      <c r="O102" s="169">
        <f>O99+O100+O101</f>
        <v>25133.36</v>
      </c>
      <c r="P102" s="169">
        <f>P99+P100+P101</f>
        <v>17633.36</v>
      </c>
      <c r="Q102" s="169">
        <f>Q99+Q100+Q101</f>
        <v>17633.36</v>
      </c>
      <c r="R102" s="169">
        <f>R99+R100+R101</f>
        <v>43527.520000000004</v>
      </c>
      <c r="S102" s="169">
        <f>S99+S100+S101</f>
        <v>69421.68</v>
      </c>
      <c r="T102" s="169">
        <f>T99+T100+T101</f>
        <v>95315.84</v>
      </c>
      <c r="U102" s="169">
        <f>U99+U100+U101</f>
        <v>112042.98999999999</v>
      </c>
      <c r="V102" s="169">
        <f>V99+V100+V101</f>
        <v>137937.16</v>
      </c>
      <c r="W102" s="169">
        <f>W99+W100+W101</f>
        <v>163831.31</v>
      </c>
      <c r="X102" s="169">
        <f>X99+X100+X101</f>
        <v>189725.46</v>
      </c>
      <c r="Y102" s="169">
        <f>Y99+Y100+Y101</f>
        <v>215619.62</v>
      </c>
      <c r="Z102" s="169">
        <f>Z99+Z100+Z101</f>
        <v>241513.78999999998</v>
      </c>
      <c r="AA102" s="169">
        <f>AA99+AA100+AA101</f>
        <v>267407.94</v>
      </c>
      <c r="AB102" s="169">
        <f>AB99+AB100+AB101</f>
        <v>293302.11</v>
      </c>
      <c r="AC102" s="169">
        <f>AC99+AC100+AC101</f>
        <v>353829.61</v>
      </c>
      <c r="AD102" s="169">
        <f>AD99+AD100+AD101</f>
        <v>264511.01</v>
      </c>
      <c r="AE102" s="169">
        <f>AE99+AE100+AE101</f>
        <v>265293.13</v>
      </c>
      <c r="AF102" s="169">
        <f>AF99+AF100+AF101</f>
        <v>266075.23</v>
      </c>
      <c r="AG102" s="169">
        <f>AG99+AG100+AG101</f>
        <v>266857.34</v>
      </c>
      <c r="AH102" s="169">
        <f>AH99+AH100+AH101</f>
        <v>267639.44</v>
      </c>
      <c r="AI102" s="169">
        <f>AI99+AI100+AI101</f>
        <v>294315.71</v>
      </c>
      <c r="AJ102" s="169">
        <f>AJ99+AJ100+AJ101</f>
        <v>269203.67</v>
      </c>
      <c r="AK102" s="169">
        <f>AK99+AK100+AK101</f>
        <v>244091.62</v>
      </c>
      <c r="AL102" s="169">
        <f>AL99+AL100+AL101</f>
        <v>218979.57</v>
      </c>
      <c r="AM102" s="169">
        <f>AM99+AM100+AM101</f>
        <v>193867.51</v>
      </c>
      <c r="AN102" s="169">
        <f>AN99+AN100+AN101</f>
        <v>168755.47</v>
      </c>
      <c r="AO102" s="169">
        <f>AO99+AO100+AO101</f>
        <v>143643.42</v>
      </c>
      <c r="AP102" s="169">
        <f>AP99+AP100+AP101</f>
        <v>118531.35999999999</v>
      </c>
      <c r="AQ102" s="169">
        <f>AQ99+AQ100+AQ101</f>
        <v>93419.32</v>
      </c>
      <c r="AR102" s="169">
        <f>AR99+AR100+AR101</f>
        <v>68307.27</v>
      </c>
      <c r="AS102" s="169">
        <f>AS99+AS100+AS101</f>
        <v>149094.1</v>
      </c>
      <c r="AT102" s="169">
        <f>AT99+AT100+AT101</f>
        <v>123199.95000000001</v>
      </c>
      <c r="AU102" s="169">
        <f>AU99+AU100+AU101</f>
        <v>72193.75</v>
      </c>
      <c r="AV102" s="169">
        <f>AV99+AV100+AV101</f>
        <v>71411.64</v>
      </c>
      <c r="AW102" s="169">
        <f>AW99+AW100+AW101</f>
        <v>70629.52</v>
      </c>
      <c r="AX102" s="169">
        <f>AX99+AX100+AX101</f>
        <v>69847.42</v>
      </c>
      <c r="AY102" s="169">
        <f>AY99+AY100+AY101</f>
        <v>69065.31</v>
      </c>
      <c r="AZ102" s="169">
        <f>AZ99+AZ100+AZ101</f>
        <v>68283.2</v>
      </c>
      <c r="BA102" s="169">
        <f>BA99+BA100+BA101</f>
        <v>67501.09</v>
      </c>
      <c r="BB102" s="169">
        <f>BB99+BB100+BB101</f>
        <v>66718.98</v>
      </c>
      <c r="BC102" s="169">
        <f>BC99+BC100+BC101</f>
        <v>65936.87</v>
      </c>
      <c r="BD102" s="169">
        <f>BD99+BD100+BD101</f>
        <v>65154.759999999995</v>
      </c>
      <c r="BE102" s="169">
        <f>BE99+BE100+BE101</f>
        <v>64372.649999999994</v>
      </c>
      <c r="BF102" s="169">
        <f>BF99+BF100+BF101</f>
        <v>63590.53999999999</v>
      </c>
      <c r="BG102" s="169">
        <f>BG99+BG100+BG101</f>
        <v>62808.44</v>
      </c>
      <c r="BH102" s="169" t="n">
        <f aca="false">BH99+BH100+BH101</f>
        <v>109027.32</v>
      </c>
      <c r="BI102" s="169" t="n">
        <f aca="false">BI99+BI100+BI101</f>
        <v>108245.21</v>
      </c>
      <c r="BJ102" s="169" t="n">
        <f aca="false">BJ99+BJ100+BJ101</f>
        <v>213361.99</v>
      </c>
      <c r="BK102" s="169" t="n">
        <f aca="false">BK99+BK100+BK101</f>
        <v>0</v>
      </c>
      <c r="BL102" s="169" t="n">
        <f aca="false">BL99+BL100+BL101</f>
        <v>0</v>
      </c>
      <c r="BM102" s="169" t="n">
        <f aca="false">BM99+BM100+BM101</f>
        <v>0</v>
      </c>
      <c r="BN102" s="169" t="n">
        <f aca="false">BN99+BN100+BN101</f>
        <v>0</v>
      </c>
      <c r="BO102" s="169" t="n">
        <f aca="false">BO99+BO100+BO101</f>
        <v>0</v>
      </c>
      <c r="BP102" s="169" t="n">
        <f aca="false">BP99+BP100+BP101</f>
        <v>0</v>
      </c>
      <c r="BQ102" s="169" t="n">
        <f aca="false">BQ99+BQ100+BQ101</f>
        <v>0</v>
      </c>
      <c r="BR102" s="169" t="n">
        <f aca="false">BR99+BR100+BR101</f>
        <v>0</v>
      </c>
      <c r="BS102" s="169" t="n">
        <f aca="false">BS99+BS100+BS101</f>
        <v>0</v>
      </c>
      <c r="BT102" s="169" t="n">
        <f aca="false">BT99+BT100+BT101</f>
        <v>0</v>
      </c>
      <c r="BU102" s="169" t="n">
        <f aca="false">BU99+BU100+BU101</f>
        <v>0</v>
      </c>
      <c r="BV102" s="169" t="n">
        <f aca="false">BV99+BV100+BV101</f>
        <v>0</v>
      </c>
      <c r="BW102" s="169" t="n">
        <f aca="false">BW99+BW100+BW101</f>
        <v>0</v>
      </c>
      <c r="BX102" s="169" t="n">
        <f aca="false">BX99+BX100+BX101</f>
        <v>0</v>
      </c>
      <c r="BY102" s="169" t="n">
        <f aca="false">BY99+BY100+BY101</f>
        <v>0</v>
      </c>
      <c r="BZ102" s="169" t="n">
        <f aca="false">BZ99+BZ100+BZ101</f>
        <v>0</v>
      </c>
      <c r="CA102" s="169" t="n">
        <f aca="false">CA99+CA100+CA101</f>
        <v>0</v>
      </c>
      <c r="CB102" s="169" t="n">
        <f aca="false">CB99+CB100+CB101</f>
        <v>0</v>
      </c>
      <c r="CC102" s="169" t="n">
        <f aca="false">CC99+CC100+CC101</f>
        <v>0</v>
      </c>
      <c r="CD102" s="169" t="n">
        <f aca="false">CD99+CD100+CD101</f>
        <v>0</v>
      </c>
      <c r="CE102" s="169" t="n">
        <f aca="false">CE99+CE100+CE101</f>
        <v>0</v>
      </c>
      <c r="CF102" s="169" t="n">
        <f aca="false">CF99+CF100+CF101</f>
        <v>0</v>
      </c>
      <c r="CG102" s="169" t="n">
        <f aca="false">CG99+CG100+CG101</f>
        <v>0</v>
      </c>
      <c r="CH102" s="169" t="n">
        <f aca="false">CH99+CH100+CH101</f>
        <v>0</v>
      </c>
    </row>
    <row r="103" customFormat="false" ht="15" hidden="false" customHeight="true" outlineLevel="0" collapsed="false">
      <c r="A103" s="166" t="s">
        <v>578</v>
      </c>
      <c r="B103" s="167">
        <f>SUM(C103:CH103)</f>
        <v>563192.6169999999</v>
      </c>
      <c r="C103" s="169" t="n">
        <f aca="false">C99*$B$94</f>
        <v>0</v>
      </c>
      <c r="D103" s="169" t="n">
        <f aca="false">D99*$B$94</f>
        <v>0</v>
      </c>
      <c r="E103" s="169" t="n">
        <f aca="false">E99*$B$94</f>
        <v>0</v>
      </c>
      <c r="F103" s="169" t="n">
        <f aca="false">F99*$B$94</f>
        <v>0</v>
      </c>
      <c r="G103" s="169" t="n">
        <f aca="false">G99*$B$94</f>
        <v>0</v>
      </c>
      <c r="H103" s="169" t="n">
        <f aca="false">H99*$B$94</f>
        <v>0</v>
      </c>
      <c r="I103" s="169" t="n">
        <f aca="false">I99*$B$94</f>
        <v>0</v>
      </c>
      <c r="J103" s="169" t="n">
        <f aca="false">J99*$B$94</f>
        <v>0</v>
      </c>
      <c r="K103" s="169" t="n">
        <f aca="false">K99*$B$94</f>
        <v>0</v>
      </c>
      <c r="L103" s="169">
        <f>MIN(L99*$B$94,12500)</f>
        <v>4505.036</v>
      </c>
      <c r="M103" s="169">
        <f>MIN(M99*$B$94,12500)</f>
        <v>4505.036</v>
      </c>
      <c r="N103" s="169">
        <f>MIN(N99*$B$94,12500)</f>
        <v>4505.036</v>
      </c>
      <c r="O103" s="169">
        <f>MIN(O99*$B$94,12500)</f>
        <v>4505.036</v>
      </c>
      <c r="P103" s="169">
        <f>MIN(P99*$B$94,12500)</f>
        <v>4505.036</v>
      </c>
      <c r="Q103" s="169">
        <f>MIN(Q99*$B$94,12500)</f>
        <v>4505.036</v>
      </c>
      <c r="R103" s="169">
        <f>MIN(R99*$B$94,12500)</f>
        <v>7094.452000000001</v>
      </c>
      <c r="S103" s="169">
        <f>MIN(S99*$B$94,12500)</f>
        <v>9683.868</v>
      </c>
      <c r="T103" s="169">
        <f>MIN(T99*$B$94,12500)</f>
        <v>12273.284</v>
      </c>
      <c r="U103" s="169">
        <f>MIN(U99*$B$94,12500)</f>
        <v>12500</v>
      </c>
      <c r="V103" s="169">
        <f>MIN(V99*$B$94,12500)</f>
        <v>12500</v>
      </c>
      <c r="W103" s="169">
        <f>MIN(W99*$B$94,12500)</f>
        <v>12500</v>
      </c>
      <c r="X103" s="169">
        <f>MIN(X99*$B$94,12500)</f>
        <v>12500</v>
      </c>
      <c r="Y103" s="169">
        <f>MIN(Y99*$B$94,12500)</f>
        <v>12500</v>
      </c>
      <c r="Z103" s="169">
        <f>MIN(Z99*$B$94,12500)</f>
        <v>12500</v>
      </c>
      <c r="AA103" s="169">
        <f>MIN(AA99*$B$94,12500)</f>
        <v>12500</v>
      </c>
      <c r="AB103" s="169">
        <f>MIN(AB99*$B$94,12500)</f>
        <v>12500</v>
      </c>
      <c r="AC103" s="169">
        <f>MIN(AC99*$B$94,12500)</f>
        <v>12500</v>
      </c>
      <c r="AD103" s="169">
        <f>MIN(AD99*$B$94,12500)</f>
        <v>12500</v>
      </c>
      <c r="AE103" s="169">
        <f>MIN(AE99*$B$94,12500)</f>
        <v>12500</v>
      </c>
      <c r="AF103" s="169">
        <f>MIN(AF99*$B$94,12500)</f>
        <v>12500</v>
      </c>
      <c r="AG103" s="169">
        <f>MIN(AG99*$B$94,12500)</f>
        <v>12500</v>
      </c>
      <c r="AH103" s="169">
        <f>MIN(AH99*$B$94,12500)</f>
        <v>12500</v>
      </c>
      <c r="AI103" s="169">
        <f>MIN(AI99*$B$94,12500)</f>
        <v>12500</v>
      </c>
      <c r="AJ103" s="169">
        <f>MIN(AJ99*$B$94,12500)</f>
        <v>12500</v>
      </c>
      <c r="AK103" s="169">
        <f>MIN(AK99*$B$94,12500)</f>
        <v>12500</v>
      </c>
      <c r="AL103" s="169">
        <f>MIN(AL99*$B$94,12500)</f>
        <v>12500</v>
      </c>
      <c r="AM103" s="169">
        <f>MIN(AM99*$B$94,12500)</f>
        <v>12500</v>
      </c>
      <c r="AN103" s="169">
        <f>MIN(AN99*$B$94,12500)</f>
        <v>12500</v>
      </c>
      <c r="AO103" s="169">
        <f>MIN(AO99*$B$94,12500)</f>
        <v>12500</v>
      </c>
      <c r="AP103" s="169">
        <f>MIN(AP99*$B$94,12500)</f>
        <v>12500</v>
      </c>
      <c r="AQ103" s="169">
        <f>MIN(AQ99*$B$94,12500)</f>
        <v>12500</v>
      </c>
      <c r="AR103" s="169">
        <f>MIN(AR99*$B$94,12500)</f>
        <v>11530.827000000001</v>
      </c>
      <c r="AS103" s="169">
        <f>MIN(AS99*$B$94,12500)</f>
        <v>12500</v>
      </c>
      <c r="AT103" s="169">
        <f>MIN(AT99*$B$94,12500)</f>
        <v>12500</v>
      </c>
      <c r="AU103" s="169">
        <f>MIN(AU99*$B$94,12500)</f>
        <v>11919.475</v>
      </c>
      <c r="AV103" s="169">
        <f>MIN(AV99*$B$94,12500)</f>
        <v>11841.264000000001</v>
      </c>
      <c r="AW103" s="169">
        <f>MIN(AW99*$B$94,12500)</f>
        <v>11763.052000000001</v>
      </c>
      <c r="AX103" s="169">
        <f>MIN(AX99*$B$94,12500)</f>
        <v>11684.842</v>
      </c>
      <c r="AY103" s="169">
        <f>MIN(AY99*$B$94,12500)</f>
        <v>11606.631000000001</v>
      </c>
      <c r="AZ103" s="169">
        <f>MIN(AZ99*$B$94,12500)</f>
        <v>11528.42</v>
      </c>
      <c r="BA103" s="169">
        <f>MIN(BA99*$B$94,12500)</f>
        <v>11450.209</v>
      </c>
      <c r="BB103" s="169">
        <f>MIN(BB99*$B$94,12500)</f>
        <v>11371.998</v>
      </c>
      <c r="BC103" s="169">
        <f>MIN(BC99*$B$94,12500)</f>
        <v>11293.787</v>
      </c>
      <c r="BD103" s="169">
        <f>MIN(BD99*$B$94,12500)</f>
        <v>11215.576000000001</v>
      </c>
      <c r="BE103" s="169">
        <f>MIN(BE99*$B$94,12500)</f>
        <v>11137.365</v>
      </c>
      <c r="BF103" s="169">
        <f>MIN(BF99*$B$94,12500)</f>
        <v>11059.154</v>
      </c>
      <c r="BG103" s="169">
        <f>MIN(BG99*$B$94,12500)</f>
        <v>10980.944000000001</v>
      </c>
      <c r="BH103" s="169">
        <f>MIN(BH99*$B$94,12500)</f>
        <v>10902.732000000002</v>
      </c>
      <c r="BI103" s="169">
        <f>MIN(BI99*$B$94,12500)</f>
        <v>10824.521</v>
      </c>
      <c r="BJ103" s="169">
        <f>MIN(BJ99*$B$94,12500)</f>
        <v>12500</v>
      </c>
      <c r="BK103" s="169">
        <f>MIN(BK99*$B$94,12500)</f>
        <v>0</v>
      </c>
      <c r="BL103" s="169">
        <f>MIN(BL99*$B$94,12500)</f>
        <v>0</v>
      </c>
      <c r="BM103" s="169">
        <f>MIN(BM99*$B$94,12500)</f>
        <v>0</v>
      </c>
      <c r="BN103" s="169">
        <f>MIN(BN99*$B$94,12500)</f>
        <v>0</v>
      </c>
      <c r="BO103" s="169">
        <f>MIN(BO99*$B$94,12500)</f>
        <v>0</v>
      </c>
      <c r="BP103" s="169">
        <f>MIN(BP99*$B$94,12500)</f>
        <v>0</v>
      </c>
      <c r="BQ103" s="169">
        <f>MIN(BQ99*$B$94,12500)</f>
        <v>0</v>
      </c>
      <c r="BR103" s="169">
        <f>MIN(BR99*$B$94,12500)</f>
        <v>0</v>
      </c>
      <c r="BS103" s="169">
        <f>MIN(BS99*$B$94,12500)</f>
        <v>0</v>
      </c>
      <c r="BT103" s="169">
        <f>MIN(BT99*$B$94,12500)</f>
        <v>0</v>
      </c>
      <c r="BU103" s="169">
        <f>MIN(BU99*$B$94,12500)</f>
        <v>0</v>
      </c>
      <c r="BV103" s="169">
        <f>MIN(BV99*$B$94,12500)</f>
        <v>0</v>
      </c>
      <c r="BW103" s="169">
        <f>MIN(BW99*$B$94,12500)</f>
        <v>0</v>
      </c>
      <c r="BX103" s="169">
        <f>MIN(BX99*$B$94,12500)</f>
        <v>0</v>
      </c>
      <c r="BY103" s="169">
        <f>MIN(BY99*$B$94,12500)</f>
        <v>0</v>
      </c>
      <c r="BZ103" s="169">
        <f>MIN(BZ99*$B$94,12500)</f>
        <v>0</v>
      </c>
      <c r="CA103" s="169">
        <f>MIN(CA99*$B$94,12500)</f>
        <v>0</v>
      </c>
      <c r="CB103" s="169">
        <f>MIN(CB99*$B$94,12500)</f>
        <v>0</v>
      </c>
      <c r="CC103" s="169">
        <f>MIN(CC99*$B$94,12500)</f>
        <v>0</v>
      </c>
      <c r="CD103" s="169">
        <f>MIN(CD99*$B$94,12500)</f>
        <v>0</v>
      </c>
      <c r="CE103" s="169">
        <f>MIN(CE99*$B$94,12500)</f>
        <v>0</v>
      </c>
      <c r="CF103" s="169">
        <f>MIN(CF99*$B$94,12500)</f>
        <v>0</v>
      </c>
      <c r="CG103" s="169">
        <f>MIN(CG99*$B$94,12500)</f>
        <v>0</v>
      </c>
      <c r="CH103" s="169" t="n">
        <f aca="false">CH99*$B$94</f>
        <v>0</v>
      </c>
    </row>
    <row r="104" customFormat="false" ht="15" hidden="false" customHeight="true" outlineLevel="0" collapsed="false">
      <c r="A104" s="166" t="s">
        <v>579</v>
      </c>
      <c r="B104" s="167">
        <f>SUM(C104:CH104)</f>
        <v>6490433.383000001</v>
      </c>
      <c r="C104" s="169" t="n">
        <f aca="false">C102-C103</f>
        <v>0</v>
      </c>
      <c r="D104" s="169" t="n">
        <f aca="false">D102-D103</f>
        <v>0</v>
      </c>
      <c r="E104" s="169" t="n">
        <f aca="false">E102-E103</f>
        <v>0</v>
      </c>
      <c r="F104" s="169" t="n">
        <f aca="false">F102-F103</f>
        <v>0</v>
      </c>
      <c r="G104" s="169" t="n">
        <f aca="false">G102-G103</f>
        <v>0</v>
      </c>
      <c r="H104" s="169" t="n">
        <f aca="false">H102-H103</f>
        <v>0</v>
      </c>
      <c r="I104" s="169" t="n">
        <f aca="false">I102-I103</f>
        <v>0</v>
      </c>
      <c r="J104" s="169" t="n">
        <f aca="false">J102-J103</f>
        <v>0</v>
      </c>
      <c r="K104" s="169" t="n">
        <f aca="false">K102-K103</f>
        <v>0</v>
      </c>
      <c r="L104" s="169">
        <f>L102-L103</f>
        <v>31045.324</v>
      </c>
      <c r="M104" s="169">
        <f>M102-M103</f>
        <v>20628.324</v>
      </c>
      <c r="N104" s="169">
        <f>N102-N103</f>
        <v>20628.324</v>
      </c>
      <c r="O104" s="169">
        <f>O102-O103</f>
        <v>20628.324</v>
      </c>
      <c r="P104" s="169">
        <f>P102-P103</f>
        <v>13128.324</v>
      </c>
      <c r="Q104" s="169">
        <f>Q102-Q103</f>
        <v>13128.324</v>
      </c>
      <c r="R104" s="169">
        <f>R102-R103</f>
        <v>36433.068</v>
      </c>
      <c r="S104" s="169">
        <f>S102-S103</f>
        <v>59737.81199999999</v>
      </c>
      <c r="T104" s="169">
        <f>T102-T103</f>
        <v>83042.556</v>
      </c>
      <c r="U104" s="169">
        <f>U102-U103</f>
        <v>99542.98999999999</v>
      </c>
      <c r="V104" s="169">
        <f>V102-V103</f>
        <v>125437.16</v>
      </c>
      <c r="W104" s="169">
        <f>W102-W103</f>
        <v>151331.31</v>
      </c>
      <c r="X104" s="169">
        <f>X102-X103</f>
        <v>177225.46</v>
      </c>
      <c r="Y104" s="169">
        <f>Y102-Y103</f>
        <v>203119.62</v>
      </c>
      <c r="Z104" s="169">
        <f>Z102-Z103</f>
        <v>229013.78999999998</v>
      </c>
      <c r="AA104" s="169">
        <f>AA102-AA103</f>
        <v>254907.94</v>
      </c>
      <c r="AB104" s="169">
        <f>AB102-AB103</f>
        <v>280802.11</v>
      </c>
      <c r="AC104" s="169">
        <f>AC102-AC103</f>
        <v>341329.61</v>
      </c>
      <c r="AD104" s="169">
        <f>AD102-AD103</f>
        <v>252011.01</v>
      </c>
      <c r="AE104" s="169">
        <f>AE102-AE103</f>
        <v>252793.13</v>
      </c>
      <c r="AF104" s="169">
        <f>AF102-AF103</f>
        <v>253575.22999999998</v>
      </c>
      <c r="AG104" s="169">
        <f>AG102-AG103</f>
        <v>254357.34000000003</v>
      </c>
      <c r="AH104" s="169">
        <f>AH102-AH103</f>
        <v>255139.44</v>
      </c>
      <c r="AI104" s="169">
        <f>AI102-AI103</f>
        <v>281815.71</v>
      </c>
      <c r="AJ104" s="169">
        <f>AJ102-AJ103</f>
        <v>256703.66999999998</v>
      </c>
      <c r="AK104" s="169">
        <f>AK102-AK103</f>
        <v>231591.62</v>
      </c>
      <c r="AL104" s="169">
        <f>AL102-AL103</f>
        <v>206479.57</v>
      </c>
      <c r="AM104" s="169">
        <f>AM102-AM103</f>
        <v>181367.51</v>
      </c>
      <c r="AN104" s="169">
        <f>AN102-AN103</f>
        <v>156255.47</v>
      </c>
      <c r="AO104" s="169">
        <f>AO102-AO103</f>
        <v>131143.42</v>
      </c>
      <c r="AP104" s="169">
        <f>AP102-AP103</f>
        <v>106031.35999999999</v>
      </c>
      <c r="AQ104" s="169">
        <f>AQ102-AQ103</f>
        <v>80919.32</v>
      </c>
      <c r="AR104" s="169">
        <f>AR102-AR103</f>
        <v>56776.443</v>
      </c>
      <c r="AS104" s="169">
        <f>AS102-AS103</f>
        <v>136594.1</v>
      </c>
      <c r="AT104" s="169">
        <f>AT102-AT103</f>
        <v>110699.95000000001</v>
      </c>
      <c r="AU104" s="169">
        <f>AU102-AU103</f>
        <v>60274.275</v>
      </c>
      <c r="AV104" s="169">
        <f>AV102-AV103</f>
        <v>59570.376</v>
      </c>
      <c r="AW104" s="169">
        <f>AW102-AW103</f>
        <v>58866.468</v>
      </c>
      <c r="AX104" s="169">
        <f>AX102-AX103</f>
        <v>58162.577999999994</v>
      </c>
      <c r="AY104" s="169">
        <f>AY102-AY103</f>
        <v>57458.679</v>
      </c>
      <c r="AZ104" s="169">
        <f>AZ102-AZ103</f>
        <v>56754.78</v>
      </c>
      <c r="BA104" s="169">
        <f>BA102-BA103</f>
        <v>56050.880999999994</v>
      </c>
      <c r="BB104" s="169">
        <f>BB102-BB103</f>
        <v>55346.981999999996</v>
      </c>
      <c r="BC104" s="169">
        <f>BC102-BC103</f>
        <v>54643.083</v>
      </c>
      <c r="BD104" s="169">
        <f>BD102-BD103</f>
        <v>53939.183999999994</v>
      </c>
      <c r="BE104" s="169">
        <f>BE102-BE103</f>
        <v>53235.284999999996</v>
      </c>
      <c r="BF104" s="169">
        <f>BF102-BF103</f>
        <v>52531.38599999999</v>
      </c>
      <c r="BG104" s="169">
        <f>BG102-BG103</f>
        <v>51827.496</v>
      </c>
      <c r="BH104" s="169" t="n">
        <f aca="false">BH102-BH103</f>
        <v>98124.588</v>
      </c>
      <c r="BI104" s="169" t="n">
        <f aca="false">BI102-BI103</f>
        <v>97420.689</v>
      </c>
      <c r="BJ104" s="169">
        <f>BJ102-BJ103</f>
        <v>200861.99</v>
      </c>
      <c r="BK104" s="169" t="n">
        <f aca="false">BK102-BK103</f>
        <v>0</v>
      </c>
      <c r="BL104" s="169" t="n">
        <f aca="false">BL102-BL103</f>
        <v>0</v>
      </c>
      <c r="BM104" s="169" t="n">
        <f aca="false">BM102-BM103</f>
        <v>0</v>
      </c>
      <c r="BN104" s="169" t="n">
        <f aca="false">BN102-BN103</f>
        <v>0</v>
      </c>
      <c r="BO104" s="169" t="n">
        <f aca="false">BO102-BO103</f>
        <v>0</v>
      </c>
      <c r="BP104" s="169" t="n">
        <f aca="false">BP102-BP103</f>
        <v>0</v>
      </c>
      <c r="BQ104" s="169" t="n">
        <f aca="false">BQ102-BQ103</f>
        <v>0</v>
      </c>
      <c r="BR104" s="169" t="n">
        <f aca="false">BR102-BR103</f>
        <v>0</v>
      </c>
      <c r="BS104" s="169" t="n">
        <f aca="false">BS102-BS103</f>
        <v>0</v>
      </c>
      <c r="BT104" s="169" t="n">
        <f aca="false">BT102-BT103</f>
        <v>0</v>
      </c>
      <c r="BU104" s="169" t="n">
        <f aca="false">BU102-BU103</f>
        <v>0</v>
      </c>
      <c r="BV104" s="169" t="n">
        <f aca="false">BV102-BV103</f>
        <v>0</v>
      </c>
      <c r="BW104" s="169" t="n">
        <f aca="false">BW102-BW103</f>
        <v>0</v>
      </c>
      <c r="BX104" s="169" t="n">
        <f aca="false">BX102-BX103</f>
        <v>0</v>
      </c>
      <c r="BY104" s="169" t="n">
        <f aca="false">BY102-BY103</f>
        <v>0</v>
      </c>
      <c r="BZ104" s="169" t="n">
        <f aca="false">BZ102-BZ103</f>
        <v>0</v>
      </c>
      <c r="CA104" s="169" t="n">
        <f aca="false">CA102-CA103</f>
        <v>0</v>
      </c>
      <c r="CB104" s="169" t="n">
        <f aca="false">CB102-CB103</f>
        <v>0</v>
      </c>
      <c r="CC104" s="169" t="n">
        <f aca="false">CC102-CC103</f>
        <v>0</v>
      </c>
      <c r="CD104" s="169" t="n">
        <f aca="false">CD102-CD103</f>
        <v>0</v>
      </c>
      <c r="CE104" s="169" t="n">
        <f aca="false">CE102-CE103</f>
        <v>0</v>
      </c>
      <c r="CF104" s="169" t="n">
        <f aca="false">CF102-CF103</f>
        <v>0</v>
      </c>
      <c r="CG104" s="169" t="n">
        <f aca="false">CG102-CG103</f>
        <v>0</v>
      </c>
      <c r="CH104" s="169" t="n">
        <f aca="false">CH102-CH103</f>
        <v>0</v>
      </c>
    </row>
    <row r="105" customFormat="false" ht="15" hidden="false" customHeight="true" outlineLevel="0" collapsed="false">
      <c r="A105" s="166" t="inlineStr">
        <is>
          <t>Schuyler Bonus (40/45/50%)</t>
        </is>
      </c>
      <c r="B105" s="167">
        <f>SUM(C105:CH105)</f>
        <v>2951665.926000001</v>
      </c>
      <c r="C105" s="169">
        <v>0</v>
      </c>
      <c r="D105" s="169">
        <v>0</v>
      </c>
      <c r="E105" s="169">
        <v>0</v>
      </c>
      <c r="F105" s="169">
        <v>0</v>
      </c>
      <c r="G105" s="169">
        <v>0</v>
      </c>
      <c r="H105" s="169">
        <v>0</v>
      </c>
      <c r="I105" s="169">
        <v>0</v>
      </c>
      <c r="J105" s="169">
        <v>0</v>
      </c>
      <c r="K105" s="169">
        <v>0</v>
      </c>
      <c r="L105" s="169">
        <f>MAX(0,L104)*0.4</f>
        <v>12418.1296</v>
      </c>
      <c r="M105" s="169">
        <f>MAX(0,M104)*0.4</f>
        <v>8251.329600000001</v>
      </c>
      <c r="N105" s="169">
        <f>MAX(0,N104)*0.4</f>
        <v>8251.329600000001</v>
      </c>
      <c r="O105" s="169">
        <f>MAX(0,O104)*0.4</f>
        <v>8251.329600000001</v>
      </c>
      <c r="P105" s="169">
        <f>MAX(0,P104)*0.4</f>
        <v>5251.329600000001</v>
      </c>
      <c r="Q105" s="169">
        <f>MAX(0,Q104)*0.4</f>
        <v>5251.329600000001</v>
      </c>
      <c r="R105" s="169">
        <f>MAX(0,R104)*0.4</f>
        <v>14573.227200000001</v>
      </c>
      <c r="S105" s="169">
        <f>MAX(0,S104)*0.4</f>
        <v>23895.124799999998</v>
      </c>
      <c r="T105" s="169">
        <f>MAX(0,T104)*0.4</f>
        <v>33217.0224</v>
      </c>
      <c r="U105" s="169">
        <f>MAX(0,U104)*0.4</f>
        <v>39817.195999999996</v>
      </c>
      <c r="V105" s="169">
        <f>MAX(0,V104)*0.4</f>
        <v>50174.864</v>
      </c>
      <c r="W105" s="169">
        <f>MAX(0,W104)*0.4</f>
        <v>60532.524000000005</v>
      </c>
      <c r="X105" s="169">
        <f>MAX(0,X104)*0.4</f>
        <v>70890.184</v>
      </c>
      <c r="Y105" s="169">
        <f>MAX(0,Y104)*0.4</f>
        <v>81247.848</v>
      </c>
      <c r="Z105" s="169">
        <f>MAX(0,Z104)*0.4</f>
        <v>91605.516</v>
      </c>
      <c r="AA105" s="169">
        <f>MAX(0,AA104)*0.45</f>
        <v>114708.573</v>
      </c>
      <c r="AB105" s="169">
        <f>MAX(0,AB104)*0.45</f>
        <v>126360.9495</v>
      </c>
      <c r="AC105" s="169">
        <f>MAX(0,AC104)*0.45</f>
        <v>153598.3245</v>
      </c>
      <c r="AD105" s="169">
        <f>MAX(0,AD104)*0.45</f>
        <v>113404.9545</v>
      </c>
      <c r="AE105" s="169">
        <f>MAX(0,AE104)*0.45</f>
        <v>113756.9085</v>
      </c>
      <c r="AF105" s="169">
        <f>MAX(0,AF104)*0.45</f>
        <v>114108.8535</v>
      </c>
      <c r="AG105" s="169">
        <f>MAX(0,AG104)*0.45</f>
        <v>114460.80300000001</v>
      </c>
      <c r="AH105" s="169">
        <f>MAX(0,AH104)*0.45</f>
        <v>114812.748</v>
      </c>
      <c r="AI105" s="169">
        <f>MAX(0,AI104)*0.45</f>
        <v>126817.06950000001</v>
      </c>
      <c r="AJ105" s="169">
        <f>MAX(0,AJ104)*0.45</f>
        <v>115516.65149999999</v>
      </c>
      <c r="AK105" s="169">
        <f>MAX(0,AK104)*0.45</f>
        <v>104216.229</v>
      </c>
      <c r="AL105" s="169">
        <f>MAX(0,AL104)*0.45</f>
        <v>92915.8065</v>
      </c>
      <c r="AM105" s="169">
        <f>MAX(0,AM104)*0.45</f>
        <v>81615.37950000001</v>
      </c>
      <c r="AN105" s="169">
        <f>MAX(0,AN104)*0.5</f>
        <v>78127.735</v>
      </c>
      <c r="AO105" s="169">
        <f>MAX(0,AO104)*0.5</f>
        <v>65571.71</v>
      </c>
      <c r="AP105" s="169">
        <f>MAX(0,AP104)*0.5</f>
        <v>53015.67999999999</v>
      </c>
      <c r="AQ105" s="169">
        <f>MAX(0,AQ104)*0.5</f>
        <v>40459.66</v>
      </c>
      <c r="AR105" s="169">
        <f>MAX(0,AR104)*0.5</f>
        <v>28388.2215</v>
      </c>
      <c r="AS105" s="169">
        <f>MAX(0,AS104)*0.5</f>
        <v>68297.05</v>
      </c>
      <c r="AT105" s="169">
        <f>MAX(0,AT104)*0.5</f>
        <v>55349.975000000006</v>
      </c>
      <c r="AU105" s="169">
        <f>MAX(0,AU104)*0.5</f>
        <v>30137.1375</v>
      </c>
      <c r="AV105" s="169">
        <f>MAX(0,AV104)*0.5</f>
        <v>29785.188</v>
      </c>
      <c r="AW105" s="169">
        <f>MAX(0,AW104)*0.5</f>
        <v>29433.234</v>
      </c>
      <c r="AX105" s="169">
        <f>MAX(0,AX104)*0.5</f>
        <v>29081.288999999997</v>
      </c>
      <c r="AY105" s="169">
        <f>MAX(0,AY104)*0.5</f>
        <v>28729.3395</v>
      </c>
      <c r="AZ105" s="169">
        <f>MAX(0,AZ104)*0.5</f>
        <v>28377.39</v>
      </c>
      <c r="BA105" s="169">
        <f>MAX(0,BA104)*0.5</f>
        <v>28025.440499999997</v>
      </c>
      <c r="BB105" s="169">
        <f>MAX(0,BB104)*0.5</f>
        <v>27673.490999999998</v>
      </c>
      <c r="BC105" s="169">
        <f>MAX(0,BC104)*0.5</f>
        <v>27321.5415</v>
      </c>
      <c r="BD105" s="169">
        <f>MAX(0,BD104)*0.5</f>
        <v>26969.591999999997</v>
      </c>
      <c r="BE105" s="169">
        <f>MAX(0,BE104)*0.5</f>
        <v>26617.642499999998</v>
      </c>
      <c r="BF105" s="169">
        <f>MAX(0,BF104)*0.5</f>
        <v>26265.692999999996</v>
      </c>
      <c r="BG105" s="169">
        <f>MAX(0,BG104)*0.5</f>
        <v>25913.748</v>
      </c>
      <c r="BH105" s="169">
        <f>MAX(0,BH104)*0.5</f>
        <v>49062.294</v>
      </c>
      <c r="BI105" s="169">
        <f>MAX(0,BI104)*0.5</f>
        <v>48710.34450000001</v>
      </c>
      <c r="BJ105" s="169">
        <f>MAX(0,BJ104)*0.5</f>
        <v>100430.995</v>
      </c>
      <c r="BK105" s="169">
        <f>MAX(0,BK104)*0.5</f>
        <v>0</v>
      </c>
      <c r="BL105" s="169">
        <f>MAX(0,BL104)*0.5</f>
        <v>0</v>
      </c>
      <c r="BM105" s="169">
        <f>MAX(0,BM104)*0.5</f>
        <v>0</v>
      </c>
      <c r="BN105" s="169">
        <f>MAX(0,BN104)*0.5</f>
        <v>0</v>
      </c>
      <c r="BO105" s="169">
        <f>MAX(0,BO104)*0.5</f>
        <v>0</v>
      </c>
      <c r="BP105" s="169">
        <f>MAX(0,BP104)*0.5</f>
        <v>0</v>
      </c>
      <c r="BQ105" s="169">
        <f>MAX(0,BQ104)*0.5</f>
        <v>0</v>
      </c>
      <c r="BR105" s="169">
        <f>MAX(0,BR104)*0.5</f>
        <v>0</v>
      </c>
      <c r="BS105" s="169">
        <f>MAX(0,BS104)*0.5</f>
        <v>0</v>
      </c>
      <c r="BT105" s="169">
        <f>MAX(0,BT104)*0.5</f>
        <v>0</v>
      </c>
      <c r="BU105" s="169">
        <f>MAX(0,BU104)*0.5</f>
        <v>0</v>
      </c>
      <c r="BV105" s="169">
        <f>MAX(0,BV104)*0.5</f>
        <v>0</v>
      </c>
      <c r="BW105" s="169">
        <f>MAX(0,BW104)*0.5</f>
        <v>0</v>
      </c>
      <c r="BX105" s="169">
        <f>MAX(0,BX104)*0.5</f>
        <v>0</v>
      </c>
      <c r="BY105" s="169">
        <f>MAX(0,BY104)*0.5</f>
        <v>0</v>
      </c>
      <c r="BZ105" s="169">
        <f>MAX(0,BZ104)*0.5</f>
        <v>0</v>
      </c>
      <c r="CA105" s="169">
        <f>MAX(0,CA104)*0.5</f>
        <v>0</v>
      </c>
      <c r="CB105" s="169">
        <f>MAX(0,CB104)*0.5</f>
        <v>0</v>
      </c>
      <c r="CC105" s="169">
        <f>MAX(0,CC104)*0.5</f>
        <v>0</v>
      </c>
      <c r="CD105" s="169">
        <f>MAX(0,CD104)*0.5</f>
        <v>0</v>
      </c>
      <c r="CE105" s="169">
        <f>MAX(0,CE104)*0.5</f>
        <v>0</v>
      </c>
      <c r="CF105" s="169">
        <f>MAX(0,CF104)*0.5</f>
        <v>0</v>
      </c>
      <c r="CG105" s="169">
        <f>MAX(0,CG104)*0.5</f>
        <v>0</v>
      </c>
      <c r="CH105" s="169" t="n">
        <f aca="false">MAX(0,CH104)*$B$95</f>
        <v>0</v>
      </c>
    </row>
    <row r="106" customFormat="false" ht="15" hidden="false" customHeight="true" outlineLevel="0" collapsed="false">
      <c r="A106" s="166" t="s">
        <v>581</v>
      </c>
      <c r="B106" s="167">
        <f>B104-B105</f>
        <v>3538767.4570000004</v>
      </c>
      <c r="C106" s="169" t="n">
        <f aca="false">C104-C105</f>
        <v>0</v>
      </c>
      <c r="D106" s="169" t="n">
        <f aca="false">D104-D105</f>
        <v>0</v>
      </c>
      <c r="E106" s="169" t="n">
        <f aca="false">E104-E105</f>
        <v>0</v>
      </c>
      <c r="F106" s="169" t="n">
        <f aca="false">F104-F105</f>
        <v>0</v>
      </c>
      <c r="G106" s="169" t="n">
        <f aca="false">G104-G105</f>
        <v>0</v>
      </c>
      <c r="H106" s="169" t="n">
        <f aca="false">H104-H105</f>
        <v>0</v>
      </c>
      <c r="I106" s="169" t="n">
        <f aca="false">I104-I105</f>
        <v>0</v>
      </c>
      <c r="J106" s="169" t="n">
        <f aca="false">J104-J105</f>
        <v>0</v>
      </c>
      <c r="K106" s="169" t="n">
        <f aca="false">K104-K105</f>
        <v>0</v>
      </c>
      <c r="L106" s="169">
        <f>L104-L105</f>
        <v>18627.1944</v>
      </c>
      <c r="M106" s="169">
        <f>M104-M105</f>
        <v>12376.9944</v>
      </c>
      <c r="N106" s="169">
        <f>N104-N105</f>
        <v>12376.9944</v>
      </c>
      <c r="O106" s="169">
        <f>O104-O105</f>
        <v>12376.9944</v>
      </c>
      <c r="P106" s="169">
        <f>P104-P105</f>
        <v>7876.9944</v>
      </c>
      <c r="Q106" s="169">
        <f>Q104-Q105</f>
        <v>7876.9944</v>
      </c>
      <c r="R106" s="169">
        <f>R104-R105</f>
        <v>21859.840799999998</v>
      </c>
      <c r="S106" s="169">
        <f>S104-S105</f>
        <v>35842.68719999999</v>
      </c>
      <c r="T106" s="169">
        <f>T104-T105</f>
        <v>49825.533599999995</v>
      </c>
      <c r="U106" s="169">
        <f>U104-U105</f>
        <v>59725.793999999994</v>
      </c>
      <c r="V106" s="169">
        <f>V104-V105</f>
        <v>75262.296</v>
      </c>
      <c r="W106" s="169">
        <f>W104-W105</f>
        <v>90798.786</v>
      </c>
      <c r="X106" s="169">
        <f>X104-X105</f>
        <v>106335.276</v>
      </c>
      <c r="Y106" s="169">
        <f>Y104-Y105</f>
        <v>121871.772</v>
      </c>
      <c r="Z106" s="169">
        <f>Z104-Z105</f>
        <v>137408.27399999998</v>
      </c>
      <c r="AA106" s="169">
        <f>AA104-AA105</f>
        <v>140199.367</v>
      </c>
      <c r="AB106" s="169">
        <f>AB104-AB105</f>
        <v>154441.1605</v>
      </c>
      <c r="AC106" s="169">
        <f>AC104-AC105</f>
        <v>187731.2855</v>
      </c>
      <c r="AD106" s="169">
        <f>AD104-AD105</f>
        <v>138606.05550000002</v>
      </c>
      <c r="AE106" s="169">
        <f>AE104-AE105</f>
        <v>139036.22149999999</v>
      </c>
      <c r="AF106" s="169">
        <f>AF104-AF105</f>
        <v>139466.37649999998</v>
      </c>
      <c r="AG106" s="169">
        <f>AG104-AG105</f>
        <v>139896.537</v>
      </c>
      <c r="AH106" s="169">
        <f>AH104-AH105</f>
        <v>140326.69199999998</v>
      </c>
      <c r="AI106" s="169">
        <f>AI104-AI105</f>
        <v>154998.6405</v>
      </c>
      <c r="AJ106" s="169">
        <f>AJ104-AJ105</f>
        <v>141187.0185</v>
      </c>
      <c r="AK106" s="169">
        <f>AK104-AK105</f>
        <v>127375.39099999999</v>
      </c>
      <c r="AL106" s="169">
        <f>AL104-AL105</f>
        <v>113563.7635</v>
      </c>
      <c r="AM106" s="169">
        <f>AM104-AM105</f>
        <v>99752.1305</v>
      </c>
      <c r="AN106" s="169">
        <f>AN104-AN105</f>
        <v>78127.735</v>
      </c>
      <c r="AO106" s="169">
        <f>AO104-AO105</f>
        <v>65571.71</v>
      </c>
      <c r="AP106" s="169">
        <f>AP104-AP105</f>
        <v>53015.67999999999</v>
      </c>
      <c r="AQ106" s="169">
        <f>AQ104-AQ105</f>
        <v>40459.66</v>
      </c>
      <c r="AR106" s="169">
        <f>AR104-AR105</f>
        <v>28388.2215</v>
      </c>
      <c r="AS106" s="169">
        <f>AS104-AS105</f>
        <v>68297.05</v>
      </c>
      <c r="AT106" s="169">
        <f>AT104-AT105</f>
        <v>55349.975000000006</v>
      </c>
      <c r="AU106" s="169">
        <f>AU104-AU105</f>
        <v>30137.1375</v>
      </c>
      <c r="AV106" s="169">
        <f>AV104-AV105</f>
        <v>29785.188</v>
      </c>
      <c r="AW106" s="169">
        <f>AW104-AW105</f>
        <v>29433.234</v>
      </c>
      <c r="AX106" s="169">
        <f>AX104-AX105</f>
        <v>29081.288999999997</v>
      </c>
      <c r="AY106" s="169">
        <f>AY104-AY105</f>
        <v>28729.3395</v>
      </c>
      <c r="AZ106" s="169">
        <f>AZ104-AZ105</f>
        <v>28377.39</v>
      </c>
      <c r="BA106" s="169">
        <f>BA104-BA105</f>
        <v>28025.440499999997</v>
      </c>
      <c r="BB106" s="169">
        <f>BB104-BB105</f>
        <v>27673.490999999998</v>
      </c>
      <c r="BC106" s="169">
        <f>BC104-BC105</f>
        <v>27321.5415</v>
      </c>
      <c r="BD106" s="169">
        <f>BD104-BD105</f>
        <v>26969.591999999997</v>
      </c>
      <c r="BE106" s="169">
        <f>BE104-BE105</f>
        <v>26617.642499999998</v>
      </c>
      <c r="BF106" s="169">
        <f>BF104-BF105</f>
        <v>26265.692999999996</v>
      </c>
      <c r="BG106" s="169">
        <f>BG104-BG105</f>
        <v>25913.748</v>
      </c>
      <c r="BH106" s="169">
        <f>BH104-BH105</f>
        <v>49062.294</v>
      </c>
      <c r="BI106" s="169">
        <f>BI104-BI105</f>
        <v>48710.34450000001</v>
      </c>
      <c r="BJ106" s="169">
        <f>BJ104-BJ105</f>
        <v>100430.995</v>
      </c>
      <c r="BK106" s="169" t="n">
        <f aca="false">BK104-BK105</f>
        <v>0</v>
      </c>
      <c r="BL106" s="169" t="n">
        <f aca="false">BL104-BL105</f>
        <v>0</v>
      </c>
      <c r="BM106" s="169" t="n">
        <f aca="false">BM104-BM105</f>
        <v>0</v>
      </c>
      <c r="BN106" s="169" t="n">
        <f aca="false">BN104-BN105</f>
        <v>0</v>
      </c>
      <c r="BO106" s="169" t="n">
        <f aca="false">BO104-BO105</f>
        <v>0</v>
      </c>
      <c r="BP106" s="169" t="n">
        <f aca="false">BP104-BP105</f>
        <v>0</v>
      </c>
      <c r="BQ106" s="169" t="n">
        <f aca="false">BQ104-BQ105</f>
        <v>0</v>
      </c>
      <c r="BR106" s="169" t="n">
        <f aca="false">BR104-BR105</f>
        <v>0</v>
      </c>
      <c r="BS106" s="169" t="n">
        <f aca="false">BS104-BS105</f>
        <v>0</v>
      </c>
      <c r="BT106" s="169" t="n">
        <f aca="false">BT104-BT105</f>
        <v>0</v>
      </c>
      <c r="BU106" s="169" t="n">
        <f aca="false">BU104-BU105</f>
        <v>0</v>
      </c>
      <c r="BV106" s="169" t="n">
        <f aca="false">BV104-BV105</f>
        <v>0</v>
      </c>
      <c r="BW106" s="169" t="n">
        <f aca="false">BW104-BW105</f>
        <v>0</v>
      </c>
      <c r="BX106" s="169" t="n">
        <f aca="false">BX104-BX105</f>
        <v>0</v>
      </c>
      <c r="BY106" s="169" t="n">
        <f aca="false">BY104-BY105</f>
        <v>0</v>
      </c>
      <c r="BZ106" s="169" t="n">
        <f aca="false">BZ104-BZ105</f>
        <v>0</v>
      </c>
      <c r="CA106" s="169" t="n">
        <f aca="false">CA104-CA105</f>
        <v>0</v>
      </c>
      <c r="CB106" s="169" t="n">
        <f aca="false">CB104-CB105</f>
        <v>0</v>
      </c>
      <c r="CC106" s="169" t="n">
        <f aca="false">CC104-CC105</f>
        <v>0</v>
      </c>
      <c r="CD106" s="169" t="n">
        <f aca="false">CD104-CD105</f>
        <v>0</v>
      </c>
      <c r="CE106" s="169" t="n">
        <f aca="false">CE104-CE105</f>
        <v>0</v>
      </c>
      <c r="CF106" s="169" t="n">
        <f aca="false">CF104-CF105</f>
        <v>0</v>
      </c>
      <c r="CG106" s="169" t="n">
        <f aca="false">CG104-CG105</f>
        <v>0</v>
      </c>
      <c r="CH106" s="169" t="n">
        <f aca="false">CH104-CH105</f>
        <v>0</v>
      </c>
    </row>
    <row r="107" customFormat="false" ht="15" hidden="false" customHeight="true" outlineLevel="0" collapsed="false">
      <c r="A107" s="166" t="s">
        <v>582</v>
      </c>
      <c r="B107" s="167">
        <f>B103+B106</f>
        <v>4101960.074</v>
      </c>
      <c r="C107" s="169" t="n">
        <f aca="false">C103+C106</f>
        <v>0</v>
      </c>
      <c r="D107" s="169" t="n">
        <f aca="false">D103+D106</f>
        <v>0</v>
      </c>
      <c r="E107" s="169" t="n">
        <f aca="false">E103+E106</f>
        <v>0</v>
      </c>
      <c r="F107" s="169" t="n">
        <f aca="false">F103+F106</f>
        <v>0</v>
      </c>
      <c r="G107" s="169" t="n">
        <f aca="false">G103+G106</f>
        <v>0</v>
      </c>
      <c r="H107" s="169" t="n">
        <f aca="false">H103+H106</f>
        <v>0</v>
      </c>
      <c r="I107" s="169" t="n">
        <f aca="false">I103+I106</f>
        <v>0</v>
      </c>
      <c r="J107" s="169" t="n">
        <f aca="false">J103+J106</f>
        <v>0</v>
      </c>
      <c r="K107" s="169" t="n">
        <f aca="false">K103+K106</f>
        <v>0</v>
      </c>
      <c r="L107" s="169">
        <f>L103+L106</f>
        <v>23132.2304</v>
      </c>
      <c r="M107" s="169">
        <f>M103+M106</f>
        <v>16882.0304</v>
      </c>
      <c r="N107" s="169">
        <f>N103+N106</f>
        <v>16882.0304</v>
      </c>
      <c r="O107" s="169">
        <f>O103+O106</f>
        <v>16882.0304</v>
      </c>
      <c r="P107" s="169">
        <f>P103+P106</f>
        <v>12382.0304</v>
      </c>
      <c r="Q107" s="169">
        <f>Q103+Q106</f>
        <v>12382.0304</v>
      </c>
      <c r="R107" s="169">
        <f>R103+R106</f>
        <v>28954.2928</v>
      </c>
      <c r="S107" s="169">
        <f>S103+S106</f>
        <v>45526.555199999995</v>
      </c>
      <c r="T107" s="169">
        <f>T103+T106</f>
        <v>62098.817599999995</v>
      </c>
      <c r="U107" s="169">
        <f>U103+U106</f>
        <v>72225.794</v>
      </c>
      <c r="V107" s="169">
        <f>V103+V106</f>
        <v>87762.296</v>
      </c>
      <c r="W107" s="169">
        <f>W103+W106</f>
        <v>103298.786</v>
      </c>
      <c r="X107" s="169">
        <f>X103+X106</f>
        <v>118835.276</v>
      </c>
      <c r="Y107" s="169">
        <f>Y103+Y106</f>
        <v>134371.772</v>
      </c>
      <c r="Z107" s="169">
        <f>Z103+Z106</f>
        <v>149908.27399999998</v>
      </c>
      <c r="AA107" s="169">
        <f>AA103+AA106</f>
        <v>152699.367</v>
      </c>
      <c r="AB107" s="169">
        <f>AB103+AB106</f>
        <v>166941.1605</v>
      </c>
      <c r="AC107" s="169">
        <f>AC103+AC106</f>
        <v>200231.2855</v>
      </c>
      <c r="AD107" s="169">
        <f>AD103+AD106</f>
        <v>151106.05550000002</v>
      </c>
      <c r="AE107" s="169">
        <f>AE103+AE106</f>
        <v>151536.22149999999</v>
      </c>
      <c r="AF107" s="169">
        <f>AF103+AF106</f>
        <v>151966.37649999998</v>
      </c>
      <c r="AG107" s="169">
        <f>AG103+AG106</f>
        <v>152396.537</v>
      </c>
      <c r="AH107" s="169">
        <f>AH103+AH106</f>
        <v>152826.69199999998</v>
      </c>
      <c r="AI107" s="169">
        <f>AI103+AI106</f>
        <v>167498.6405</v>
      </c>
      <c r="AJ107" s="169">
        <f>AJ103+AJ106</f>
        <v>153687.0185</v>
      </c>
      <c r="AK107" s="169">
        <f>AK103+AK106</f>
        <v>139875.391</v>
      </c>
      <c r="AL107" s="169">
        <f>AL103+AL106</f>
        <v>126063.7635</v>
      </c>
      <c r="AM107" s="169">
        <f>AM103+AM106</f>
        <v>112252.1305</v>
      </c>
      <c r="AN107" s="169">
        <f>AN103+AN106</f>
        <v>90627.735</v>
      </c>
      <c r="AO107" s="169">
        <f>AO103+AO106</f>
        <v>78071.71</v>
      </c>
      <c r="AP107" s="169">
        <f>AP103+AP106</f>
        <v>65515.67999999999</v>
      </c>
      <c r="AQ107" s="169">
        <f>AQ103+AQ106</f>
        <v>52959.66</v>
      </c>
      <c r="AR107" s="169">
        <f>AR103+AR106</f>
        <v>39919.048500000004</v>
      </c>
      <c r="AS107" s="169">
        <f>AS103+AS106</f>
        <v>80797.05</v>
      </c>
      <c r="AT107" s="169">
        <f>AT103+AT106</f>
        <v>67849.975</v>
      </c>
      <c r="AU107" s="169">
        <f>AU103+AU106</f>
        <v>42056.6125</v>
      </c>
      <c r="AV107" s="169">
        <f>AV103+AV106</f>
        <v>41626.452</v>
      </c>
      <c r="AW107" s="169">
        <f>AW103+AW106</f>
        <v>41196.286</v>
      </c>
      <c r="AX107" s="169">
        <f>AX103+AX106</f>
        <v>40766.130999999994</v>
      </c>
      <c r="AY107" s="169">
        <f>AY103+AY106</f>
        <v>40335.970499999996</v>
      </c>
      <c r="AZ107" s="169">
        <f>AZ103+AZ106</f>
        <v>39905.81</v>
      </c>
      <c r="BA107" s="169">
        <f>BA103+BA106</f>
        <v>39475.6495</v>
      </c>
      <c r="BB107" s="169">
        <f>BB103+BB106</f>
        <v>39045.489</v>
      </c>
      <c r="BC107" s="169">
        <f>BC103+BC106</f>
        <v>38615.3285</v>
      </c>
      <c r="BD107" s="169">
        <f>BD103+BD106</f>
        <v>38185.168</v>
      </c>
      <c r="BE107" s="169">
        <f>BE103+BE106</f>
        <v>37755.0075</v>
      </c>
      <c r="BF107" s="169">
        <f>BF103+BF106</f>
        <v>37324.846999999994</v>
      </c>
      <c r="BG107" s="169">
        <f>BG103+BG106</f>
        <v>36894.692</v>
      </c>
      <c r="BH107" s="169">
        <f>BH103+BH106</f>
        <v>59965.026000000005</v>
      </c>
      <c r="BI107" s="169">
        <f>BI103+BI106</f>
        <v>59534.86550000001</v>
      </c>
      <c r="BJ107" s="169">
        <f>BJ103+BJ106</f>
        <v>112930.995</v>
      </c>
      <c r="BK107" s="169" t="n">
        <f aca="false">BK103+BK106</f>
        <v>0</v>
      </c>
      <c r="BL107" s="169" t="n">
        <f aca="false">BL103+BL106</f>
        <v>0</v>
      </c>
      <c r="BM107" s="169" t="n">
        <f aca="false">BM103+BM106</f>
        <v>0</v>
      </c>
      <c r="BN107" s="169" t="n">
        <f aca="false">BN103+BN106</f>
        <v>0</v>
      </c>
      <c r="BO107" s="169" t="n">
        <f aca="false">BO103+BO106</f>
        <v>0</v>
      </c>
      <c r="BP107" s="169" t="n">
        <f aca="false">BP103+BP106</f>
        <v>0</v>
      </c>
      <c r="BQ107" s="169" t="n">
        <f aca="false">BQ103+BQ106</f>
        <v>0</v>
      </c>
      <c r="BR107" s="169" t="n">
        <f aca="false">BR103+BR106</f>
        <v>0</v>
      </c>
      <c r="BS107" s="169" t="n">
        <f aca="false">BS103+BS106</f>
        <v>0</v>
      </c>
      <c r="BT107" s="169" t="n">
        <f aca="false">BT103+BT106</f>
        <v>0</v>
      </c>
      <c r="BU107" s="169" t="n">
        <f aca="false">BU103+BU106</f>
        <v>0</v>
      </c>
      <c r="BV107" s="169" t="n">
        <f aca="false">BV103+BV106</f>
        <v>0</v>
      </c>
      <c r="BW107" s="169" t="n">
        <f aca="false">BW103+BW106</f>
        <v>0</v>
      </c>
      <c r="BX107" s="169" t="n">
        <f aca="false">BX103+BX106</f>
        <v>0</v>
      </c>
      <c r="BY107" s="169" t="n">
        <f aca="false">BY103+BY106</f>
        <v>0</v>
      </c>
      <c r="BZ107" s="169" t="n">
        <f aca="false">BZ103+BZ106</f>
        <v>0</v>
      </c>
      <c r="CA107" s="169" t="n">
        <f aca="false">CA103+CA106</f>
        <v>0</v>
      </c>
      <c r="CB107" s="169" t="n">
        <f aca="false">CB103+CB106</f>
        <v>0</v>
      </c>
      <c r="CC107" s="169" t="n">
        <f aca="false">CC103+CC106</f>
        <v>0</v>
      </c>
      <c r="CD107" s="169" t="n">
        <f aca="false">CD103+CD106</f>
        <v>0</v>
      </c>
      <c r="CE107" s="169" t="n">
        <f aca="false">CE103+CE106</f>
        <v>0</v>
      </c>
      <c r="CF107" s="169" t="n">
        <f aca="false">CF103+CF106</f>
        <v>0</v>
      </c>
      <c r="CG107" s="169" t="n">
        <f aca="false">CG103+CG106</f>
        <v>0</v>
      </c>
      <c r="CH107" s="169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70" t="s">
        <v>686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</row>
    <row r="3" customFormat="false" ht="15" hidden="false" customHeight="true" outlineLevel="0" collapsed="false">
      <c r="A3" s="172"/>
      <c r="B3" s="173" t="s">
        <v>687</v>
      </c>
      <c r="C3" s="173" t="s">
        <v>688</v>
      </c>
      <c r="D3" s="173" t="s">
        <v>689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4" t="s">
        <v>49</v>
      </c>
      <c r="B5" s="175"/>
      <c r="C5" s="175"/>
      <c r="D5" s="17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6" t="s">
        <v>690</v>
      </c>
      <c r="B6" s="177" t="n">
        <f aca="false">SUM(Model!C60:CH60)</f>
        <v>1063981</v>
      </c>
      <c r="C6" s="177" t="n">
        <f aca="false">Helpers!B47</f>
        <v>1912475</v>
      </c>
      <c r="D6" s="177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691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6" t="s">
        <v>692</v>
      </c>
      <c r="B8" s="177" t="n">
        <f aca="false">-Assumptions!$B$53*Assumptions!$B$48</f>
        <v>-150000</v>
      </c>
      <c r="C8" s="177" t="n">
        <v>0</v>
      </c>
      <c r="D8" s="177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560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4" t="s">
        <v>693</v>
      </c>
      <c r="B10" s="147" t="n">
        <f aca="false">SUM(B6:B9)</f>
        <v>484296.52</v>
      </c>
      <c r="C10" s="147" t="n">
        <f aca="false">SUM(C6:C9)</f>
        <v>1912475</v>
      </c>
      <c r="D10" s="147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8"/>
      <c r="B11" s="179"/>
      <c r="C11" s="179"/>
      <c r="D11" s="179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694</v>
      </c>
      <c r="B12" s="112"/>
      <c r="C12" s="180"/>
      <c r="D12" s="180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6" t="s">
        <v>690</v>
      </c>
      <c r="B13" s="177" t="n">
        <f aca="false">SUM(Model!C62:CH62)</f>
        <v>292621</v>
      </c>
      <c r="C13" s="177" t="n">
        <f aca="false">Helpers!B48</f>
        <v>2633580</v>
      </c>
      <c r="D13" s="177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81" t="s">
        <v>691</v>
      </c>
      <c r="B14" s="182" t="n">
        <f aca="false">-Projects!$B$14*Assumptions!$B$47</f>
        <v>-413546.32</v>
      </c>
      <c r="C14" s="182" t="n">
        <v>0</v>
      </c>
      <c r="D14" s="182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6" t="s">
        <v>692</v>
      </c>
      <c r="B15" s="177" t="n">
        <f aca="false">-Assumptions!$B$55*Assumptions!$B$48</f>
        <v>-150000</v>
      </c>
      <c r="C15" s="177" t="n">
        <v>0</v>
      </c>
      <c r="D15" s="177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81" t="s">
        <v>560</v>
      </c>
      <c r="B16" s="182" t="n">
        <f aca="false">-SUM(Model!C122:CH122)</f>
        <v>-603840.547005172</v>
      </c>
      <c r="C16" s="182" t="n">
        <f aca="false">-Helpers!F93</f>
        <v>-240125.881206445</v>
      </c>
      <c r="D16" s="182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693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3"/>
      <c r="B18" s="184"/>
      <c r="C18" s="184"/>
      <c r="D18" s="18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5" t="s">
        <v>54</v>
      </c>
      <c r="B19" s="186"/>
      <c r="C19" s="186"/>
      <c r="D19" s="186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7" t="s">
        <v>690</v>
      </c>
      <c r="B20" s="188" t="n">
        <f aca="false">SUM(Model!C61:CH61)</f>
        <v>1681289</v>
      </c>
      <c r="C20" s="188" t="n">
        <f aca="false">Helpers!B49</f>
        <v>2278136</v>
      </c>
      <c r="D20" s="188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9" t="s">
        <v>691</v>
      </c>
      <c r="B21" s="190" t="n">
        <f aca="false">-Projects!$B$13*Assumptions!$B$47</f>
        <v>-452667.7</v>
      </c>
      <c r="C21" s="190" t="n">
        <v>0</v>
      </c>
      <c r="D21" s="190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7" t="s">
        <v>692</v>
      </c>
      <c r="B22" s="188" t="n">
        <f aca="false">-Assumptions!$B$54*Assumptions!$B$48</f>
        <v>-150000</v>
      </c>
      <c r="C22" s="188" t="n">
        <v>0</v>
      </c>
      <c r="D22" s="188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560</v>
      </c>
      <c r="B23" s="65" t="n">
        <f aca="false">-SUM(Model!C127:CH127)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9" t="s">
        <v>693</v>
      </c>
      <c r="B24" s="151" t="n">
        <f aca="false">SUM(B20:B23)</f>
        <v>340608.026606479</v>
      </c>
      <c r="C24" s="151" t="n">
        <f aca="false">SUM(C20:C23)</f>
        <v>2278136</v>
      </c>
      <c r="D24" s="151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32"/>
      <c r="B25" s="191"/>
      <c r="C25" s="191"/>
      <c r="D25" s="191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92" t="s">
        <v>695</v>
      </c>
      <c r="B26" s="193"/>
      <c r="C26" s="193"/>
      <c r="D26" s="19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4" t="s">
        <v>696</v>
      </c>
      <c r="B27" s="195" t="n">
        <f aca="false">B6+B13+B20</f>
        <v>3037891</v>
      </c>
      <c r="C27" s="195" t="n">
        <f aca="false">C6+C13+C20</f>
        <v>6824191</v>
      </c>
      <c r="D27" s="195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697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6" t="s">
        <v>698</v>
      </c>
      <c r="B29" s="197" t="n">
        <f aca="false">B8+B15+B22</f>
        <v>-450000</v>
      </c>
      <c r="C29" s="197" t="n">
        <f aca="false">C8+C15+C22</f>
        <v>0</v>
      </c>
      <c r="D29" s="197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8" t="s">
        <v>699</v>
      </c>
      <c r="B30" s="199" t="n">
        <f aca="false">B9+B16+B23</f>
        <v>-1341853.82039869</v>
      </c>
      <c r="C30" s="199" t="n">
        <f aca="false">C9+C16+C23</f>
        <v>-240125.881206445</v>
      </c>
      <c r="D30" s="199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700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200"/>
      <c r="B32" s="201"/>
      <c r="C32" s="201"/>
      <c r="D32" s="201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32"/>
      <c r="B33" s="191"/>
      <c r="C33" s="191"/>
      <c r="D33" s="191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200"/>
      <c r="B34" s="201"/>
      <c r="C34" s="201"/>
      <c r="D34" s="201"/>
    </row>
    <row r="35" customFormat="false" ht="15" hidden="false" customHeight="true" outlineLevel="0" collapsed="false">
      <c r="A35" s="178"/>
      <c r="B35" s="179"/>
      <c r="C35" s="179"/>
      <c r="D35" s="179"/>
    </row>
    <row r="37" customFormat="false" ht="15" hidden="false" customHeight="true" outlineLevel="0" collapsed="false">
      <c r="A37" s="202"/>
    </row>
    <row r="38" customFormat="false" ht="15" hidden="false" customHeight="true" outlineLevel="0" collapsed="false">
      <c r="A38" s="203"/>
    </row>
    <row r="39" customFormat="false" ht="15" hidden="false" customHeight="true" outlineLevel="0" collapsed="false">
      <c r="A39" s="203"/>
    </row>
    <row r="40" customFormat="false" ht="15" hidden="false" customHeight="true" outlineLevel="0" collapsed="false">
      <c r="A40" s="203" t="s">
        <v>701</v>
      </c>
    </row>
    <row r="41" customFormat="false" ht="15" hidden="false" customHeight="true" outlineLevel="0" collapsed="false">
      <c r="A41" s="203" t="s">
        <v>702</v>
      </c>
    </row>
    <row r="42" customFormat="false" ht="15" hidden="false" customHeight="true" outlineLevel="0" collapsed="false">
      <c r="A42" s="203" t="s">
        <v>703</v>
      </c>
    </row>
    <row r="43" customFormat="false" ht="15" hidden="false" customHeight="true" outlineLevel="0" collapsed="false">
      <c r="A43" s="203" t="s">
        <v>704</v>
      </c>
    </row>
    <row r="44" customFormat="false" ht="15" hidden="false" customHeight="true" outlineLevel="0" collapsed="false">
      <c r="A44" s="203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2026-04-08T19:16:14Z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