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23D346CA-1299-4DD8-8725-D8102641F394}" xr6:coauthVersionLast="47" xr6:coauthVersionMax="47" xr10:uidLastSave="{00000000-0000-0000-0000-000000000000}"/>
  <bookViews>
    <workbookView xWindow="6195" yWindow="825" windowWidth="20190" windowHeight="19500" tabRatio="500" firstSheet="1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B8" i="13"/>
  <c r="B7" i="13"/>
  <c r="CH103" i="12"/>
  <c r="CG103" i="12"/>
  <c r="CF103" i="12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L103" i="12"/>
  <c r="BK103" i="12"/>
  <c r="BJ103" i="12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F20" i="12" s="1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B103" i="12" s="1"/>
  <c r="C103" i="12"/>
  <c r="CH102" i="12"/>
  <c r="CG102" i="12"/>
  <c r="CG104" i="12" s="1"/>
  <c r="CF102" i="12"/>
  <c r="CE102" i="12"/>
  <c r="CE104" i="12" s="1"/>
  <c r="CD102" i="12"/>
  <c r="CD104" i="12" s="1"/>
  <c r="CD105" i="12" s="1"/>
  <c r="CC102" i="12"/>
  <c r="CC104" i="12" s="1"/>
  <c r="CB102" i="12"/>
  <c r="CB104" i="12" s="1"/>
  <c r="CA102" i="12"/>
  <c r="BZ102" i="12"/>
  <c r="BY102" i="12"/>
  <c r="BX102" i="12"/>
  <c r="BW102" i="12"/>
  <c r="BW104" i="12" s="1"/>
  <c r="BV102" i="12"/>
  <c r="BV104" i="12" s="1"/>
  <c r="BV105" i="12" s="1"/>
  <c r="BU102" i="12"/>
  <c r="BU104" i="12" s="1"/>
  <c r="BT102" i="12"/>
  <c r="BT104" i="12" s="1"/>
  <c r="BS102" i="12"/>
  <c r="BR102" i="12"/>
  <c r="BQ102" i="12"/>
  <c r="BQ104" i="12" s="1"/>
  <c r="BP102" i="12"/>
  <c r="BO102" i="12"/>
  <c r="BO104" i="12" s="1"/>
  <c r="BN102" i="12"/>
  <c r="BN104" i="12" s="1"/>
  <c r="BN105" i="12" s="1"/>
  <c r="BM102" i="12"/>
  <c r="BM104" i="12" s="1"/>
  <c r="BL102" i="12"/>
  <c r="BL104" i="12" s="1"/>
  <c r="BK102" i="12"/>
  <c r="BJ102" i="12"/>
  <c r="BI102" i="12"/>
  <c r="BI104" i="12" s="1"/>
  <c r="BH102" i="12"/>
  <c r="BG102" i="12"/>
  <c r="BG104" i="12" s="1"/>
  <c r="BF102" i="12"/>
  <c r="BF104" i="12" s="1"/>
  <c r="BF105" i="12" s="1"/>
  <c r="BE102" i="12"/>
  <c r="BE104" i="12" s="1"/>
  <c r="BD102" i="12"/>
  <c r="BD104" i="12" s="1"/>
  <c r="BC102" i="12"/>
  <c r="BB102" i="12"/>
  <c r="BA102" i="12"/>
  <c r="BA104" i="12" s="1"/>
  <c r="AZ102" i="12"/>
  <c r="AY102" i="12"/>
  <c r="AY104" i="12" s="1"/>
  <c r="AX102" i="12"/>
  <c r="AX104" i="12" s="1"/>
  <c r="AX105" i="12" s="1"/>
  <c r="AW102" i="12"/>
  <c r="AV102" i="12"/>
  <c r="AV104" i="12" s="1"/>
  <c r="AU102" i="12"/>
  <c r="AT102" i="12"/>
  <c r="AT104" i="12" s="1"/>
  <c r="AS102" i="12"/>
  <c r="AS104" i="12" s="1"/>
  <c r="AR102" i="12"/>
  <c r="AQ102" i="12"/>
  <c r="AQ104" i="12" s="1"/>
  <c r="AP102" i="12"/>
  <c r="AP104" i="12" s="1"/>
  <c r="AP105" i="12" s="1"/>
  <c r="AO102" i="12"/>
  <c r="AO104" i="12" s="1"/>
  <c r="AN102" i="12"/>
  <c r="AN104" i="12" s="1"/>
  <c r="AM102" i="12"/>
  <c r="AL102" i="12"/>
  <c r="AL104" i="12" s="1"/>
  <c r="AK102" i="12"/>
  <c r="AK104" i="12" s="1"/>
  <c r="AJ102" i="12"/>
  <c r="AI102" i="12"/>
  <c r="AI104" i="12" s="1"/>
  <c r="AH102" i="12"/>
  <c r="AH104" i="12" s="1"/>
  <c r="AH105" i="12" s="1"/>
  <c r="AG102" i="12"/>
  <c r="AG104" i="12" s="1"/>
  <c r="AF102" i="12"/>
  <c r="AF104" i="12" s="1"/>
  <c r="AE102" i="12"/>
  <c r="AD102" i="12"/>
  <c r="AD104" i="12" s="1"/>
  <c r="AC102" i="12"/>
  <c r="AC104" i="12" s="1"/>
  <c r="AB102" i="12"/>
  <c r="AA102" i="12"/>
  <c r="AA104" i="12" s="1"/>
  <c r="Z102" i="12"/>
  <c r="Z104" i="12" s="1"/>
  <c r="Z105" i="12" s="1"/>
  <c r="Y102" i="12"/>
  <c r="Y104" i="12" s="1"/>
  <c r="X102" i="12"/>
  <c r="X104" i="12" s="1"/>
  <c r="W102" i="12"/>
  <c r="V102" i="12"/>
  <c r="V104" i="12" s="1"/>
  <c r="U102" i="12"/>
  <c r="U104" i="12" s="1"/>
  <c r="T102" i="12"/>
  <c r="S102" i="12"/>
  <c r="S104" i="12" s="1"/>
  <c r="R102" i="12"/>
  <c r="R104" i="12" s="1"/>
  <c r="R105" i="12" s="1"/>
  <c r="Q102" i="12"/>
  <c r="Q104" i="12" s="1"/>
  <c r="P102" i="12"/>
  <c r="P104" i="12" s="1"/>
  <c r="O102" i="12"/>
  <c r="N102" i="12"/>
  <c r="N104" i="12" s="1"/>
  <c r="M102" i="12"/>
  <c r="M104" i="12" s="1"/>
  <c r="L102" i="12"/>
  <c r="K102" i="12"/>
  <c r="K104" i="12" s="1"/>
  <c r="K106" i="12" s="1"/>
  <c r="J102" i="12"/>
  <c r="J104" i="12" s="1"/>
  <c r="J106" i="12" s="1"/>
  <c r="I102" i="12"/>
  <c r="I104" i="12" s="1"/>
  <c r="I106" i="12" s="1"/>
  <c r="H102" i="12"/>
  <c r="H104" i="12" s="1"/>
  <c r="H106" i="12" s="1"/>
  <c r="G102" i="12"/>
  <c r="F102" i="12"/>
  <c r="F104" i="12" s="1"/>
  <c r="F106" i="12" s="1"/>
  <c r="E102" i="12"/>
  <c r="E104" i="12" s="1"/>
  <c r="E106" i="12" s="1"/>
  <c r="D102" i="12"/>
  <c r="C102" i="12"/>
  <c r="C104" i="12" s="1"/>
  <c r="B101" i="12"/>
  <c r="B100" i="12"/>
  <c r="B99" i="12"/>
  <c r="G47" i="12"/>
  <c r="G46" i="12"/>
  <c r="G45" i="12"/>
  <c r="G44" i="12"/>
  <c r="G48" i="12" s="1"/>
  <c r="C22" i="12"/>
  <c r="D20" i="12"/>
  <c r="E19" i="12"/>
  <c r="J18" i="12"/>
  <c r="I18" i="12"/>
  <c r="H18" i="12"/>
  <c r="G18" i="12"/>
  <c r="F18" i="12"/>
  <c r="E18" i="12"/>
  <c r="D18" i="12"/>
  <c r="C18" i="12"/>
  <c r="J17" i="12"/>
  <c r="I17" i="12"/>
  <c r="H17" i="12"/>
  <c r="G17" i="12"/>
  <c r="F17" i="12"/>
  <c r="E17" i="12"/>
  <c r="D17" i="12"/>
  <c r="C17" i="12"/>
  <c r="B17" i="12" s="1"/>
  <c r="B61" i="12" s="1"/>
  <c r="J16" i="12"/>
  <c r="I16" i="12"/>
  <c r="H16" i="12"/>
  <c r="G16" i="12"/>
  <c r="F16" i="12"/>
  <c r="E16" i="12"/>
  <c r="D16" i="12"/>
  <c r="C16" i="12"/>
  <c r="CH110" i="11"/>
  <c r="CG110" i="11"/>
  <c r="CF110" i="11"/>
  <c r="CE110" i="11"/>
  <c r="CD110" i="11"/>
  <c r="CC110" i="11"/>
  <c r="CB110" i="11"/>
  <c r="CA110" i="11"/>
  <c r="BZ110" i="11"/>
  <c r="BY110" i="11"/>
  <c r="BX110" i="11"/>
  <c r="BW110" i="11"/>
  <c r="BV110" i="11"/>
  <c r="BU110" i="11"/>
  <c r="BT110" i="11"/>
  <c r="BS110" i="11"/>
  <c r="BR110" i="11"/>
  <c r="BQ110" i="11"/>
  <c r="BP110" i="11"/>
  <c r="BO110" i="11"/>
  <c r="BN110" i="11"/>
  <c r="BM110" i="11"/>
  <c r="BL110" i="11"/>
  <c r="BK110" i="11"/>
  <c r="BJ110" i="11"/>
  <c r="BI110" i="11"/>
  <c r="BH110" i="11"/>
  <c r="BG110" i="11"/>
  <c r="BF110" i="11"/>
  <c r="BE110" i="11"/>
  <c r="BD110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P110" i="11"/>
  <c r="AO110" i="11"/>
  <c r="AN110" i="11"/>
  <c r="AM110" i="11"/>
  <c r="AL110" i="11"/>
  <c r="AK110" i="11"/>
  <c r="AJ110" i="11"/>
  <c r="AI110" i="11"/>
  <c r="AH110" i="11"/>
  <c r="AG110" i="11"/>
  <c r="AF110" i="11"/>
  <c r="AE110" i="11"/>
  <c r="AD110" i="11"/>
  <c r="AC110" i="11"/>
  <c r="AB110" i="11"/>
  <c r="AA110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CH109" i="11"/>
  <c r="CG109" i="11"/>
  <c r="CF109" i="11"/>
  <c r="CE109" i="11"/>
  <c r="CD109" i="11"/>
  <c r="CC109" i="11"/>
  <c r="CB109" i="11"/>
  <c r="CA109" i="11"/>
  <c r="BZ109" i="11"/>
  <c r="BY109" i="11"/>
  <c r="BX109" i="11"/>
  <c r="BW109" i="11"/>
  <c r="BV109" i="11"/>
  <c r="BU109" i="11"/>
  <c r="BT109" i="11"/>
  <c r="BS109" i="11"/>
  <c r="BR109" i="11"/>
  <c r="BQ109" i="11"/>
  <c r="BP109" i="11"/>
  <c r="BO109" i="11"/>
  <c r="BN109" i="11"/>
  <c r="BM109" i="11"/>
  <c r="BL109" i="11"/>
  <c r="BK109" i="11"/>
  <c r="BJ109" i="11"/>
  <c r="BI109" i="11"/>
  <c r="BH109" i="11"/>
  <c r="BG109" i="11"/>
  <c r="BF109" i="11"/>
  <c r="BE109" i="11"/>
  <c r="BD109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P109" i="11"/>
  <c r="AO109" i="11"/>
  <c r="AN109" i="11"/>
  <c r="AM109" i="11"/>
  <c r="AL109" i="11"/>
  <c r="AK109" i="11"/>
  <c r="AJ109" i="11"/>
  <c r="AI109" i="11"/>
  <c r="AH109" i="11"/>
  <c r="AG109" i="11"/>
  <c r="AF109" i="11"/>
  <c r="AE109" i="11"/>
  <c r="AD109" i="11"/>
  <c r="AC109" i="11"/>
  <c r="AB109" i="11"/>
  <c r="AA109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CH108" i="11"/>
  <c r="CG108" i="11"/>
  <c r="CF108" i="11"/>
  <c r="CE108" i="11"/>
  <c r="CD108" i="11"/>
  <c r="CC108" i="11"/>
  <c r="CB108" i="11"/>
  <c r="CA108" i="11"/>
  <c r="BZ108" i="11"/>
  <c r="BY108" i="11"/>
  <c r="BX108" i="11"/>
  <c r="BW108" i="11"/>
  <c r="BV108" i="11"/>
  <c r="BU108" i="11"/>
  <c r="BT108" i="11"/>
  <c r="BS108" i="11"/>
  <c r="BR108" i="11"/>
  <c r="BQ108" i="11"/>
  <c r="BP108" i="11"/>
  <c r="BO108" i="11"/>
  <c r="BN108" i="11"/>
  <c r="BM108" i="11"/>
  <c r="BL108" i="11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CH107" i="11"/>
  <c r="CG107" i="11"/>
  <c r="CF107" i="11"/>
  <c r="CE107" i="11"/>
  <c r="CD107" i="11"/>
  <c r="CC107" i="11"/>
  <c r="CB107" i="11"/>
  <c r="CA107" i="11"/>
  <c r="BZ107" i="11"/>
  <c r="BY107" i="11"/>
  <c r="BX107" i="11"/>
  <c r="BW107" i="11"/>
  <c r="BV107" i="11"/>
  <c r="BU107" i="11"/>
  <c r="BT107" i="11"/>
  <c r="BS107" i="11"/>
  <c r="BR107" i="11"/>
  <c r="BQ107" i="11"/>
  <c r="BP107" i="11"/>
  <c r="BO107" i="11"/>
  <c r="BN107" i="11"/>
  <c r="BM107" i="11"/>
  <c r="BL107" i="11"/>
  <c r="BK107" i="11"/>
  <c r="BJ107" i="11"/>
  <c r="BI107" i="11"/>
  <c r="BH107" i="11"/>
  <c r="BG107" i="11"/>
  <c r="BF107" i="11"/>
  <c r="BE107" i="11"/>
  <c r="BD107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P107" i="11"/>
  <c r="AO107" i="11"/>
  <c r="AN107" i="11"/>
  <c r="AM107" i="11"/>
  <c r="AL107" i="11"/>
  <c r="AK107" i="11"/>
  <c r="AJ107" i="11"/>
  <c r="AI107" i="11"/>
  <c r="AH107" i="11"/>
  <c r="AG107" i="1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AF100" i="11"/>
  <c r="AE100" i="11"/>
  <c r="AD100" i="11"/>
  <c r="AC100" i="11"/>
  <c r="AB100" i="11"/>
  <c r="AA100" i="11"/>
  <c r="Z100" i="11"/>
  <c r="Y100" i="11"/>
  <c r="X100" i="11"/>
  <c r="W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AF99" i="11"/>
  <c r="AE99" i="11"/>
  <c r="AD99" i="11"/>
  <c r="AC99" i="11"/>
  <c r="AB99" i="11"/>
  <c r="AA99" i="11"/>
  <c r="Z99" i="11"/>
  <c r="Y99" i="11"/>
  <c r="X99" i="11"/>
  <c r="W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AF98" i="11"/>
  <c r="AE98" i="11"/>
  <c r="AD98" i="11"/>
  <c r="AC98" i="11"/>
  <c r="AB98" i="11"/>
  <c r="AA98" i="11"/>
  <c r="Z98" i="11"/>
  <c r="Y98" i="11"/>
  <c r="X98" i="11"/>
  <c r="W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CH97" i="11"/>
  <c r="CG97" i="11"/>
  <c r="CF97" i="11"/>
  <c r="CE97" i="11"/>
  <c r="CD97" i="11"/>
  <c r="CC97" i="11"/>
  <c r="CB97" i="11"/>
  <c r="CA97" i="11"/>
  <c r="BZ97" i="11"/>
  <c r="BY97" i="11"/>
  <c r="BX97" i="11"/>
  <c r="BW97" i="11"/>
  <c r="BV97" i="11"/>
  <c r="BU97" i="11"/>
  <c r="BT97" i="11"/>
  <c r="BS97" i="11"/>
  <c r="BR97" i="11"/>
  <c r="BQ97" i="11"/>
  <c r="BP97" i="11"/>
  <c r="BO97" i="11"/>
  <c r="BN97" i="11"/>
  <c r="BM97" i="11"/>
  <c r="BL97" i="11"/>
  <c r="BK97" i="11"/>
  <c r="BJ97" i="11"/>
  <c r="BI97" i="11"/>
  <c r="BH97" i="11"/>
  <c r="BG97" i="11"/>
  <c r="BF97" i="11"/>
  <c r="BE97" i="11"/>
  <c r="BD97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P97" i="11"/>
  <c r="AO97" i="11"/>
  <c r="AN97" i="11"/>
  <c r="AM97" i="11"/>
  <c r="AL97" i="11"/>
  <c r="AK97" i="11"/>
  <c r="AJ97" i="11"/>
  <c r="AI97" i="11"/>
  <c r="AH97" i="11"/>
  <c r="AG97" i="11"/>
  <c r="AF97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C25" i="11"/>
  <c r="C26" i="11" s="1"/>
  <c r="C22" i="11"/>
  <c r="C23" i="11" s="1"/>
  <c r="C19" i="11"/>
  <c r="C20" i="11" s="1"/>
  <c r="C82" i="2" s="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V135" i="2" s="1"/>
  <c r="U10" i="11"/>
  <c r="U135" i="2" s="1"/>
  <c r="T10" i="11"/>
  <c r="S10" i="11"/>
  <c r="R10" i="11"/>
  <c r="R135" i="2" s="1"/>
  <c r="Q10" i="11"/>
  <c r="P10" i="11"/>
  <c r="O10" i="11"/>
  <c r="N10" i="11"/>
  <c r="N135" i="2" s="1"/>
  <c r="M10" i="11"/>
  <c r="L10" i="11"/>
  <c r="K10" i="11"/>
  <c r="J10" i="11"/>
  <c r="J135" i="2" s="1"/>
  <c r="I10" i="11"/>
  <c r="H10" i="11"/>
  <c r="G10" i="11"/>
  <c r="F10" i="11"/>
  <c r="F135" i="2" s="1"/>
  <c r="E10" i="11"/>
  <c r="E135" i="2" s="1"/>
  <c r="D10" i="11"/>
  <c r="C10" i="11"/>
  <c r="CH9" i="11"/>
  <c r="CH134" i="2" s="1"/>
  <c r="CG9" i="11"/>
  <c r="CF9" i="11"/>
  <c r="CE9" i="11"/>
  <c r="CD9" i="11"/>
  <c r="CD134" i="2" s="1"/>
  <c r="CC9" i="11"/>
  <c r="CC134" i="2" s="1"/>
  <c r="CB9" i="11"/>
  <c r="CA9" i="11"/>
  <c r="BZ9" i="11"/>
  <c r="BZ134" i="2" s="1"/>
  <c r="BY9" i="11"/>
  <c r="BX9" i="11"/>
  <c r="BW9" i="11"/>
  <c r="BV9" i="11"/>
  <c r="BV134" i="2" s="1"/>
  <c r="BU9" i="11"/>
  <c r="BT9" i="11"/>
  <c r="BS9" i="11"/>
  <c r="BR9" i="11"/>
  <c r="BQ9" i="11"/>
  <c r="BP9" i="11"/>
  <c r="BO9" i="11"/>
  <c r="BN9" i="11"/>
  <c r="BM9" i="11"/>
  <c r="BM134" i="2" s="1"/>
  <c r="BL9" i="11"/>
  <c r="BK9" i="11"/>
  <c r="BJ9" i="11"/>
  <c r="BJ134" i="2" s="1"/>
  <c r="BI9" i="11"/>
  <c r="BH9" i="11"/>
  <c r="BG9" i="11"/>
  <c r="BF9" i="11"/>
  <c r="BF134" i="2" s="1"/>
  <c r="BE9" i="11"/>
  <c r="BE134" i="2" s="1"/>
  <c r="BD9" i="11"/>
  <c r="BC9" i="11"/>
  <c r="BB9" i="11"/>
  <c r="BB134" i="2" s="1"/>
  <c r="BA9" i="11"/>
  <c r="AZ9" i="11"/>
  <c r="AY9" i="11"/>
  <c r="AX9" i="11"/>
  <c r="AX134" i="2" s="1"/>
  <c r="AW9" i="11"/>
  <c r="AW134" i="2" s="1"/>
  <c r="AV9" i="11"/>
  <c r="AU9" i="11"/>
  <c r="AT9" i="11"/>
  <c r="AS9" i="11"/>
  <c r="AR9" i="11"/>
  <c r="AQ9" i="11"/>
  <c r="AP9" i="11"/>
  <c r="AP134" i="2" s="1"/>
  <c r="AO9" i="11"/>
  <c r="AO134" i="2" s="1"/>
  <c r="AN9" i="11"/>
  <c r="AM9" i="11"/>
  <c r="AL9" i="11"/>
  <c r="AL134" i="2" s="1"/>
  <c r="AK9" i="11"/>
  <c r="AJ9" i="11"/>
  <c r="AI9" i="11"/>
  <c r="AH9" i="11"/>
  <c r="AH134" i="2" s="1"/>
  <c r="AG9" i="11"/>
  <c r="AF9" i="11"/>
  <c r="AE9" i="11"/>
  <c r="AD9" i="11"/>
  <c r="AD134" i="2" s="1"/>
  <c r="AC9" i="11"/>
  <c r="AB9" i="11"/>
  <c r="AA9" i="11"/>
  <c r="Z9" i="11"/>
  <c r="Z134" i="2" s="1"/>
  <c r="Y9" i="11"/>
  <c r="Y134" i="2" s="1"/>
  <c r="X9" i="11"/>
  <c r="W9" i="11"/>
  <c r="V9" i="11"/>
  <c r="V134" i="2" s="1"/>
  <c r="U9" i="11"/>
  <c r="T9" i="11"/>
  <c r="S9" i="11"/>
  <c r="R9" i="11"/>
  <c r="R134" i="2" s="1"/>
  <c r="Q9" i="11"/>
  <c r="Q134" i="2" s="1"/>
  <c r="P9" i="11"/>
  <c r="O9" i="11"/>
  <c r="N9" i="11"/>
  <c r="N134" i="2" s="1"/>
  <c r="M9" i="11"/>
  <c r="L9" i="11"/>
  <c r="K9" i="11"/>
  <c r="J9" i="11"/>
  <c r="J134" i="2" s="1"/>
  <c r="I9" i="11"/>
  <c r="H9" i="11"/>
  <c r="G9" i="11"/>
  <c r="F9" i="11"/>
  <c r="E9" i="11"/>
  <c r="D9" i="11"/>
  <c r="C9" i="11"/>
  <c r="CH8" i="11"/>
  <c r="CG8" i="11"/>
  <c r="CG133" i="2" s="1"/>
  <c r="CF8" i="11"/>
  <c r="CF16" i="11" s="1"/>
  <c r="CE8" i="11"/>
  <c r="CE16" i="11" s="1"/>
  <c r="CD8" i="11"/>
  <c r="CD133" i="2" s="1"/>
  <c r="CC8" i="11"/>
  <c r="CB8" i="11"/>
  <c r="CB16" i="11" s="1"/>
  <c r="CA8" i="11"/>
  <c r="BZ8" i="11"/>
  <c r="BY8" i="11"/>
  <c r="BY133" i="2" s="1"/>
  <c r="BX8" i="11"/>
  <c r="BX16" i="11" s="1"/>
  <c r="BW8" i="11"/>
  <c r="BW16" i="11" s="1"/>
  <c r="BV8" i="11"/>
  <c r="BV133" i="2" s="1"/>
  <c r="BU8" i="11"/>
  <c r="BT8" i="11"/>
  <c r="BT16" i="11" s="1"/>
  <c r="BS8" i="11"/>
  <c r="BR8" i="11"/>
  <c r="BQ8" i="11"/>
  <c r="BQ133" i="2" s="1"/>
  <c r="BP8" i="11"/>
  <c r="BP16" i="11" s="1"/>
  <c r="BO8" i="11"/>
  <c r="BO16" i="11" s="1"/>
  <c r="BN8" i="11"/>
  <c r="BM8" i="11"/>
  <c r="BL8" i="11"/>
  <c r="BL16" i="11" s="1"/>
  <c r="BK8" i="11"/>
  <c r="BJ8" i="11"/>
  <c r="BI8" i="11"/>
  <c r="BI133" i="2" s="1"/>
  <c r="BH8" i="11"/>
  <c r="BH16" i="11" s="1"/>
  <c r="BG8" i="11"/>
  <c r="BG16" i="11" s="1"/>
  <c r="BF8" i="11"/>
  <c r="BF133" i="2" s="1"/>
  <c r="BE8" i="11"/>
  <c r="BD8" i="11"/>
  <c r="BD16" i="11" s="1"/>
  <c r="BC8" i="11"/>
  <c r="BB8" i="11"/>
  <c r="BA8" i="11"/>
  <c r="AZ8" i="11"/>
  <c r="AZ16" i="11" s="1"/>
  <c r="AY8" i="11"/>
  <c r="AY16" i="11" s="1"/>
  <c r="AX8" i="11"/>
  <c r="AX133" i="2" s="1"/>
  <c r="AW8" i="11"/>
  <c r="AV8" i="11"/>
  <c r="AV16" i="11" s="1"/>
  <c r="AU8" i="11"/>
  <c r="AT8" i="11"/>
  <c r="AS8" i="11"/>
  <c r="AS133" i="2" s="1"/>
  <c r="AR8" i="11"/>
  <c r="AR16" i="11" s="1"/>
  <c r="AQ8" i="11"/>
  <c r="AQ16" i="11" s="1"/>
  <c r="AP8" i="11"/>
  <c r="AP133" i="2" s="1"/>
  <c r="AO8" i="11"/>
  <c r="AN8" i="11"/>
  <c r="AN16" i="11" s="1"/>
  <c r="AM8" i="11"/>
  <c r="AL8" i="11"/>
  <c r="AK8" i="11"/>
  <c r="AK133" i="2" s="1"/>
  <c r="AJ8" i="11"/>
  <c r="AJ16" i="11" s="1"/>
  <c r="AI8" i="11"/>
  <c r="AI16" i="11" s="1"/>
  <c r="AH8" i="11"/>
  <c r="AH133" i="2" s="1"/>
  <c r="AG8" i="11"/>
  <c r="AF8" i="11"/>
  <c r="AF16" i="11" s="1"/>
  <c r="AE8" i="11"/>
  <c r="AD8" i="11"/>
  <c r="AC8" i="11"/>
  <c r="AB8" i="11"/>
  <c r="AB16" i="11" s="1"/>
  <c r="AA8" i="11"/>
  <c r="AA16" i="11" s="1"/>
  <c r="Z8" i="11"/>
  <c r="Y8" i="11"/>
  <c r="X8" i="11"/>
  <c r="X16" i="11" s="1"/>
  <c r="W8" i="11"/>
  <c r="V8" i="11"/>
  <c r="U8" i="11"/>
  <c r="U133" i="2" s="1"/>
  <c r="T8" i="11"/>
  <c r="T16" i="11" s="1"/>
  <c r="S8" i="11"/>
  <c r="S16" i="11" s="1"/>
  <c r="R8" i="11"/>
  <c r="R133" i="2" s="1"/>
  <c r="Q8" i="11"/>
  <c r="P8" i="11"/>
  <c r="P16" i="11" s="1"/>
  <c r="O8" i="11"/>
  <c r="N8" i="11"/>
  <c r="M8" i="11"/>
  <c r="M133" i="2" s="1"/>
  <c r="L8" i="11"/>
  <c r="L16" i="11" s="1"/>
  <c r="K8" i="11"/>
  <c r="K16" i="11" s="1"/>
  <c r="J8" i="11"/>
  <c r="J133" i="2" s="1"/>
  <c r="I8" i="11"/>
  <c r="H8" i="11"/>
  <c r="H16" i="11" s="1"/>
  <c r="G8" i="11"/>
  <c r="F8" i="11"/>
  <c r="E8" i="11"/>
  <c r="E133" i="2" s="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S46" i="8"/>
  <c r="I46" i="8"/>
  <c r="S45" i="8"/>
  <c r="I45" i="8"/>
  <c r="S44" i="8"/>
  <c r="I44" i="8"/>
  <c r="S43" i="8"/>
  <c r="I43" i="8"/>
  <c r="S42" i="8"/>
  <c r="I42" i="8"/>
  <c r="S41" i="8"/>
  <c r="I41" i="8"/>
  <c r="S40" i="8"/>
  <c r="I40" i="8"/>
  <c r="S39" i="8"/>
  <c r="I39" i="8"/>
  <c r="S38" i="8"/>
  <c r="I38" i="8"/>
  <c r="S37" i="8"/>
  <c r="I37" i="8"/>
  <c r="S36" i="8"/>
  <c r="I36" i="8"/>
  <c r="S35" i="8"/>
  <c r="I35" i="8"/>
  <c r="S34" i="8"/>
  <c r="I34" i="8"/>
  <c r="S33" i="8"/>
  <c r="I33" i="8"/>
  <c r="S32" i="8"/>
  <c r="I32" i="8"/>
  <c r="S31" i="8"/>
  <c r="I31" i="8"/>
  <c r="S30" i="8"/>
  <c r="I30" i="8"/>
  <c r="S29" i="8"/>
  <c r="I29" i="8"/>
  <c r="S28" i="8"/>
  <c r="I28" i="8"/>
  <c r="S27" i="8"/>
  <c r="I27" i="8"/>
  <c r="S26" i="8"/>
  <c r="I26" i="8"/>
  <c r="S25" i="8"/>
  <c r="I25" i="8"/>
  <c r="S24" i="8"/>
  <c r="I24" i="8"/>
  <c r="S23" i="8"/>
  <c r="I23" i="8"/>
  <c r="S22" i="8"/>
  <c r="I22" i="8"/>
  <c r="S21" i="8"/>
  <c r="I21" i="8"/>
  <c r="S20" i="8"/>
  <c r="I20" i="8"/>
  <c r="S19" i="8"/>
  <c r="I19" i="8"/>
  <c r="S18" i="8"/>
  <c r="I18" i="8"/>
  <c r="S17" i="8"/>
  <c r="I17" i="8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12" i="7"/>
  <c r="P39" i="8" s="1"/>
  <c r="B7" i="7"/>
  <c r="B9" i="7" s="1"/>
  <c r="E99" i="5"/>
  <c r="E98" i="5"/>
  <c r="D98" i="5"/>
  <c r="D99" i="5" s="1"/>
  <c r="C98" i="5"/>
  <c r="C99" i="5" s="1"/>
  <c r="B98" i="5"/>
  <c r="B99" i="5" s="1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CE22" i="4"/>
  <c r="BQ22" i="4"/>
  <c r="BI22" i="4"/>
  <c r="AZ22" i="4"/>
  <c r="AY22" i="4"/>
  <c r="AS22" i="4"/>
  <c r="AH22" i="4"/>
  <c r="AC22" i="4"/>
  <c r="E22" i="4"/>
  <c r="D22" i="4"/>
  <c r="H21" i="4"/>
  <c r="CH20" i="4"/>
  <c r="CH22" i="4" s="1"/>
  <c r="CG20" i="4"/>
  <c r="CG22" i="4" s="1"/>
  <c r="CF20" i="4"/>
  <c r="CF22" i="4" s="1"/>
  <c r="CE20" i="4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U22" i="4" s="1"/>
  <c r="BT20" i="4"/>
  <c r="BT22" i="4" s="1"/>
  <c r="BS20" i="4"/>
  <c r="BS22" i="4" s="1"/>
  <c r="BR20" i="4"/>
  <c r="BR22" i="4" s="1"/>
  <c r="BQ20" i="4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J22" i="4" s="1"/>
  <c r="BI20" i="4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C22" i="4" s="1"/>
  <c r="BB20" i="4"/>
  <c r="BB22" i="4" s="1"/>
  <c r="BA20" i="4"/>
  <c r="BA22" i="4" s="1"/>
  <c r="AZ20" i="4"/>
  <c r="AY20" i="4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G20" i="4"/>
  <c r="AG22" i="4" s="1"/>
  <c r="AF20" i="4"/>
  <c r="AF22" i="4" s="1"/>
  <c r="AE20" i="4"/>
  <c r="AE22" i="4" s="1"/>
  <c r="AD20" i="4"/>
  <c r="AD22" i="4" s="1"/>
  <c r="AC20" i="4"/>
  <c r="AB20" i="4"/>
  <c r="AB22" i="4" s="1"/>
  <c r="AA20" i="4"/>
  <c r="AA22" i="4" s="1"/>
  <c r="G20" i="4"/>
  <c r="G22" i="4" s="1"/>
  <c r="F20" i="4"/>
  <c r="F22" i="4" s="1"/>
  <c r="E20" i="4"/>
  <c r="D20" i="4"/>
  <c r="C20" i="4"/>
  <c r="C22" i="4" s="1"/>
  <c r="C23" i="4" s="1"/>
  <c r="D23" i="4" s="1"/>
  <c r="BR16" i="4"/>
  <c r="BD16" i="4"/>
  <c r="AV16" i="4"/>
  <c r="AK16" i="4"/>
  <c r="G15" i="4"/>
  <c r="CH14" i="4"/>
  <c r="CH16" i="4" s="1"/>
  <c r="CG14" i="4"/>
  <c r="CG16" i="4" s="1"/>
  <c r="CF14" i="4"/>
  <c r="CF16" i="4" s="1"/>
  <c r="CE14" i="4"/>
  <c r="CE16" i="4" s="1"/>
  <c r="CD14" i="4"/>
  <c r="CD16" i="4" s="1"/>
  <c r="CC14" i="4"/>
  <c r="CC16" i="4" s="1"/>
  <c r="CB14" i="4"/>
  <c r="CB16" i="4" s="1"/>
  <c r="CA14" i="4"/>
  <c r="CA16" i="4" s="1"/>
  <c r="BZ14" i="4"/>
  <c r="BZ16" i="4" s="1"/>
  <c r="BY14" i="4"/>
  <c r="BY16" i="4" s="1"/>
  <c r="BX14" i="4"/>
  <c r="BX16" i="4" s="1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Q14" i="4"/>
  <c r="BQ16" i="4" s="1"/>
  <c r="BP14" i="4"/>
  <c r="BP16" i="4" s="1"/>
  <c r="BO14" i="4"/>
  <c r="BO16" i="4" s="1"/>
  <c r="BN14" i="4"/>
  <c r="BN16" i="4" s="1"/>
  <c r="BM14" i="4"/>
  <c r="BM16" i="4" s="1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G16" i="4" s="1"/>
  <c r="BF14" i="4"/>
  <c r="BF16" i="4" s="1"/>
  <c r="BE14" i="4"/>
  <c r="BE16" i="4" s="1"/>
  <c r="BD14" i="4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W16" i="4" s="1"/>
  <c r="AV14" i="4"/>
  <c r="AU14" i="4"/>
  <c r="AU16" i="4" s="1"/>
  <c r="AT14" i="4"/>
  <c r="AT16" i="4" s="1"/>
  <c r="AS14" i="4"/>
  <c r="AS16" i="4" s="1"/>
  <c r="AR14" i="4"/>
  <c r="AR16" i="4" s="1"/>
  <c r="AQ14" i="4"/>
  <c r="AQ16" i="4" s="1"/>
  <c r="AP14" i="4"/>
  <c r="AP16" i="4" s="1"/>
  <c r="AO14" i="4"/>
  <c r="AO16" i="4" s="1"/>
  <c r="AN14" i="4"/>
  <c r="AN16" i="4" s="1"/>
  <c r="AM14" i="4"/>
  <c r="AM16" i="4" s="1"/>
  <c r="AL14" i="4"/>
  <c r="AL16" i="4" s="1"/>
  <c r="AK14" i="4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D16" i="4" s="1"/>
  <c r="AC14" i="4"/>
  <c r="AC16" i="4" s="1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BR10" i="4"/>
  <c r="AL10" i="4"/>
  <c r="AA10" i="4"/>
  <c r="S10" i="4"/>
  <c r="CH9" i="4"/>
  <c r="CH10" i="4" s="1"/>
  <c r="CG9" i="4"/>
  <c r="CG10" i="4" s="1"/>
  <c r="CF9" i="4"/>
  <c r="CF10" i="4" s="1"/>
  <c r="CE9" i="4"/>
  <c r="CE10" i="4" s="1"/>
  <c r="CD9" i="4"/>
  <c r="CD10" i="4" s="1"/>
  <c r="CC9" i="4"/>
  <c r="CC10" i="4" s="1"/>
  <c r="CB9" i="4"/>
  <c r="CB10" i="4" s="1"/>
  <c r="CA9" i="4"/>
  <c r="CA10" i="4" s="1"/>
  <c r="BZ9" i="4"/>
  <c r="BZ10" i="4" s="1"/>
  <c r="BY9" i="4"/>
  <c r="BY10" i="4" s="1"/>
  <c r="BX9" i="4"/>
  <c r="BX10" i="4" s="1"/>
  <c r="BW9" i="4"/>
  <c r="BW10" i="4" s="1"/>
  <c r="BV9" i="4"/>
  <c r="BV10" i="4" s="1"/>
  <c r="BU9" i="4"/>
  <c r="BU10" i="4" s="1"/>
  <c r="BT9" i="4"/>
  <c r="BT10" i="4" s="1"/>
  <c r="BS9" i="4"/>
  <c r="BS10" i="4" s="1"/>
  <c r="BR9" i="4"/>
  <c r="BQ9" i="4"/>
  <c r="BQ10" i="4" s="1"/>
  <c r="BP9" i="4"/>
  <c r="BP10" i="4" s="1"/>
  <c r="BO9" i="4"/>
  <c r="BO10" i="4" s="1"/>
  <c r="BN9" i="4"/>
  <c r="BN10" i="4" s="1"/>
  <c r="BM9" i="4"/>
  <c r="BM10" i="4" s="1"/>
  <c r="BL9" i="4"/>
  <c r="BL10" i="4" s="1"/>
  <c r="BK9" i="4"/>
  <c r="BK10" i="4" s="1"/>
  <c r="BJ9" i="4"/>
  <c r="BJ10" i="4" s="1"/>
  <c r="BI9" i="4"/>
  <c r="BI10" i="4" s="1"/>
  <c r="BH9" i="4"/>
  <c r="BH10" i="4" s="1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W10" i="4" s="1"/>
  <c r="AV9" i="4"/>
  <c r="AV10" i="4" s="1"/>
  <c r="AU9" i="4"/>
  <c r="AU10" i="4" s="1"/>
  <c r="AT9" i="4"/>
  <c r="AT10" i="4" s="1"/>
  <c r="AS9" i="4"/>
  <c r="AS10" i="4" s="1"/>
  <c r="AR9" i="4"/>
  <c r="AR10" i="4" s="1"/>
  <c r="AQ9" i="4"/>
  <c r="AQ10" i="4" s="1"/>
  <c r="AP9" i="4"/>
  <c r="AP10" i="4" s="1"/>
  <c r="AO9" i="4"/>
  <c r="AO10" i="4" s="1"/>
  <c r="AN9" i="4"/>
  <c r="AN10" i="4" s="1"/>
  <c r="AM9" i="4"/>
  <c r="AM10" i="4" s="1"/>
  <c r="AL9" i="4"/>
  <c r="AK9" i="4"/>
  <c r="AK10" i="4" s="1"/>
  <c r="AJ9" i="4"/>
  <c r="AJ10" i="4" s="1"/>
  <c r="AI9" i="4"/>
  <c r="AI10" i="4" s="1"/>
  <c r="AH9" i="4"/>
  <c r="AH10" i="4" s="1"/>
  <c r="AG9" i="4"/>
  <c r="AG10" i="4" s="1"/>
  <c r="AF9" i="4"/>
  <c r="AF10" i="4" s="1"/>
  <c r="AE9" i="4"/>
  <c r="AE10" i="4" s="1"/>
  <c r="AD9" i="4"/>
  <c r="AD10" i="4" s="1"/>
  <c r="AB9" i="4"/>
  <c r="AB10" i="4" s="1"/>
  <c r="AA9" i="4"/>
  <c r="Y9" i="4"/>
  <c r="Y10" i="4" s="1"/>
  <c r="X9" i="4"/>
  <c r="X10" i="4" s="1"/>
  <c r="V9" i="4"/>
  <c r="V10" i="4" s="1"/>
  <c r="U9" i="4"/>
  <c r="U10" i="4" s="1"/>
  <c r="T9" i="4"/>
  <c r="T10" i="4" s="1"/>
  <c r="S9" i="4"/>
  <c r="R9" i="4"/>
  <c r="R10" i="4" s="1"/>
  <c r="BH5" i="4"/>
  <c r="AZ5" i="4"/>
  <c r="AJ5" i="4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V5" i="4" s="1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O5" i="4" s="1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G4" i="4"/>
  <c r="BG5" i="4" s="1"/>
  <c r="BF4" i="4"/>
  <c r="BF5" i="4" s="1"/>
  <c r="BE4" i="4"/>
  <c r="BE5" i="4" s="1"/>
  <c r="BD4" i="4"/>
  <c r="BD5" i="4" s="1"/>
  <c r="BC4" i="4"/>
  <c r="BC5" i="4" s="1"/>
  <c r="BB4" i="4"/>
  <c r="BB5" i="4" s="1"/>
  <c r="BA4" i="4"/>
  <c r="BA5" i="4" s="1"/>
  <c r="AZ4" i="4"/>
  <c r="AY4" i="4"/>
  <c r="AY5" i="4" s="1"/>
  <c r="AX4" i="4"/>
  <c r="AX5" i="4" s="1"/>
  <c r="AW4" i="4"/>
  <c r="AW5" i="4" s="1"/>
  <c r="AV4" i="4"/>
  <c r="AV5" i="4" s="1"/>
  <c r="AU4" i="4"/>
  <c r="AU5" i="4" s="1"/>
  <c r="AT4" i="4"/>
  <c r="AT5" i="4" s="1"/>
  <c r="AS4" i="4"/>
  <c r="AS5" i="4" s="1"/>
  <c r="AR4" i="4"/>
  <c r="AR5" i="4" s="1"/>
  <c r="AQ4" i="4"/>
  <c r="AQ5" i="4" s="1"/>
  <c r="AP4" i="4"/>
  <c r="AP5" i="4" s="1"/>
  <c r="AO4" i="4"/>
  <c r="AO5" i="4" s="1"/>
  <c r="AN4" i="4"/>
  <c r="AN5" i="4" s="1"/>
  <c r="AM4" i="4"/>
  <c r="AM5" i="4" s="1"/>
  <c r="AL4" i="4"/>
  <c r="AL5" i="4" s="1"/>
  <c r="AK4" i="4"/>
  <c r="AK5" i="4" s="1"/>
  <c r="AJ4" i="4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B5" i="4" s="1"/>
  <c r="AA4" i="4"/>
  <c r="AA5" i="4" s="1"/>
  <c r="Z4" i="4"/>
  <c r="Z5" i="4" s="1"/>
  <c r="Y4" i="4"/>
  <c r="Y5" i="4" s="1"/>
  <c r="X4" i="4"/>
  <c r="X5" i="4" s="1"/>
  <c r="W4" i="4"/>
  <c r="W5" i="4" s="1"/>
  <c r="V4" i="4"/>
  <c r="V5" i="4" s="1"/>
  <c r="U4" i="4"/>
  <c r="U5" i="4" s="1"/>
  <c r="T4" i="4"/>
  <c r="T5" i="4" s="1"/>
  <c r="S4" i="4"/>
  <c r="S5" i="4" s="1"/>
  <c r="R4" i="4"/>
  <c r="R5" i="4" s="1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K5" i="4" s="1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Q27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BD141" i="2"/>
  <c r="S40" i="3" s="1"/>
  <c r="AF141" i="2"/>
  <c r="K40" i="3" s="1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T135" i="2"/>
  <c r="S135" i="2"/>
  <c r="Q135" i="2"/>
  <c r="P135" i="2"/>
  <c r="O135" i="2"/>
  <c r="M135" i="2"/>
  <c r="L135" i="2"/>
  <c r="K135" i="2"/>
  <c r="I135" i="2"/>
  <c r="H135" i="2"/>
  <c r="G135" i="2"/>
  <c r="D135" i="2"/>
  <c r="C135" i="2"/>
  <c r="CG134" i="2"/>
  <c r="CF134" i="2"/>
  <c r="CE134" i="2"/>
  <c r="CB134" i="2"/>
  <c r="CA134" i="2"/>
  <c r="BY134" i="2"/>
  <c r="BX134" i="2"/>
  <c r="BW134" i="2"/>
  <c r="BU134" i="2"/>
  <c r="BT134" i="2"/>
  <c r="BS134" i="2"/>
  <c r="BR134" i="2"/>
  <c r="BQ134" i="2"/>
  <c r="BP134" i="2"/>
  <c r="BO134" i="2"/>
  <c r="BL134" i="2"/>
  <c r="BK134" i="2"/>
  <c r="BI134" i="2"/>
  <c r="BH134" i="2"/>
  <c r="BG134" i="2"/>
  <c r="BD134" i="2"/>
  <c r="BC134" i="2"/>
  <c r="BA134" i="2"/>
  <c r="AZ134" i="2"/>
  <c r="AY134" i="2"/>
  <c r="AV134" i="2"/>
  <c r="AU134" i="2"/>
  <c r="AT134" i="2"/>
  <c r="AS134" i="2"/>
  <c r="AR134" i="2"/>
  <c r="AQ134" i="2"/>
  <c r="AN134" i="2"/>
  <c r="AM134" i="2"/>
  <c r="AK134" i="2"/>
  <c r="AJ134" i="2"/>
  <c r="AI134" i="2"/>
  <c r="AG134" i="2"/>
  <c r="AF134" i="2"/>
  <c r="AE134" i="2"/>
  <c r="AC134" i="2"/>
  <c r="AB134" i="2"/>
  <c r="AA134" i="2"/>
  <c r="X134" i="2"/>
  <c r="W134" i="2"/>
  <c r="U134" i="2"/>
  <c r="T134" i="2"/>
  <c r="S134" i="2"/>
  <c r="P134" i="2"/>
  <c r="O134" i="2"/>
  <c r="M134" i="2"/>
  <c r="L134" i="2"/>
  <c r="K134" i="2"/>
  <c r="I134" i="2"/>
  <c r="H134" i="2"/>
  <c r="G134" i="2"/>
  <c r="F134" i="2"/>
  <c r="E134" i="2"/>
  <c r="D134" i="2"/>
  <c r="C134" i="2"/>
  <c r="CF133" i="2"/>
  <c r="CE133" i="2"/>
  <c r="CC133" i="2"/>
  <c r="CB133" i="2"/>
  <c r="CB141" i="2" s="1"/>
  <c r="AA40" i="3" s="1"/>
  <c r="CA133" i="2"/>
  <c r="BX133" i="2"/>
  <c r="BX141" i="2" s="1"/>
  <c r="BW133" i="2"/>
  <c r="BW141" i="2" s="1"/>
  <c r="BU133" i="2"/>
  <c r="BT133" i="2"/>
  <c r="BT141" i="2" s="1"/>
  <c r="BS133" i="2"/>
  <c r="BP133" i="2"/>
  <c r="BP141" i="2" s="1"/>
  <c r="W40" i="3" s="1"/>
  <c r="BO133" i="2"/>
  <c r="BN133" i="2"/>
  <c r="BM133" i="2"/>
  <c r="BL133" i="2"/>
  <c r="BK133" i="2"/>
  <c r="BH133" i="2"/>
  <c r="BG133" i="2"/>
  <c r="BE133" i="2"/>
  <c r="BD133" i="2"/>
  <c r="BC133" i="2"/>
  <c r="BA133" i="2"/>
  <c r="AZ133" i="2"/>
  <c r="AZ141" i="2" s="1"/>
  <c r="AY133" i="2"/>
  <c r="AW133" i="2"/>
  <c r="AV133" i="2"/>
  <c r="AV141" i="2" s="1"/>
  <c r="AU133" i="2"/>
  <c r="AR133" i="2"/>
  <c r="AR141" i="2" s="1"/>
  <c r="O40" i="3" s="1"/>
  <c r="AQ133" i="2"/>
  <c r="AO133" i="2"/>
  <c r="AN133" i="2"/>
  <c r="AN141" i="2" s="1"/>
  <c r="AM133" i="2"/>
  <c r="AJ133" i="2"/>
  <c r="AI133" i="2"/>
  <c r="AI141" i="2" s="1"/>
  <c r="L40" i="3" s="1"/>
  <c r="AG133" i="2"/>
  <c r="AF133" i="2"/>
  <c r="AE133" i="2"/>
  <c r="AC133" i="2"/>
  <c r="AB133" i="2"/>
  <c r="AB141" i="2" s="1"/>
  <c r="AA133" i="2"/>
  <c r="Z133" i="2"/>
  <c r="Y133" i="2"/>
  <c r="X133" i="2"/>
  <c r="W133" i="2"/>
  <c r="T133" i="2"/>
  <c r="T141" i="2" s="1"/>
  <c r="G40" i="3" s="1"/>
  <c r="S133" i="2"/>
  <c r="Q133" i="2"/>
  <c r="P133" i="2"/>
  <c r="P141" i="2" s="1"/>
  <c r="O133" i="2"/>
  <c r="L133" i="2"/>
  <c r="K133" i="2"/>
  <c r="K141" i="2" s="1"/>
  <c r="D40" i="3" s="1"/>
  <c r="I133" i="2"/>
  <c r="H133" i="2"/>
  <c r="H141" i="2" s="1"/>
  <c r="C40" i="3" s="1"/>
  <c r="G133" i="2"/>
  <c r="D133" i="2"/>
  <c r="C133" i="2"/>
  <c r="O128" i="2"/>
  <c r="C127" i="2"/>
  <c r="C126" i="2"/>
  <c r="AC123" i="2"/>
  <c r="C121" i="2"/>
  <c r="C122" i="2" s="1"/>
  <c r="C124" i="2" s="1"/>
  <c r="C116" i="2"/>
  <c r="C117" i="2" s="1"/>
  <c r="C111" i="2"/>
  <c r="C112" i="2" s="1"/>
  <c r="C106" i="2"/>
  <c r="C108" i="2" s="1"/>
  <c r="D106" i="2" s="1"/>
  <c r="D108" i="2" s="1"/>
  <c r="E106" i="2" s="1"/>
  <c r="E108" i="2" s="1"/>
  <c r="C99" i="2"/>
  <c r="C100" i="2" s="1"/>
  <c r="CH81" i="2"/>
  <c r="CG81" i="2"/>
  <c r="CF81" i="2"/>
  <c r="CE81" i="2"/>
  <c r="CD81" i="2"/>
  <c r="CC81" i="2"/>
  <c r="CB81" i="2"/>
  <c r="CA81" i="2"/>
  <c r="BZ81" i="2"/>
  <c r="AA27" i="3" s="1"/>
  <c r="BY81" i="2"/>
  <c r="BX81" i="2"/>
  <c r="BW81" i="2"/>
  <c r="BV81" i="2"/>
  <c r="BU81" i="2"/>
  <c r="BT81" i="2"/>
  <c r="Y27" i="3" s="1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S27" i="3" s="1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N27" i="3" s="1"/>
  <c r="AL81" i="2"/>
  <c r="AK81" i="2"/>
  <c r="AJ81" i="2"/>
  <c r="AI81" i="2"/>
  <c r="AH81" i="2"/>
  <c r="AG81" i="2"/>
  <c r="AF81" i="2"/>
  <c r="AE81" i="2"/>
  <c r="AD81" i="2"/>
  <c r="K27" i="3" s="1"/>
  <c r="AC81" i="2"/>
  <c r="AB81" i="2"/>
  <c r="AA81" i="2"/>
  <c r="Z81" i="2"/>
  <c r="Y81" i="2"/>
  <c r="X81" i="2"/>
  <c r="I27" i="3" s="1"/>
  <c r="W81" i="2"/>
  <c r="V81" i="2"/>
  <c r="U81" i="2"/>
  <c r="T81" i="2"/>
  <c r="S81" i="2"/>
  <c r="R81" i="2"/>
  <c r="Q81" i="2"/>
  <c r="P81" i="2"/>
  <c r="O81" i="2"/>
  <c r="F27" i="3" s="1"/>
  <c r="N81" i="2"/>
  <c r="M81" i="2"/>
  <c r="L81" i="2"/>
  <c r="K81" i="2"/>
  <c r="J81" i="2"/>
  <c r="I81" i="2"/>
  <c r="H81" i="2"/>
  <c r="G81" i="2"/>
  <c r="F81" i="2"/>
  <c r="C27" i="3" s="1"/>
  <c r="E81" i="2"/>
  <c r="D81" i="2"/>
  <c r="C81" i="2"/>
  <c r="CH80" i="2"/>
  <c r="CG80" i="2"/>
  <c r="CF80" i="2"/>
  <c r="AC26" i="3" s="1"/>
  <c r="CE80" i="2"/>
  <c r="CD80" i="2"/>
  <c r="CC80" i="2"/>
  <c r="CB80" i="2"/>
  <c r="CA80" i="2"/>
  <c r="BZ80" i="2"/>
  <c r="BY80" i="2"/>
  <c r="BX80" i="2"/>
  <c r="BW80" i="2"/>
  <c r="Z26" i="3" s="1"/>
  <c r="BV80" i="2"/>
  <c r="BU80" i="2"/>
  <c r="BT80" i="2"/>
  <c r="BS80" i="2"/>
  <c r="BR80" i="2"/>
  <c r="BQ80" i="2"/>
  <c r="BP80" i="2"/>
  <c r="BO80" i="2"/>
  <c r="BN80" i="2"/>
  <c r="W26" i="3" s="1"/>
  <c r="BM80" i="2"/>
  <c r="BL80" i="2"/>
  <c r="BK80" i="2"/>
  <c r="BJ80" i="2"/>
  <c r="BI80" i="2"/>
  <c r="BH80" i="2"/>
  <c r="U26" i="3" s="1"/>
  <c r="BG80" i="2"/>
  <c r="BF80" i="2"/>
  <c r="BE80" i="2"/>
  <c r="BD80" i="2"/>
  <c r="BC80" i="2"/>
  <c r="BB80" i="2"/>
  <c r="BA80" i="2"/>
  <c r="AZ80" i="2"/>
  <c r="AY80" i="2"/>
  <c r="R26" i="3" s="1"/>
  <c r="AX80" i="2"/>
  <c r="AW80" i="2"/>
  <c r="AV80" i="2"/>
  <c r="AU80" i="2"/>
  <c r="AT80" i="2"/>
  <c r="AS80" i="2"/>
  <c r="AR80" i="2"/>
  <c r="AQ80" i="2"/>
  <c r="AP80" i="2"/>
  <c r="O26" i="3" s="1"/>
  <c r="AO80" i="2"/>
  <c r="AN80" i="2"/>
  <c r="AM80" i="2"/>
  <c r="AL80" i="2"/>
  <c r="AK80" i="2"/>
  <c r="AJ80" i="2"/>
  <c r="M26" i="3" s="1"/>
  <c r="AI80" i="2"/>
  <c r="AH80" i="2"/>
  <c r="AG80" i="2"/>
  <c r="AF80" i="2"/>
  <c r="AE80" i="2"/>
  <c r="AD80" i="2"/>
  <c r="AC80" i="2"/>
  <c r="AB80" i="2"/>
  <c r="AA80" i="2"/>
  <c r="J26" i="3" s="1"/>
  <c r="Z80" i="2"/>
  <c r="Y80" i="2"/>
  <c r="X80" i="2"/>
  <c r="W80" i="2"/>
  <c r="V80" i="2"/>
  <c r="U80" i="2"/>
  <c r="T80" i="2"/>
  <c r="S80" i="2"/>
  <c r="R80" i="2"/>
  <c r="G26" i="3" s="1"/>
  <c r="Q80" i="2"/>
  <c r="P80" i="2"/>
  <c r="O80" i="2"/>
  <c r="N80" i="2"/>
  <c r="M80" i="2"/>
  <c r="L80" i="2"/>
  <c r="E26" i="3" s="1"/>
  <c r="K80" i="2"/>
  <c r="J80" i="2"/>
  <c r="I80" i="2"/>
  <c r="H80" i="2"/>
  <c r="G80" i="2"/>
  <c r="F80" i="2"/>
  <c r="E80" i="2"/>
  <c r="D80" i="2"/>
  <c r="C80" i="2"/>
  <c r="B26" i="3" s="1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Q64" i="2"/>
  <c r="AH64" i="2"/>
  <c r="AH91" i="2" s="1"/>
  <c r="CH63" i="2"/>
  <c r="CG63" i="2"/>
  <c r="CF63" i="2"/>
  <c r="CF64" i="2" s="1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H64" i="2" s="1"/>
  <c r="BG63" i="2"/>
  <c r="BF63" i="2"/>
  <c r="BE63" i="2"/>
  <c r="BD63" i="2"/>
  <c r="BC63" i="2"/>
  <c r="BB63" i="2"/>
  <c r="BA63" i="2"/>
  <c r="AZ63" i="2"/>
  <c r="AZ64" i="2" s="1"/>
  <c r="AZ91" i="2" s="1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J64" i="2" s="1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U60" i="2"/>
  <c r="AU26" i="4" s="1"/>
  <c r="AR60" i="2"/>
  <c r="H59" i="2"/>
  <c r="Z58" i="2"/>
  <c r="Y58" i="2"/>
  <c r="X58" i="2"/>
  <c r="W58" i="2"/>
  <c r="V58" i="2"/>
  <c r="U58" i="2"/>
  <c r="T58" i="2"/>
  <c r="T64" i="2" s="1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Z20" i="4" s="1"/>
  <c r="Z22" i="4" s="1"/>
  <c r="Y57" i="2"/>
  <c r="Y20" i="4" s="1"/>
  <c r="Y22" i="4" s="1"/>
  <c r="X57" i="2"/>
  <c r="X20" i="4" s="1"/>
  <c r="X22" i="4" s="1"/>
  <c r="W57" i="2"/>
  <c r="V57" i="2"/>
  <c r="U57" i="2"/>
  <c r="T57" i="2"/>
  <c r="S57" i="2"/>
  <c r="S20" i="4" s="1"/>
  <c r="S22" i="4" s="1"/>
  <c r="R57" i="2"/>
  <c r="R20" i="4" s="1"/>
  <c r="R22" i="4" s="1"/>
  <c r="Q57" i="2"/>
  <c r="Q20" i="4" s="1"/>
  <c r="Q22" i="4" s="1"/>
  <c r="P57" i="2"/>
  <c r="P20" i="4" s="1"/>
  <c r="P22" i="4" s="1"/>
  <c r="O57" i="2"/>
  <c r="N57" i="2"/>
  <c r="M57" i="2"/>
  <c r="L57" i="2"/>
  <c r="K57" i="2"/>
  <c r="K20" i="4" s="1"/>
  <c r="K22" i="4" s="1"/>
  <c r="J57" i="2"/>
  <c r="J20" i="4" s="1"/>
  <c r="J22" i="4" s="1"/>
  <c r="I57" i="2"/>
  <c r="I20" i="4" s="1"/>
  <c r="I22" i="4" s="1"/>
  <c r="H57" i="2"/>
  <c r="H20" i="4" s="1"/>
  <c r="H22" i="4" s="1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Y14" i="4" s="1"/>
  <c r="Y16" i="4" s="1"/>
  <c r="X54" i="2"/>
  <c r="X14" i="4" s="1"/>
  <c r="X16" i="4" s="1"/>
  <c r="W54" i="2"/>
  <c r="W14" i="4" s="1"/>
  <c r="W16" i="4" s="1"/>
  <c r="V54" i="2"/>
  <c r="V14" i="4" s="1"/>
  <c r="V16" i="4" s="1"/>
  <c r="U54" i="2"/>
  <c r="T54" i="2"/>
  <c r="S54" i="2"/>
  <c r="R54" i="2"/>
  <c r="Q54" i="2"/>
  <c r="Q14" i="4" s="1"/>
  <c r="Q16" i="4" s="1"/>
  <c r="P54" i="2"/>
  <c r="P14" i="4" s="1"/>
  <c r="P16" i="4" s="1"/>
  <c r="O54" i="2"/>
  <c r="O14" i="4" s="1"/>
  <c r="O16" i="4" s="1"/>
  <c r="N54" i="2"/>
  <c r="N14" i="4" s="1"/>
  <c r="N16" i="4" s="1"/>
  <c r="M54" i="2"/>
  <c r="L54" i="2"/>
  <c r="K54" i="2"/>
  <c r="J54" i="2"/>
  <c r="I54" i="2"/>
  <c r="I14" i="4" s="1"/>
  <c r="I16" i="4" s="1"/>
  <c r="H54" i="2"/>
  <c r="H14" i="4" s="1"/>
  <c r="H16" i="4" s="1"/>
  <c r="G54" i="2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CH47" i="2"/>
  <c r="CH64" i="2" s="1"/>
  <c r="CG47" i="2"/>
  <c r="CG64" i="2" s="1"/>
  <c r="CF47" i="2"/>
  <c r="CE47" i="2"/>
  <c r="CD47" i="2"/>
  <c r="CD64" i="2" s="1"/>
  <c r="CC47" i="2"/>
  <c r="CB47" i="2"/>
  <c r="CA47" i="2"/>
  <c r="BZ47" i="2"/>
  <c r="BZ64" i="2" s="1"/>
  <c r="BY47" i="2"/>
  <c r="BX47" i="2"/>
  <c r="BW47" i="2"/>
  <c r="BW64" i="2" s="1"/>
  <c r="BV47" i="2"/>
  <c r="BU47" i="2"/>
  <c r="BT47" i="2"/>
  <c r="BT64" i="2" s="1"/>
  <c r="BS47" i="2"/>
  <c r="BR47" i="2"/>
  <c r="BR64" i="2" s="1"/>
  <c r="BQ47" i="2"/>
  <c r="BP47" i="2"/>
  <c r="BO47" i="2"/>
  <c r="BO64" i="2" s="1"/>
  <c r="BO91" i="2" s="1"/>
  <c r="BN47" i="2"/>
  <c r="BN64" i="2" s="1"/>
  <c r="BM47" i="2"/>
  <c r="BL47" i="2"/>
  <c r="BL64" i="2" s="1"/>
  <c r="BK47" i="2"/>
  <c r="BJ47" i="2"/>
  <c r="BJ64" i="2" s="1"/>
  <c r="BI47" i="2"/>
  <c r="BH47" i="2"/>
  <c r="BG47" i="2"/>
  <c r="BG64" i="2" s="1"/>
  <c r="BF47" i="2"/>
  <c r="BF64" i="2" s="1"/>
  <c r="BE47" i="2"/>
  <c r="BD47" i="2"/>
  <c r="BC47" i="2"/>
  <c r="BB47" i="2"/>
  <c r="BB64" i="2" s="1"/>
  <c r="BA47" i="2"/>
  <c r="AZ47" i="2"/>
  <c r="AY47" i="2"/>
  <c r="AY64" i="2" s="1"/>
  <c r="AX47" i="2"/>
  <c r="AW47" i="2"/>
  <c r="AV47" i="2"/>
  <c r="AV64" i="2" s="1"/>
  <c r="AV91" i="2" s="1"/>
  <c r="AU47" i="2"/>
  <c r="AT47" i="2"/>
  <c r="AT64" i="2" s="1"/>
  <c r="AS47" i="2"/>
  <c r="AR47" i="2"/>
  <c r="AQ47" i="2"/>
  <c r="AQ64" i="2" s="1"/>
  <c r="AP47" i="2"/>
  <c r="AO47" i="2"/>
  <c r="AN47" i="2"/>
  <c r="AN64" i="2" s="1"/>
  <c r="AM47" i="2"/>
  <c r="AL47" i="2"/>
  <c r="AL64" i="2" s="1"/>
  <c r="AK47" i="2"/>
  <c r="AK64" i="2" s="1"/>
  <c r="AJ47" i="2"/>
  <c r="AI47" i="2"/>
  <c r="AI64" i="2" s="1"/>
  <c r="AI91" i="2" s="1"/>
  <c r="AH47" i="2"/>
  <c r="AG47" i="2"/>
  <c r="AF47" i="2"/>
  <c r="AF64" i="2" s="1"/>
  <c r="AE47" i="2"/>
  <c r="AD47" i="2"/>
  <c r="AD64" i="2" s="1"/>
  <c r="AC47" i="2"/>
  <c r="AB47" i="2"/>
  <c r="AA47" i="2"/>
  <c r="AA64" i="2" s="1"/>
  <c r="Z47" i="2"/>
  <c r="Y47" i="2"/>
  <c r="X47" i="2"/>
  <c r="W47" i="2"/>
  <c r="V47" i="2"/>
  <c r="V64" i="2" s="1"/>
  <c r="U47" i="2"/>
  <c r="T47" i="2"/>
  <c r="S47" i="2"/>
  <c r="R47" i="2"/>
  <c r="Q47" i="2"/>
  <c r="P47" i="2"/>
  <c r="O47" i="2"/>
  <c r="N47" i="2"/>
  <c r="N64" i="2" s="1"/>
  <c r="M47" i="2"/>
  <c r="L47" i="2"/>
  <c r="K47" i="2"/>
  <c r="J47" i="2"/>
  <c r="I47" i="2"/>
  <c r="H47" i="2"/>
  <c r="G47" i="2"/>
  <c r="F47" i="2"/>
  <c r="F64" i="2" s="1"/>
  <c r="E47" i="2"/>
  <c r="D47" i="2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5" i="2"/>
  <c r="CG15" i="2"/>
  <c r="CF15" i="2"/>
  <c r="CE15" i="2"/>
  <c r="CD15" i="2"/>
  <c r="CC15" i="2"/>
  <c r="CB15" i="2"/>
  <c r="CA15" i="2"/>
  <c r="BZ15" i="2"/>
  <c r="AA12" i="3" s="1"/>
  <c r="BY15" i="2"/>
  <c r="BX15" i="2"/>
  <c r="BW15" i="2"/>
  <c r="BV15" i="2"/>
  <c r="BU15" i="2"/>
  <c r="BT15" i="2"/>
  <c r="BS15" i="2"/>
  <c r="BR15" i="2"/>
  <c r="BQ15" i="2"/>
  <c r="BP15" i="2"/>
  <c r="BO15" i="2"/>
  <c r="BN15" i="2"/>
  <c r="W12" i="3" s="1"/>
  <c r="BM15" i="2"/>
  <c r="BL15" i="2"/>
  <c r="BK15" i="2"/>
  <c r="V12" i="3" s="1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O12" i="3" s="1"/>
  <c r="AO15" i="2"/>
  <c r="AN15" i="2"/>
  <c r="AM15" i="2"/>
  <c r="N12" i="3" s="1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G12" i="3" s="1"/>
  <c r="Q15" i="2"/>
  <c r="P15" i="2"/>
  <c r="O15" i="2"/>
  <c r="F12" i="3" s="1"/>
  <c r="N15" i="2"/>
  <c r="M15" i="2"/>
  <c r="L15" i="2"/>
  <c r="K15" i="2"/>
  <c r="J15" i="2"/>
  <c r="I15" i="2"/>
  <c r="H15" i="2"/>
  <c r="G15" i="2"/>
  <c r="F15" i="2"/>
  <c r="E15" i="2"/>
  <c r="D15" i="2"/>
  <c r="C15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Z8" i="3" s="1"/>
  <c r="BV11" i="2"/>
  <c r="BU11" i="2"/>
  <c r="BT11" i="2"/>
  <c r="BS11" i="2"/>
  <c r="BR11" i="2"/>
  <c r="BQ11" i="2"/>
  <c r="BP11" i="2"/>
  <c r="BO11" i="2"/>
  <c r="BN11" i="2"/>
  <c r="W8" i="3" s="1"/>
  <c r="BM11" i="2"/>
  <c r="BL11" i="2"/>
  <c r="BK11" i="2"/>
  <c r="V8" i="3" s="1"/>
  <c r="BJ11" i="2"/>
  <c r="BI11" i="2"/>
  <c r="BH11" i="2"/>
  <c r="BG11" i="2"/>
  <c r="BF11" i="2"/>
  <c r="BE11" i="2"/>
  <c r="BD11" i="2"/>
  <c r="BC11" i="2"/>
  <c r="BB11" i="2"/>
  <c r="BA11" i="2"/>
  <c r="AZ11" i="2"/>
  <c r="AY11" i="2"/>
  <c r="R8" i="3" s="1"/>
  <c r="AX11" i="2"/>
  <c r="AW11" i="2"/>
  <c r="AV11" i="2"/>
  <c r="AU11" i="2"/>
  <c r="AT11" i="2"/>
  <c r="AS11" i="2"/>
  <c r="AR11" i="2"/>
  <c r="AQ11" i="2"/>
  <c r="AP11" i="2"/>
  <c r="O8" i="3" s="1"/>
  <c r="AO11" i="2"/>
  <c r="AN11" i="2"/>
  <c r="AM11" i="2"/>
  <c r="N8" i="3" s="1"/>
  <c r="AL11" i="2"/>
  <c r="AK11" i="2"/>
  <c r="AJ11" i="2"/>
  <c r="AI11" i="2"/>
  <c r="AH11" i="2"/>
  <c r="L8" i="3" s="1"/>
  <c r="AG11" i="2"/>
  <c r="AF11" i="2"/>
  <c r="AE11" i="2"/>
  <c r="AD11" i="2"/>
  <c r="AC11" i="2"/>
  <c r="AB11" i="2"/>
  <c r="AA11" i="2"/>
  <c r="J8" i="3" s="1"/>
  <c r="Z11" i="2"/>
  <c r="Y11" i="2"/>
  <c r="X11" i="2"/>
  <c r="W11" i="2"/>
  <c r="V11" i="2"/>
  <c r="U11" i="2"/>
  <c r="T11" i="2"/>
  <c r="S11" i="2"/>
  <c r="R11" i="2"/>
  <c r="G8" i="3" s="1"/>
  <c r="Q11" i="2"/>
  <c r="P11" i="2"/>
  <c r="O11" i="2"/>
  <c r="F8" i="3" s="1"/>
  <c r="N11" i="2"/>
  <c r="M11" i="2"/>
  <c r="L11" i="2"/>
  <c r="K11" i="2"/>
  <c r="J11" i="2"/>
  <c r="B8" i="1" s="1"/>
  <c r="B41" i="5" s="1"/>
  <c r="I11" i="2"/>
  <c r="H11" i="2"/>
  <c r="G11" i="2"/>
  <c r="F11" i="2"/>
  <c r="E11" i="2"/>
  <c r="D11" i="2"/>
  <c r="C11" i="2"/>
  <c r="B8" i="3" s="1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G7" i="3" s="1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CH7" i="2"/>
  <c r="CG7" i="2"/>
  <c r="I3" i="1" s="1"/>
  <c r="CF7" i="2"/>
  <c r="CE7" i="2"/>
  <c r="CD7" i="2"/>
  <c r="CC7" i="2"/>
  <c r="AB3" i="3" s="1"/>
  <c r="CB7" i="2"/>
  <c r="CA7" i="2"/>
  <c r="BZ7" i="2"/>
  <c r="BY7" i="2"/>
  <c r="BX7" i="2"/>
  <c r="BW7" i="2"/>
  <c r="BV7" i="2"/>
  <c r="BU7" i="2"/>
  <c r="BT7" i="2"/>
  <c r="Y3" i="3" s="1"/>
  <c r="BS7" i="2"/>
  <c r="BR7" i="2"/>
  <c r="BQ7" i="2"/>
  <c r="X3" i="3" s="1"/>
  <c r="BP7" i="2"/>
  <c r="BO7" i="2"/>
  <c r="BN7" i="2"/>
  <c r="BM7" i="2"/>
  <c r="BL7" i="2"/>
  <c r="BK7" i="2"/>
  <c r="BJ7" i="2"/>
  <c r="BI7" i="2"/>
  <c r="G3" i="1" s="1"/>
  <c r="BH7" i="2"/>
  <c r="BG7" i="2"/>
  <c r="BF7" i="2"/>
  <c r="BE7" i="2"/>
  <c r="T3" i="3" s="1"/>
  <c r="BD7" i="2"/>
  <c r="BC7" i="2"/>
  <c r="BB7" i="2"/>
  <c r="BA7" i="2"/>
  <c r="AZ7" i="2"/>
  <c r="AY7" i="2"/>
  <c r="AX7" i="2"/>
  <c r="AW7" i="2"/>
  <c r="AV7" i="2"/>
  <c r="Q3" i="3" s="1"/>
  <c r="AU7" i="2"/>
  <c r="AT7" i="2"/>
  <c r="AS7" i="2"/>
  <c r="P3" i="3" s="1"/>
  <c r="AR7" i="2"/>
  <c r="AQ7" i="2"/>
  <c r="AP7" i="2"/>
  <c r="AO7" i="2"/>
  <c r="AN7" i="2"/>
  <c r="AM7" i="2"/>
  <c r="AL7" i="2"/>
  <c r="AK7" i="2"/>
  <c r="AJ7" i="2"/>
  <c r="AI7" i="2"/>
  <c r="AH7" i="2"/>
  <c r="AG7" i="2"/>
  <c r="L3" i="3" s="1"/>
  <c r="AF7" i="2"/>
  <c r="AE7" i="2"/>
  <c r="AD7" i="2"/>
  <c r="AC7" i="2"/>
  <c r="AB7" i="2"/>
  <c r="AA7" i="2"/>
  <c r="Z7" i="2"/>
  <c r="Y7" i="2"/>
  <c r="X7" i="2"/>
  <c r="I3" i="3" s="1"/>
  <c r="W7" i="2"/>
  <c r="V7" i="2"/>
  <c r="U7" i="2"/>
  <c r="H3" i="3" s="1"/>
  <c r="T7" i="2"/>
  <c r="S7" i="2"/>
  <c r="R7" i="2"/>
  <c r="Q7" i="2"/>
  <c r="P7" i="2"/>
  <c r="O7" i="2"/>
  <c r="N7" i="2"/>
  <c r="M7" i="2"/>
  <c r="C3" i="1" s="1"/>
  <c r="L7" i="2"/>
  <c r="K7" i="2"/>
  <c r="J7" i="2"/>
  <c r="I7" i="2"/>
  <c r="D3" i="3" s="1"/>
  <c r="H7" i="2"/>
  <c r="G7" i="2"/>
  <c r="F7" i="2"/>
  <c r="E7" i="2"/>
  <c r="D7" i="2"/>
  <c r="C7" i="2"/>
  <c r="B44" i="1"/>
  <c r="D40" i="1"/>
  <c r="B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G27" i="1"/>
  <c r="F27" i="1"/>
  <c r="E27" i="1"/>
  <c r="D27" i="1"/>
  <c r="C27" i="1"/>
  <c r="B27" i="1"/>
  <c r="I26" i="1"/>
  <c r="H26" i="1"/>
  <c r="G26" i="1"/>
  <c r="F26" i="1"/>
  <c r="E26" i="1"/>
  <c r="D26" i="1"/>
  <c r="C26" i="1"/>
  <c r="B26" i="1"/>
  <c r="I12" i="1"/>
  <c r="H12" i="1"/>
  <c r="G12" i="1"/>
  <c r="F12" i="1"/>
  <c r="E12" i="1"/>
  <c r="D12" i="1"/>
  <c r="C12" i="1"/>
  <c r="B12" i="1"/>
  <c r="I8" i="1"/>
  <c r="I41" i="5" s="1"/>
  <c r="H8" i="1"/>
  <c r="H41" i="5" s="1"/>
  <c r="G8" i="1"/>
  <c r="G41" i="5" s="1"/>
  <c r="F8" i="1"/>
  <c r="F41" i="5" s="1"/>
  <c r="D8" i="1"/>
  <c r="D41" i="5" s="1"/>
  <c r="C8" i="1"/>
  <c r="C41" i="5" s="1"/>
  <c r="C7" i="1"/>
  <c r="D38" i="9"/>
  <c r="D37" i="9"/>
  <c r="D36" i="9"/>
  <c r="D35" i="9"/>
  <c r="D34" i="9"/>
  <c r="D33" i="9"/>
  <c r="D32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125" i="2" l="1"/>
  <c r="D121" i="2" s="1"/>
  <c r="C84" i="2"/>
  <c r="AE64" i="2"/>
  <c r="AE91" i="2" s="1"/>
  <c r="AM64" i="2"/>
  <c r="AU64" i="2"/>
  <c r="BC64" i="2"/>
  <c r="BK64" i="2"/>
  <c r="BS64" i="2"/>
  <c r="BS91" i="2" s="1"/>
  <c r="CA64" i="2"/>
  <c r="D11" i="4"/>
  <c r="E11" i="4" s="1"/>
  <c r="F11" i="4" s="1"/>
  <c r="G11" i="4" s="1"/>
  <c r="H11" i="4" s="1"/>
  <c r="I11" i="4" s="1"/>
  <c r="S64" i="2"/>
  <c r="AS64" i="2"/>
  <c r="BI64" i="2"/>
  <c r="BY64" i="2"/>
  <c r="I26" i="3"/>
  <c r="Q26" i="3"/>
  <c r="Y26" i="3"/>
  <c r="E27" i="3"/>
  <c r="M27" i="3"/>
  <c r="U27" i="3"/>
  <c r="AC27" i="3"/>
  <c r="AA141" i="2"/>
  <c r="BL141" i="2"/>
  <c r="B10" i="7"/>
  <c r="BP17" i="2"/>
  <c r="F7" i="3"/>
  <c r="E12" i="3"/>
  <c r="M12" i="3"/>
  <c r="U12" i="3"/>
  <c r="AC12" i="3"/>
  <c r="P64" i="2"/>
  <c r="P91" i="2" s="1"/>
  <c r="X64" i="2"/>
  <c r="D26" i="3"/>
  <c r="L26" i="3"/>
  <c r="T26" i="3"/>
  <c r="AB26" i="3"/>
  <c r="H27" i="3"/>
  <c r="P27" i="3"/>
  <c r="X27" i="3"/>
  <c r="S141" i="2"/>
  <c r="BM141" i="2"/>
  <c r="V40" i="3" s="1"/>
  <c r="CE141" i="2"/>
  <c r="AJ141" i="2"/>
  <c r="D17" i="4"/>
  <c r="B11" i="7"/>
  <c r="P12" i="8"/>
  <c r="C27" i="11"/>
  <c r="D25" i="11" s="1"/>
  <c r="B16" i="12"/>
  <c r="G19" i="12"/>
  <c r="BE141" i="2"/>
  <c r="P43" i="8"/>
  <c r="B18" i="12"/>
  <c r="B62" i="12" s="1"/>
  <c r="Z64" i="2"/>
  <c r="V27" i="3"/>
  <c r="C141" i="2"/>
  <c r="BO141" i="2"/>
  <c r="CF141" i="2"/>
  <c r="P8" i="8"/>
  <c r="J141" i="2"/>
  <c r="AH141" i="2"/>
  <c r="AX141" i="2"/>
  <c r="Q40" i="3" s="1"/>
  <c r="BF141" i="2"/>
  <c r="BV141" i="2"/>
  <c r="Y40" i="3" s="1"/>
  <c r="CD141" i="2"/>
  <c r="D3" i="1"/>
  <c r="BK66" i="2"/>
  <c r="F3" i="1"/>
  <c r="B7" i="1"/>
  <c r="D141" i="2"/>
  <c r="BG141" i="2"/>
  <c r="L141" i="2"/>
  <c r="D104" i="12"/>
  <c r="D106" i="12" s="1"/>
  <c r="L104" i="12"/>
  <c r="T104" i="12"/>
  <c r="AB104" i="12"/>
  <c r="AJ104" i="12"/>
  <c r="AR104" i="12"/>
  <c r="AZ104" i="12"/>
  <c r="H19" i="12"/>
  <c r="BP104" i="12"/>
  <c r="BX104" i="12"/>
  <c r="CF104" i="12"/>
  <c r="H20" i="12"/>
  <c r="B7" i="3"/>
  <c r="J7" i="3"/>
  <c r="AP64" i="2"/>
  <c r="X141" i="2"/>
  <c r="AY141" i="2"/>
  <c r="P23" i="8"/>
  <c r="P31" i="8"/>
  <c r="I19" i="12"/>
  <c r="B28" i="13"/>
  <c r="BZ16" i="2"/>
  <c r="B3" i="1"/>
  <c r="C8" i="3"/>
  <c r="K8" i="3"/>
  <c r="S8" i="3"/>
  <c r="AA8" i="3"/>
  <c r="AC64" i="2"/>
  <c r="AQ141" i="2"/>
  <c r="BH141" i="2"/>
  <c r="I16" i="11"/>
  <c r="Q16" i="11"/>
  <c r="Y16" i="11"/>
  <c r="AG16" i="11"/>
  <c r="AO16" i="11"/>
  <c r="AW16" i="11"/>
  <c r="BE16" i="11"/>
  <c r="BM16" i="11"/>
  <c r="BU16" i="11"/>
  <c r="CC16" i="11"/>
  <c r="BB104" i="12"/>
  <c r="BJ104" i="12"/>
  <c r="BR104" i="12"/>
  <c r="BZ104" i="12"/>
  <c r="CH104" i="12"/>
  <c r="B29" i="13"/>
  <c r="M14" i="4"/>
  <c r="M16" i="4" s="1"/>
  <c r="U14" i="4"/>
  <c r="U16" i="4" s="1"/>
  <c r="O20" i="4"/>
  <c r="O22" i="4" s="1"/>
  <c r="W20" i="4"/>
  <c r="W22" i="4" s="1"/>
  <c r="P9" i="8"/>
  <c r="G104" i="12"/>
  <c r="G106" i="12" s="1"/>
  <c r="G107" i="12" s="1"/>
  <c r="O104" i="12"/>
  <c r="W104" i="12"/>
  <c r="AE104" i="12"/>
  <c r="AM104" i="12"/>
  <c r="AU104" i="12"/>
  <c r="BC104" i="12"/>
  <c r="BK104" i="12"/>
  <c r="BS104" i="12"/>
  <c r="CA104" i="12"/>
  <c r="D8" i="13"/>
  <c r="S91" i="2"/>
  <c r="P19" i="3"/>
  <c r="AS91" i="2"/>
  <c r="K19" i="3"/>
  <c r="AD91" i="2"/>
  <c r="AT91" i="2"/>
  <c r="BR91" i="2"/>
  <c r="T91" i="2"/>
  <c r="U19" i="3"/>
  <c r="BH91" i="2"/>
  <c r="AC19" i="3"/>
  <c r="CF91" i="2"/>
  <c r="I19" i="1"/>
  <c r="F3" i="3"/>
  <c r="N3" i="3"/>
  <c r="V3" i="3"/>
  <c r="D7" i="3"/>
  <c r="P16" i="2"/>
  <c r="AM16" i="2"/>
  <c r="BJ16" i="2"/>
  <c r="CB16" i="2"/>
  <c r="S17" i="2"/>
  <c r="AP17" i="2"/>
  <c r="BH17" i="2"/>
  <c r="CE17" i="2"/>
  <c r="V18" i="2"/>
  <c r="AN18" i="2"/>
  <c r="BK18" i="2"/>
  <c r="CH18" i="2"/>
  <c r="M64" i="2"/>
  <c r="AC91" i="2"/>
  <c r="AK91" i="2"/>
  <c r="BF91" i="2"/>
  <c r="AL66" i="2"/>
  <c r="V16" i="2"/>
  <c r="AN16" i="2"/>
  <c r="BK16" i="2"/>
  <c r="CH16" i="2"/>
  <c r="T17" i="2"/>
  <c r="AQ17" i="2"/>
  <c r="BN17" i="2"/>
  <c r="CF17" i="2"/>
  <c r="W18" i="2"/>
  <c r="AT18" i="2"/>
  <c r="BL18" i="2"/>
  <c r="F91" i="2"/>
  <c r="N91" i="2"/>
  <c r="V91" i="2"/>
  <c r="AL91" i="2"/>
  <c r="BB91" i="2"/>
  <c r="BJ91" i="2"/>
  <c r="BZ91" i="2"/>
  <c r="B6" i="13"/>
  <c r="B32" i="11"/>
  <c r="B47" i="11" s="1"/>
  <c r="C6" i="13" s="1"/>
  <c r="B37" i="11"/>
  <c r="B42" i="11" s="1"/>
  <c r="AR26" i="4"/>
  <c r="M19" i="3"/>
  <c r="AJ91" i="2"/>
  <c r="U64" i="2"/>
  <c r="BG91" i="2"/>
  <c r="AM66" i="2"/>
  <c r="C12" i="3"/>
  <c r="K12" i="3"/>
  <c r="S12" i="3"/>
  <c r="W16" i="2"/>
  <c r="AT16" i="2"/>
  <c r="BL16" i="2"/>
  <c r="C17" i="2"/>
  <c r="Z17" i="2"/>
  <c r="AR17" i="2"/>
  <c r="BO17" i="2"/>
  <c r="F18" i="2"/>
  <c r="X18" i="2"/>
  <c r="AU18" i="2"/>
  <c r="BR18" i="2"/>
  <c r="G64" i="2"/>
  <c r="O64" i="2"/>
  <c r="W64" i="2"/>
  <c r="AM91" i="2"/>
  <c r="AU91" i="2"/>
  <c r="BC91" i="2"/>
  <c r="BK91" i="2"/>
  <c r="CA91" i="2"/>
  <c r="J11" i="4"/>
  <c r="K11" i="4" s="1"/>
  <c r="BI91" i="2"/>
  <c r="BY91" i="2"/>
  <c r="J66" i="2"/>
  <c r="AW66" i="2"/>
  <c r="F16" i="11"/>
  <c r="F133" i="2"/>
  <c r="F141" i="2" s="1"/>
  <c r="N16" i="11"/>
  <c r="N133" i="2"/>
  <c r="N141" i="2" s="1"/>
  <c r="E40" i="3" s="1"/>
  <c r="V16" i="11"/>
  <c r="V133" i="2"/>
  <c r="V141" i="2" s="1"/>
  <c r="AD16" i="11"/>
  <c r="AD133" i="2"/>
  <c r="AD141" i="2" s="1"/>
  <c r="AL16" i="11"/>
  <c r="AL133" i="2"/>
  <c r="AL141" i="2" s="1"/>
  <c r="M40" i="3" s="1"/>
  <c r="AT16" i="11"/>
  <c r="AT133" i="2"/>
  <c r="AT141" i="2" s="1"/>
  <c r="BB16" i="11"/>
  <c r="BB133" i="2"/>
  <c r="BB141" i="2" s="1"/>
  <c r="BJ16" i="11"/>
  <c r="BJ133" i="2"/>
  <c r="BJ141" i="2" s="1"/>
  <c r="U40" i="3" s="1"/>
  <c r="BR16" i="11"/>
  <c r="BR133" i="2"/>
  <c r="BR141" i="2" s="1"/>
  <c r="BZ16" i="11"/>
  <c r="BZ133" i="2"/>
  <c r="BZ141" i="2" s="1"/>
  <c r="CH16" i="11"/>
  <c r="CH133" i="2"/>
  <c r="CH141" i="2" s="1"/>
  <c r="BN16" i="11"/>
  <c r="BN134" i="2"/>
  <c r="BN141" i="2" s="1"/>
  <c r="H3" i="1"/>
  <c r="G3" i="3"/>
  <c r="O3" i="3"/>
  <c r="W3" i="3"/>
  <c r="E8" i="3"/>
  <c r="M8" i="3"/>
  <c r="U8" i="3"/>
  <c r="AC8" i="3"/>
  <c r="F16" i="2"/>
  <c r="X16" i="2"/>
  <c r="AU16" i="2"/>
  <c r="BR16" i="2"/>
  <c r="D17" i="2"/>
  <c r="AA17" i="2"/>
  <c r="AX17" i="2"/>
  <c r="G18" i="2"/>
  <c r="AD18" i="2"/>
  <c r="AV18" i="2"/>
  <c r="BS18" i="2"/>
  <c r="X91" i="2"/>
  <c r="AF91" i="2"/>
  <c r="AN91" i="2"/>
  <c r="BD64" i="2"/>
  <c r="BL91" i="2"/>
  <c r="BT91" i="2"/>
  <c r="CB64" i="2"/>
  <c r="AA19" i="3" s="1"/>
  <c r="L9" i="4"/>
  <c r="L10" i="4" s="1"/>
  <c r="L64" i="2"/>
  <c r="G14" i="4"/>
  <c r="G16" i="4" s="1"/>
  <c r="AX26" i="4"/>
  <c r="AX64" i="2"/>
  <c r="N66" i="2"/>
  <c r="AX66" i="2"/>
  <c r="B36" i="3"/>
  <c r="F106" i="2"/>
  <c r="F108" i="2" s="1"/>
  <c r="G106" i="2" s="1"/>
  <c r="G108" i="2" s="1"/>
  <c r="H106" i="2" s="1"/>
  <c r="H108" i="2" s="1"/>
  <c r="CB4" i="11"/>
  <c r="BT4" i="11"/>
  <c r="BL4" i="11"/>
  <c r="BD4" i="11"/>
  <c r="AV4" i="11"/>
  <c r="AN4" i="11"/>
  <c r="AF4" i="11"/>
  <c r="X4" i="11"/>
  <c r="CG4" i="11"/>
  <c r="BY4" i="11"/>
  <c r="BQ4" i="11"/>
  <c r="BI4" i="11"/>
  <c r="BA4" i="11"/>
  <c r="AS4" i="11"/>
  <c r="AK4" i="11"/>
  <c r="AC4" i="11"/>
  <c r="U4" i="11"/>
  <c r="M4" i="11"/>
  <c r="E4" i="11"/>
  <c r="CF4" i="11"/>
  <c r="BX4" i="11"/>
  <c r="BP4" i="11"/>
  <c r="BH4" i="11"/>
  <c r="AZ4" i="11"/>
  <c r="AR4" i="11"/>
  <c r="CE4" i="11"/>
  <c r="BS4" i="11"/>
  <c r="BF4" i="11"/>
  <c r="AT4" i="11"/>
  <c r="AH4" i="11"/>
  <c r="W4" i="11"/>
  <c r="N4" i="11"/>
  <c r="D4" i="11"/>
  <c r="CC4" i="11"/>
  <c r="BO4" i="11"/>
  <c r="BC4" i="11"/>
  <c r="AP4" i="11"/>
  <c r="AE4" i="11"/>
  <c r="CA4" i="11"/>
  <c r="BK4" i="11"/>
  <c r="AU4" i="11"/>
  <c r="AD4" i="11"/>
  <c r="R4" i="11"/>
  <c r="H4" i="11"/>
  <c r="BZ4" i="11"/>
  <c r="BJ4" i="11"/>
  <c r="AQ4" i="11"/>
  <c r="AB4" i="11"/>
  <c r="Q4" i="11"/>
  <c r="G4" i="11"/>
  <c r="BM4" i="11"/>
  <c r="AM4" i="11"/>
  <c r="V4" i="11"/>
  <c r="I4" i="11"/>
  <c r="CH4" i="11"/>
  <c r="BG4" i="11"/>
  <c r="AL4" i="11"/>
  <c r="T4" i="11"/>
  <c r="F4" i="11"/>
  <c r="BU4" i="11"/>
  <c r="AX4" i="11"/>
  <c r="AA4" i="11"/>
  <c r="L4" i="11"/>
  <c r="CD4" i="11"/>
  <c r="AW4" i="11"/>
  <c r="P4" i="11"/>
  <c r="BR4" i="11"/>
  <c r="AI4" i="11"/>
  <c r="J4" i="11"/>
  <c r="BE4" i="11"/>
  <c r="S4" i="11"/>
  <c r="BB4" i="11"/>
  <c r="O4" i="11"/>
  <c r="AO4" i="11"/>
  <c r="C4" i="11"/>
  <c r="AJ4" i="11"/>
  <c r="Y4" i="11"/>
  <c r="K4" i="11"/>
  <c r="BV4" i="11"/>
  <c r="AY4" i="11"/>
  <c r="Z4" i="11"/>
  <c r="BW4" i="11"/>
  <c r="BN4" i="11"/>
  <c r="AG4" i="11"/>
  <c r="CC17" i="2"/>
  <c r="BU17" i="2"/>
  <c r="BM17" i="2"/>
  <c r="BE17" i="2"/>
  <c r="AW17" i="2"/>
  <c r="AO17" i="2"/>
  <c r="AG17" i="2"/>
  <c r="Y17" i="2"/>
  <c r="Q17" i="2"/>
  <c r="I17" i="2"/>
  <c r="CB17" i="2"/>
  <c r="BT17" i="2"/>
  <c r="BL17" i="2"/>
  <c r="BD17" i="2"/>
  <c r="AV17" i="2"/>
  <c r="AN17" i="2"/>
  <c r="AF17" i="2"/>
  <c r="X17" i="2"/>
  <c r="P17" i="2"/>
  <c r="H17" i="2"/>
  <c r="CA17" i="2"/>
  <c r="BS17" i="2"/>
  <c r="BK17" i="2"/>
  <c r="BC17" i="2"/>
  <c r="AU17" i="2"/>
  <c r="AM17" i="2"/>
  <c r="AE17" i="2"/>
  <c r="W17" i="2"/>
  <c r="O17" i="2"/>
  <c r="G17" i="2"/>
  <c r="CH17" i="2"/>
  <c r="BZ17" i="2"/>
  <c r="BR17" i="2"/>
  <c r="BJ17" i="2"/>
  <c r="BB17" i="2"/>
  <c r="AT17" i="2"/>
  <c r="AL17" i="2"/>
  <c r="AD17" i="2"/>
  <c r="V17" i="2"/>
  <c r="N17" i="2"/>
  <c r="F17" i="2"/>
  <c r="CG17" i="2"/>
  <c r="BY17" i="2"/>
  <c r="BQ17" i="2"/>
  <c r="BI17" i="2"/>
  <c r="BA17" i="2"/>
  <c r="AS17" i="2"/>
  <c r="AK17" i="2"/>
  <c r="AC17" i="2"/>
  <c r="U17" i="2"/>
  <c r="M17" i="2"/>
  <c r="E17" i="2"/>
  <c r="B3" i="3"/>
  <c r="J3" i="3"/>
  <c r="R3" i="3"/>
  <c r="Z3" i="3"/>
  <c r="G16" i="2"/>
  <c r="AD16" i="2"/>
  <c r="AV16" i="2"/>
  <c r="BS16" i="2"/>
  <c r="J17" i="2"/>
  <c r="AB17" i="2"/>
  <c r="AY17" i="2"/>
  <c r="BV17" i="2"/>
  <c r="H18" i="2"/>
  <c r="AE18" i="2"/>
  <c r="BB18" i="2"/>
  <c r="BT18" i="2"/>
  <c r="H64" i="2"/>
  <c r="X19" i="3"/>
  <c r="BQ91" i="2"/>
  <c r="O66" i="2"/>
  <c r="CF5" i="11"/>
  <c r="BX5" i="11"/>
  <c r="BP5" i="11"/>
  <c r="BH5" i="11"/>
  <c r="AZ5" i="11"/>
  <c r="AR5" i="11"/>
  <c r="AJ5" i="11"/>
  <c r="AB5" i="11"/>
  <c r="T5" i="11"/>
  <c r="L5" i="11"/>
  <c r="D5" i="11"/>
  <c r="CC5" i="11"/>
  <c r="BU5" i="11"/>
  <c r="BM5" i="11"/>
  <c r="BE5" i="11"/>
  <c r="AW5" i="11"/>
  <c r="AO5" i="11"/>
  <c r="AG5" i="11"/>
  <c r="Y5" i="11"/>
  <c r="Q5" i="11"/>
  <c r="I5" i="11"/>
  <c r="CB5" i="11"/>
  <c r="BT5" i="11"/>
  <c r="BL5" i="11"/>
  <c r="BD5" i="11"/>
  <c r="AV5" i="11"/>
  <c r="AN5" i="11"/>
  <c r="AF5" i="11"/>
  <c r="X5" i="11"/>
  <c r="P5" i="11"/>
  <c r="H5" i="11"/>
  <c r="BY5" i="11"/>
  <c r="BK5" i="11"/>
  <c r="AY5" i="11"/>
  <c r="AL5" i="11"/>
  <c r="Z5" i="11"/>
  <c r="M5" i="11"/>
  <c r="CH5" i="11"/>
  <c r="BV5" i="11"/>
  <c r="BI5" i="11"/>
  <c r="AU5" i="11"/>
  <c r="AI5" i="11"/>
  <c r="V5" i="11"/>
  <c r="J5" i="11"/>
  <c r="CD5" i="11"/>
  <c r="BN5" i="11"/>
  <c r="AT5" i="11"/>
  <c r="AD5" i="11"/>
  <c r="N5" i="11"/>
  <c r="CA5" i="11"/>
  <c r="BJ5" i="11"/>
  <c r="AS5" i="11"/>
  <c r="AC5" i="11"/>
  <c r="K5" i="11"/>
  <c r="BR5" i="11"/>
  <c r="AX5" i="11"/>
  <c r="W5" i="11"/>
  <c r="C5" i="11"/>
  <c r="BQ5" i="11"/>
  <c r="AQ5" i="11"/>
  <c r="U5" i="11"/>
  <c r="BZ5" i="11"/>
  <c r="BC5" i="11"/>
  <c r="AH5" i="11"/>
  <c r="G5" i="11"/>
  <c r="BS5" i="11"/>
  <c r="AK5" i="11"/>
  <c r="BF5" i="11"/>
  <c r="S5" i="11"/>
  <c r="BW5" i="11"/>
  <c r="AA5" i="11"/>
  <c r="BO5" i="11"/>
  <c r="R5" i="11"/>
  <c r="BB5" i="11"/>
  <c r="F5" i="11"/>
  <c r="BA5" i="11"/>
  <c r="E5" i="11"/>
  <c r="AE5" i="11"/>
  <c r="O5" i="11"/>
  <c r="CG5" i="11"/>
  <c r="CE5" i="11"/>
  <c r="BG5" i="11"/>
  <c r="AP5" i="11"/>
  <c r="AM5" i="11"/>
  <c r="CG66" i="2"/>
  <c r="BY66" i="2"/>
  <c r="BQ66" i="2"/>
  <c r="BI66" i="2"/>
  <c r="BA66" i="2"/>
  <c r="AS66" i="2"/>
  <c r="AK66" i="2"/>
  <c r="AC66" i="2"/>
  <c r="U66" i="2"/>
  <c r="M66" i="2"/>
  <c r="E66" i="2"/>
  <c r="CF66" i="2"/>
  <c r="BX66" i="2"/>
  <c r="BP66" i="2"/>
  <c r="BH66" i="2"/>
  <c r="AZ66" i="2"/>
  <c r="AR66" i="2"/>
  <c r="AJ66" i="2"/>
  <c r="AB66" i="2"/>
  <c r="T66" i="2"/>
  <c r="L66" i="2"/>
  <c r="D66" i="2"/>
  <c r="CE66" i="2"/>
  <c r="BW66" i="2"/>
  <c r="BO66" i="2"/>
  <c r="BG66" i="2"/>
  <c r="AY66" i="2"/>
  <c r="AQ66" i="2"/>
  <c r="AI66" i="2"/>
  <c r="AA66" i="2"/>
  <c r="S66" i="2"/>
  <c r="K66" i="2"/>
  <c r="C66" i="2"/>
  <c r="BU66" i="2"/>
  <c r="BJ66" i="2"/>
  <c r="AV66" i="2"/>
  <c r="AH66" i="2"/>
  <c r="W66" i="2"/>
  <c r="I66" i="2"/>
  <c r="CG18" i="2"/>
  <c r="BY18" i="2"/>
  <c r="BQ18" i="2"/>
  <c r="X14" i="3" s="1"/>
  <c r="BI18" i="2"/>
  <c r="BA18" i="2"/>
  <c r="AS18" i="2"/>
  <c r="P14" i="3" s="1"/>
  <c r="AK18" i="2"/>
  <c r="AC18" i="2"/>
  <c r="U18" i="2"/>
  <c r="H14" i="3" s="1"/>
  <c r="M18" i="2"/>
  <c r="E18" i="2"/>
  <c r="CH66" i="2"/>
  <c r="BT66" i="2"/>
  <c r="BF66" i="2"/>
  <c r="AU66" i="2"/>
  <c r="AG66" i="2"/>
  <c r="V66" i="2"/>
  <c r="H66" i="2"/>
  <c r="CF18" i="2"/>
  <c r="BX18" i="2"/>
  <c r="BP18" i="2"/>
  <c r="BH18" i="2"/>
  <c r="AZ18" i="2"/>
  <c r="AR18" i="2"/>
  <c r="AJ18" i="2"/>
  <c r="AB18" i="2"/>
  <c r="T18" i="2"/>
  <c r="L18" i="2"/>
  <c r="D18" i="2"/>
  <c r="CD66" i="2"/>
  <c r="BS66" i="2"/>
  <c r="BE66" i="2"/>
  <c r="AT66" i="2"/>
  <c r="AF66" i="2"/>
  <c r="R66" i="2"/>
  <c r="G66" i="2"/>
  <c r="CE18" i="2"/>
  <c r="BW18" i="2"/>
  <c r="BO18" i="2"/>
  <c r="BG18" i="2"/>
  <c r="AY18" i="2"/>
  <c r="R14" i="3" s="1"/>
  <c r="AQ18" i="2"/>
  <c r="AI18" i="2"/>
  <c r="AA18" i="2"/>
  <c r="S18" i="2"/>
  <c r="K18" i="2"/>
  <c r="C18" i="2"/>
  <c r="CC66" i="2"/>
  <c r="BR66" i="2"/>
  <c r="BD66" i="2"/>
  <c r="AP66" i="2"/>
  <c r="AE66" i="2"/>
  <c r="Q66" i="2"/>
  <c r="F66" i="2"/>
  <c r="CD18" i="2"/>
  <c r="BV18" i="2"/>
  <c r="BN18" i="2"/>
  <c r="W14" i="3" s="1"/>
  <c r="BF18" i="2"/>
  <c r="AX18" i="2"/>
  <c r="AP18" i="2"/>
  <c r="AH18" i="2"/>
  <c r="Z18" i="2"/>
  <c r="R18" i="2"/>
  <c r="J18" i="2"/>
  <c r="CB66" i="2"/>
  <c r="BN66" i="2"/>
  <c r="BC66" i="2"/>
  <c r="AO66" i="2"/>
  <c r="AD66" i="2"/>
  <c r="P66" i="2"/>
  <c r="CC18" i="2"/>
  <c r="BU18" i="2"/>
  <c r="BM18" i="2"/>
  <c r="BE18" i="2"/>
  <c r="T14" i="3" s="1"/>
  <c r="AW18" i="2"/>
  <c r="AO18" i="2"/>
  <c r="AG18" i="2"/>
  <c r="Y18" i="2"/>
  <c r="Q18" i="2"/>
  <c r="I18" i="2"/>
  <c r="D14" i="3" s="1"/>
  <c r="CA66" i="2"/>
  <c r="BM66" i="2"/>
  <c r="BB66" i="2"/>
  <c r="AN66" i="2"/>
  <c r="E3" i="3"/>
  <c r="M3" i="3"/>
  <c r="U3" i="3"/>
  <c r="AC3" i="3"/>
  <c r="C7" i="3"/>
  <c r="K7" i="3"/>
  <c r="H16" i="2"/>
  <c r="AE16" i="2"/>
  <c r="BB16" i="2"/>
  <c r="BT16" i="2"/>
  <c r="K17" i="2"/>
  <c r="AH17" i="2"/>
  <c r="AZ17" i="2"/>
  <c r="BW17" i="2"/>
  <c r="N18" i="2"/>
  <c r="AF18" i="2"/>
  <c r="BC18" i="2"/>
  <c r="BZ18" i="2"/>
  <c r="R64" i="2"/>
  <c r="Z91" i="2"/>
  <c r="CD91" i="2"/>
  <c r="J64" i="2"/>
  <c r="AR64" i="2"/>
  <c r="X66" i="2"/>
  <c r="BL66" i="2"/>
  <c r="CG91" i="2"/>
  <c r="N16" i="2"/>
  <c r="AF16" i="2"/>
  <c r="BC16" i="2"/>
  <c r="L17" i="2"/>
  <c r="AI17" i="2"/>
  <c r="BF17" i="2"/>
  <c r="BX17" i="2"/>
  <c r="O18" i="2"/>
  <c r="AL18" i="2"/>
  <c r="BD18" i="2"/>
  <c r="CA18" i="2"/>
  <c r="C64" i="2"/>
  <c r="AA91" i="2"/>
  <c r="AQ91" i="2"/>
  <c r="AY91" i="2"/>
  <c r="BW91" i="2"/>
  <c r="K64" i="2"/>
  <c r="BV64" i="2"/>
  <c r="Y66" i="2"/>
  <c r="BV66" i="2"/>
  <c r="CH91" i="2"/>
  <c r="CG16" i="2"/>
  <c r="BY16" i="2"/>
  <c r="BQ16" i="2"/>
  <c r="X13" i="3" s="1"/>
  <c r="BI16" i="2"/>
  <c r="BA16" i="2"/>
  <c r="AS16" i="2"/>
  <c r="P13" i="3" s="1"/>
  <c r="AK16" i="2"/>
  <c r="AC16" i="2"/>
  <c r="U16" i="2"/>
  <c r="H13" i="3" s="1"/>
  <c r="M16" i="2"/>
  <c r="E16" i="2"/>
  <c r="CF16" i="2"/>
  <c r="BX16" i="2"/>
  <c r="BP16" i="2"/>
  <c r="BH16" i="2"/>
  <c r="AZ16" i="2"/>
  <c r="AR16" i="2"/>
  <c r="AJ16" i="2"/>
  <c r="AB16" i="2"/>
  <c r="T16" i="2"/>
  <c r="L16" i="2"/>
  <c r="D16" i="2"/>
  <c r="CE16" i="2"/>
  <c r="BW16" i="2"/>
  <c r="BO16" i="2"/>
  <c r="BG16" i="2"/>
  <c r="AY16" i="2"/>
  <c r="AQ16" i="2"/>
  <c r="AI16" i="2"/>
  <c r="AA16" i="2"/>
  <c r="S16" i="2"/>
  <c r="K16" i="2"/>
  <c r="C16" i="2"/>
  <c r="CD16" i="2"/>
  <c r="BV16" i="2"/>
  <c r="BN16" i="2"/>
  <c r="BF16" i="2"/>
  <c r="AX16" i="2"/>
  <c r="AP16" i="2"/>
  <c r="AH16" i="2"/>
  <c r="Z16" i="2"/>
  <c r="R16" i="2"/>
  <c r="J16" i="2"/>
  <c r="CC16" i="2"/>
  <c r="BU16" i="2"/>
  <c r="BM16" i="2"/>
  <c r="BE16" i="2"/>
  <c r="AW16" i="2"/>
  <c r="AO16" i="2"/>
  <c r="AG16" i="2"/>
  <c r="Y16" i="2"/>
  <c r="Q16" i="2"/>
  <c r="I16" i="2"/>
  <c r="E3" i="1"/>
  <c r="E8" i="1"/>
  <c r="E41" i="5" s="1"/>
  <c r="C3" i="3"/>
  <c r="K3" i="3"/>
  <c r="S3" i="3"/>
  <c r="AA3" i="3"/>
  <c r="I7" i="3"/>
  <c r="B12" i="3"/>
  <c r="J12" i="3"/>
  <c r="R12" i="3"/>
  <c r="Z12" i="3"/>
  <c r="O16" i="2"/>
  <c r="F13" i="3" s="1"/>
  <c r="AL16" i="2"/>
  <c r="BD16" i="2"/>
  <c r="CA16" i="2"/>
  <c r="R17" i="2"/>
  <c r="AJ17" i="2"/>
  <c r="BG17" i="2"/>
  <c r="CD17" i="2"/>
  <c r="P18" i="2"/>
  <c r="AM18" i="2"/>
  <c r="N14" i="3" s="1"/>
  <c r="BJ18" i="2"/>
  <c r="CB18" i="2"/>
  <c r="D64" i="2"/>
  <c r="AB64" i="2"/>
  <c r="BP64" i="2"/>
  <c r="W19" i="3" s="1"/>
  <c r="BX64" i="2"/>
  <c r="Z19" i="3" s="1"/>
  <c r="O19" i="3"/>
  <c r="AP91" i="2"/>
  <c r="CE64" i="2"/>
  <c r="Z66" i="2"/>
  <c r="BZ66" i="2"/>
  <c r="P105" i="12"/>
  <c r="P106" i="12" s="1"/>
  <c r="P107" i="12" s="1"/>
  <c r="E21" i="12"/>
  <c r="X105" i="12"/>
  <c r="X106" i="12"/>
  <c r="AF105" i="12"/>
  <c r="AF106" i="12" s="1"/>
  <c r="AF107" i="12" s="1"/>
  <c r="AN105" i="12"/>
  <c r="AN106" i="12" s="1"/>
  <c r="AN107" i="12" s="1"/>
  <c r="AV105" i="12"/>
  <c r="AV106" i="12" s="1"/>
  <c r="BD105" i="12"/>
  <c r="BD106" i="12" s="1"/>
  <c r="BD107" i="12" s="1"/>
  <c r="BL105" i="12"/>
  <c r="BL106" i="12"/>
  <c r="BL107" i="12" s="1"/>
  <c r="BT105" i="12"/>
  <c r="CB105" i="12"/>
  <c r="CB106" i="12" s="1"/>
  <c r="CB107" i="12" s="1"/>
  <c r="AW141" i="2"/>
  <c r="H8" i="3"/>
  <c r="P8" i="3"/>
  <c r="X8" i="3"/>
  <c r="H12" i="3"/>
  <c r="P12" i="3"/>
  <c r="X12" i="3"/>
  <c r="I64" i="2"/>
  <c r="Q64" i="2"/>
  <c r="Y64" i="2"/>
  <c r="AG64" i="2"/>
  <c r="AO64" i="2"/>
  <c r="AW64" i="2"/>
  <c r="BE64" i="2"/>
  <c r="BM64" i="2"/>
  <c r="BU64" i="2"/>
  <c r="Y19" i="3" s="1"/>
  <c r="CC64" i="2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B13" i="13"/>
  <c r="B33" i="11"/>
  <c r="B38" i="11"/>
  <c r="B43" i="11" s="1"/>
  <c r="C27" i="4"/>
  <c r="AO141" i="2"/>
  <c r="N40" i="3" s="1"/>
  <c r="U141" i="2"/>
  <c r="D122" i="2"/>
  <c r="AG141" i="2"/>
  <c r="AP141" i="2"/>
  <c r="J14" i="4"/>
  <c r="J16" i="4" s="1"/>
  <c r="R14" i="4"/>
  <c r="R16" i="4" s="1"/>
  <c r="L20" i="4"/>
  <c r="L22" i="4" s="1"/>
  <c r="T20" i="4"/>
  <c r="T22" i="4" s="1"/>
  <c r="E64" i="2"/>
  <c r="BN91" i="2"/>
  <c r="Y141" i="2"/>
  <c r="E7" i="3"/>
  <c r="I8" i="3"/>
  <c r="Q8" i="3"/>
  <c r="Y8" i="3"/>
  <c r="I12" i="3"/>
  <c r="Q12" i="3"/>
  <c r="Y12" i="3"/>
  <c r="K14" i="4"/>
  <c r="K16" i="4" s="1"/>
  <c r="S14" i="4"/>
  <c r="S16" i="4" s="1"/>
  <c r="M20" i="4"/>
  <c r="M22" i="4" s="1"/>
  <c r="U20" i="4"/>
  <c r="U22" i="4" s="1"/>
  <c r="BA64" i="2"/>
  <c r="Q141" i="2"/>
  <c r="F40" i="3" s="1"/>
  <c r="Z141" i="2"/>
  <c r="I40" i="3" s="1"/>
  <c r="CC141" i="2"/>
  <c r="H7" i="3"/>
  <c r="D8" i="3"/>
  <c r="T8" i="3"/>
  <c r="AB8" i="3"/>
  <c r="D12" i="3"/>
  <c r="L12" i="3"/>
  <c r="T12" i="3"/>
  <c r="AB12" i="3"/>
  <c r="L14" i="4"/>
  <c r="L16" i="4" s="1"/>
  <c r="T14" i="4"/>
  <c r="T16" i="4" s="1"/>
  <c r="N20" i="4"/>
  <c r="N22" i="4" s="1"/>
  <c r="V20" i="4"/>
  <c r="V22" i="4" s="1"/>
  <c r="B20" i="13"/>
  <c r="B34" i="11"/>
  <c r="B39" i="11"/>
  <c r="B44" i="11" s="1"/>
  <c r="BA32" i="4"/>
  <c r="C40" i="4"/>
  <c r="C41" i="4" s="1"/>
  <c r="C42" i="4" s="1"/>
  <c r="C129" i="2"/>
  <c r="C83" i="2" s="1"/>
  <c r="I141" i="2"/>
  <c r="R141" i="2"/>
  <c r="BU141" i="2"/>
  <c r="AS141" i="2"/>
  <c r="H26" i="3"/>
  <c r="P26" i="3"/>
  <c r="X26" i="3"/>
  <c r="D27" i="3"/>
  <c r="L27" i="3"/>
  <c r="T27" i="3"/>
  <c r="AB27" i="3"/>
  <c r="C101" i="2"/>
  <c r="C102" i="2"/>
  <c r="D99" i="2" s="1"/>
  <c r="C26" i="3"/>
  <c r="K26" i="3"/>
  <c r="S26" i="3"/>
  <c r="AA26" i="3"/>
  <c r="G27" i="3"/>
  <c r="O27" i="3"/>
  <c r="W27" i="3"/>
  <c r="F26" i="3"/>
  <c r="N26" i="3"/>
  <c r="V26" i="3"/>
  <c r="B27" i="3"/>
  <c r="J27" i="3"/>
  <c r="R27" i="3"/>
  <c r="Z27" i="3"/>
  <c r="C115" i="2"/>
  <c r="D111" i="2" s="1"/>
  <c r="C120" i="2"/>
  <c r="D116" i="2" s="1"/>
  <c r="E141" i="2"/>
  <c r="B40" i="3" s="1"/>
  <c r="M141" i="2"/>
  <c r="AC141" i="2"/>
  <c r="J40" i="3" s="1"/>
  <c r="AK141" i="2"/>
  <c r="BA141" i="2"/>
  <c r="R40" i="3" s="1"/>
  <c r="BI141" i="2"/>
  <c r="BQ141" i="2"/>
  <c r="BY141" i="2"/>
  <c r="Z40" i="3" s="1"/>
  <c r="CG141" i="2"/>
  <c r="E17" i="4"/>
  <c r="F17" i="4" s="1"/>
  <c r="G17" i="4" s="1"/>
  <c r="H17" i="4" s="1"/>
  <c r="I17" i="4" s="1"/>
  <c r="G141" i="2"/>
  <c r="O141" i="2"/>
  <c r="W141" i="2"/>
  <c r="AE141" i="2"/>
  <c r="AM141" i="2"/>
  <c r="AU141" i="2"/>
  <c r="BC141" i="2"/>
  <c r="BK141" i="2"/>
  <c r="BS141" i="2"/>
  <c r="CA141" i="2"/>
  <c r="C159" i="2"/>
  <c r="AP16" i="11"/>
  <c r="BV16" i="11"/>
  <c r="E23" i="4"/>
  <c r="F23" i="4" s="1"/>
  <c r="G23" i="4" s="1"/>
  <c r="H23" i="4" s="1"/>
  <c r="I23" i="4" s="1"/>
  <c r="J23" i="4" s="1"/>
  <c r="K23" i="4" s="1"/>
  <c r="C28" i="4"/>
  <c r="C29" i="4" s="1"/>
  <c r="CD100" i="11"/>
  <c r="CD10" i="2" s="1"/>
  <c r="BV100" i="11"/>
  <c r="BV10" i="2" s="1"/>
  <c r="BN100" i="11"/>
  <c r="BN10" i="2" s="1"/>
  <c r="BF100" i="11"/>
  <c r="BF10" i="2" s="1"/>
  <c r="AX100" i="11"/>
  <c r="AX10" i="2" s="1"/>
  <c r="AP100" i="11"/>
  <c r="AP10" i="2" s="1"/>
  <c r="AH100" i="11"/>
  <c r="AH10" i="2" s="1"/>
  <c r="CC100" i="11"/>
  <c r="CC10" i="2" s="1"/>
  <c r="BU100" i="11"/>
  <c r="BU10" i="2" s="1"/>
  <c r="BM100" i="11"/>
  <c r="BM10" i="2" s="1"/>
  <c r="BE100" i="11"/>
  <c r="BE10" i="2" s="1"/>
  <c r="AW100" i="11"/>
  <c r="AW10" i="2" s="1"/>
  <c r="AO100" i="11"/>
  <c r="AO10" i="2" s="1"/>
  <c r="AG100" i="11"/>
  <c r="AG10" i="2" s="1"/>
  <c r="CB100" i="11"/>
  <c r="CB10" i="2" s="1"/>
  <c r="BT100" i="11"/>
  <c r="BT10" i="2" s="1"/>
  <c r="BL100" i="11"/>
  <c r="BL10" i="2" s="1"/>
  <c r="BD100" i="11"/>
  <c r="BD10" i="2" s="1"/>
  <c r="AV100" i="11"/>
  <c r="AV10" i="2" s="1"/>
  <c r="AN100" i="11"/>
  <c r="AN10" i="2" s="1"/>
  <c r="CH100" i="11"/>
  <c r="CH10" i="2" s="1"/>
  <c r="BZ100" i="11"/>
  <c r="BZ10" i="2" s="1"/>
  <c r="BR100" i="11"/>
  <c r="BR10" i="2" s="1"/>
  <c r="BJ100" i="11"/>
  <c r="BJ10" i="2" s="1"/>
  <c r="BB100" i="11"/>
  <c r="BB10" i="2" s="1"/>
  <c r="AT100" i="11"/>
  <c r="AT10" i="2" s="1"/>
  <c r="AL100" i="11"/>
  <c r="AL10" i="2" s="1"/>
  <c r="CG100" i="11"/>
  <c r="CG10" i="2" s="1"/>
  <c r="BY100" i="11"/>
  <c r="BY10" i="2" s="1"/>
  <c r="BQ100" i="11"/>
  <c r="BQ10" i="2" s="1"/>
  <c r="BI100" i="11"/>
  <c r="BI10" i="2" s="1"/>
  <c r="BA100" i="11"/>
  <c r="BA10" i="2" s="1"/>
  <c r="AS100" i="11"/>
  <c r="AS10" i="2" s="1"/>
  <c r="AK100" i="11"/>
  <c r="AK10" i="2" s="1"/>
  <c r="CF100" i="11"/>
  <c r="CF10" i="2" s="1"/>
  <c r="BX100" i="11"/>
  <c r="BX10" i="2" s="1"/>
  <c r="BP100" i="11"/>
  <c r="BP10" i="2" s="1"/>
  <c r="BH100" i="11"/>
  <c r="BH10" i="2" s="1"/>
  <c r="AZ100" i="11"/>
  <c r="AZ10" i="2" s="1"/>
  <c r="AR100" i="11"/>
  <c r="AR10" i="2" s="1"/>
  <c r="AJ100" i="11"/>
  <c r="AJ10" i="2" s="1"/>
  <c r="CE100" i="11"/>
  <c r="CE10" i="2" s="1"/>
  <c r="BW100" i="11"/>
  <c r="BW10" i="2" s="1"/>
  <c r="Z7" i="3" s="1"/>
  <c r="BO100" i="11"/>
  <c r="BO10" i="2" s="1"/>
  <c r="BG100" i="11"/>
  <c r="BG10" i="2" s="1"/>
  <c r="AY100" i="11"/>
  <c r="AY10" i="2" s="1"/>
  <c r="R7" i="3" s="1"/>
  <c r="AQ100" i="11"/>
  <c r="AQ10" i="2" s="1"/>
  <c r="AI100" i="11"/>
  <c r="AI10" i="2" s="1"/>
  <c r="CA100" i="11"/>
  <c r="CA10" i="2" s="1"/>
  <c r="BS100" i="11"/>
  <c r="BS10" i="2" s="1"/>
  <c r="BK100" i="11"/>
  <c r="BK10" i="2" s="1"/>
  <c r="V7" i="3" s="1"/>
  <c r="BC100" i="11"/>
  <c r="BC10" i="2" s="1"/>
  <c r="AU100" i="11"/>
  <c r="AU10" i="2" s="1"/>
  <c r="AM100" i="11"/>
  <c r="AM10" i="2" s="1"/>
  <c r="N7" i="3" s="1"/>
  <c r="P44" i="8"/>
  <c r="P36" i="8"/>
  <c r="P46" i="8"/>
  <c r="P30" i="8"/>
  <c r="P22" i="8"/>
  <c r="P14" i="8"/>
  <c r="P42" i="8"/>
  <c r="P38" i="8"/>
  <c r="P20" i="8"/>
  <c r="P15" i="8"/>
  <c r="P10" i="8"/>
  <c r="P35" i="8"/>
  <c r="P25" i="8"/>
  <c r="P11" i="8"/>
  <c r="P41" i="8"/>
  <c r="P33" i="8"/>
  <c r="P19" i="8"/>
  <c r="P4" i="8"/>
  <c r="P7" i="8"/>
  <c r="P45" i="8"/>
  <c r="P32" i="8"/>
  <c r="P29" i="8"/>
  <c r="P17" i="8"/>
  <c r="P40" i="8"/>
  <c r="P21" i="8"/>
  <c r="P16" i="8"/>
  <c r="P24" i="8"/>
  <c r="P18" i="8"/>
  <c r="P26" i="8"/>
  <c r="P28" i="8"/>
  <c r="P34" i="8"/>
  <c r="P5" i="8"/>
  <c r="P13" i="8"/>
  <c r="P27" i="8"/>
  <c r="P37" i="8"/>
  <c r="O14" i="8"/>
  <c r="O26" i="8"/>
  <c r="CD98" i="11"/>
  <c r="CD8" i="2" s="1"/>
  <c r="BV98" i="11"/>
  <c r="BV8" i="2" s="1"/>
  <c r="BN98" i="11"/>
  <c r="BN8" i="2" s="1"/>
  <c r="BF98" i="11"/>
  <c r="BF8" i="2" s="1"/>
  <c r="AX98" i="11"/>
  <c r="AX8" i="2" s="1"/>
  <c r="AP98" i="11"/>
  <c r="AP8" i="2" s="1"/>
  <c r="AH98" i="11"/>
  <c r="AH8" i="2" s="1"/>
  <c r="CC98" i="11"/>
  <c r="CC8" i="2" s="1"/>
  <c r="BU98" i="11"/>
  <c r="BU8" i="2" s="1"/>
  <c r="BM98" i="11"/>
  <c r="BM8" i="2" s="1"/>
  <c r="BE98" i="11"/>
  <c r="BE8" i="2" s="1"/>
  <c r="AW98" i="11"/>
  <c r="AW8" i="2" s="1"/>
  <c r="AO98" i="11"/>
  <c r="AO8" i="2" s="1"/>
  <c r="AG98" i="11"/>
  <c r="AG8" i="2" s="1"/>
  <c r="CB98" i="11"/>
  <c r="CB8" i="2" s="1"/>
  <c r="BT98" i="11"/>
  <c r="BT8" i="2" s="1"/>
  <c r="BL98" i="11"/>
  <c r="BL8" i="2" s="1"/>
  <c r="BD98" i="11"/>
  <c r="BD8" i="2" s="1"/>
  <c r="AV98" i="11"/>
  <c r="AV8" i="2" s="1"/>
  <c r="AN98" i="11"/>
  <c r="AN8" i="2" s="1"/>
  <c r="CH98" i="11"/>
  <c r="CH8" i="2" s="1"/>
  <c r="CG98" i="11"/>
  <c r="CG8" i="2" s="1"/>
  <c r="BY98" i="11"/>
  <c r="BY8" i="2" s="1"/>
  <c r="BQ98" i="11"/>
  <c r="BQ8" i="2" s="1"/>
  <c r="BI98" i="11"/>
  <c r="BI8" i="2" s="1"/>
  <c r="BA98" i="11"/>
  <c r="BA8" i="2" s="1"/>
  <c r="AS98" i="11"/>
  <c r="AS8" i="2" s="1"/>
  <c r="AK98" i="11"/>
  <c r="AK8" i="2" s="1"/>
  <c r="CF98" i="11"/>
  <c r="CF8" i="2" s="1"/>
  <c r="BX98" i="11"/>
  <c r="BX8" i="2" s="1"/>
  <c r="BP98" i="11"/>
  <c r="BP8" i="2" s="1"/>
  <c r="BH98" i="11"/>
  <c r="BH8" i="2" s="1"/>
  <c r="AZ98" i="11"/>
  <c r="AZ8" i="2" s="1"/>
  <c r="AR98" i="11"/>
  <c r="AR8" i="2" s="1"/>
  <c r="AJ98" i="11"/>
  <c r="AJ8" i="2" s="1"/>
  <c r="CE98" i="11"/>
  <c r="CE8" i="2" s="1"/>
  <c r="BW98" i="11"/>
  <c r="BW8" i="2" s="1"/>
  <c r="BG98" i="11"/>
  <c r="BG8" i="2" s="1"/>
  <c r="AL98" i="11"/>
  <c r="AL8" i="2" s="1"/>
  <c r="CA98" i="11"/>
  <c r="CA8" i="2" s="1"/>
  <c r="BC98" i="11"/>
  <c r="BC8" i="2" s="1"/>
  <c r="AI98" i="11"/>
  <c r="AI8" i="2" s="1"/>
  <c r="BZ98" i="11"/>
  <c r="BZ8" i="2" s="1"/>
  <c r="BB98" i="11"/>
  <c r="BB8" i="2" s="1"/>
  <c r="BS98" i="11"/>
  <c r="BS8" i="2" s="1"/>
  <c r="AY98" i="11"/>
  <c r="AY8" i="2" s="1"/>
  <c r="BR98" i="11"/>
  <c r="BR8" i="2" s="1"/>
  <c r="AU98" i="11"/>
  <c r="AU8" i="2" s="1"/>
  <c r="BO98" i="11"/>
  <c r="BO8" i="2" s="1"/>
  <c r="AT98" i="11"/>
  <c r="AT8" i="2" s="1"/>
  <c r="BK98" i="11"/>
  <c r="BK8" i="2" s="1"/>
  <c r="AQ98" i="11"/>
  <c r="AQ8" i="2" s="1"/>
  <c r="BJ98" i="11"/>
  <c r="BJ8" i="2" s="1"/>
  <c r="AM98" i="11"/>
  <c r="AM8" i="2" s="1"/>
  <c r="N42" i="8"/>
  <c r="N45" i="8"/>
  <c r="N40" i="8"/>
  <c r="N28" i="8"/>
  <c r="N20" i="8"/>
  <c r="N12" i="8"/>
  <c r="N33" i="8"/>
  <c r="N29" i="8"/>
  <c r="N19" i="8"/>
  <c r="N14" i="8"/>
  <c r="Q14" i="8" s="1"/>
  <c r="R14" i="8" s="1"/>
  <c r="N5" i="8"/>
  <c r="N34" i="8"/>
  <c r="N24" i="8"/>
  <c r="N9" i="8"/>
  <c r="O4" i="8"/>
  <c r="O19" i="8"/>
  <c r="N27" i="8"/>
  <c r="N41" i="8"/>
  <c r="N46" i="8"/>
  <c r="CH99" i="11"/>
  <c r="CH9" i="2" s="1"/>
  <c r="BZ99" i="11"/>
  <c r="BZ9" i="2" s="1"/>
  <c r="BR99" i="11"/>
  <c r="BR9" i="2" s="1"/>
  <c r="BJ99" i="11"/>
  <c r="BJ9" i="2" s="1"/>
  <c r="BB99" i="11"/>
  <c r="BB9" i="2" s="1"/>
  <c r="AT99" i="11"/>
  <c r="AT9" i="2" s="1"/>
  <c r="AL99" i="11"/>
  <c r="AL9" i="2" s="1"/>
  <c r="CG99" i="11"/>
  <c r="CG9" i="2" s="1"/>
  <c r="BY99" i="11"/>
  <c r="BY9" i="2" s="1"/>
  <c r="BQ99" i="11"/>
  <c r="BQ9" i="2" s="1"/>
  <c r="BI99" i="11"/>
  <c r="BI9" i="2" s="1"/>
  <c r="BA99" i="11"/>
  <c r="BA9" i="2" s="1"/>
  <c r="AS99" i="11"/>
  <c r="AS9" i="2" s="1"/>
  <c r="AK99" i="11"/>
  <c r="AK9" i="2" s="1"/>
  <c r="CF99" i="11"/>
  <c r="CF9" i="2" s="1"/>
  <c r="BX99" i="11"/>
  <c r="BX9" i="2" s="1"/>
  <c r="BP99" i="11"/>
  <c r="BP9" i="2" s="1"/>
  <c r="BH99" i="11"/>
  <c r="BH9" i="2" s="1"/>
  <c r="AZ99" i="11"/>
  <c r="AZ9" i="2" s="1"/>
  <c r="AR99" i="11"/>
  <c r="AR9" i="2" s="1"/>
  <c r="AJ99" i="11"/>
  <c r="AJ9" i="2" s="1"/>
  <c r="CD99" i="11"/>
  <c r="CD9" i="2" s="1"/>
  <c r="BV99" i="11"/>
  <c r="BV9" i="2" s="1"/>
  <c r="BN99" i="11"/>
  <c r="BN9" i="2" s="1"/>
  <c r="BF99" i="11"/>
  <c r="BF9" i="2" s="1"/>
  <c r="AX99" i="11"/>
  <c r="AX9" i="2" s="1"/>
  <c r="AP99" i="11"/>
  <c r="AP9" i="2" s="1"/>
  <c r="AH99" i="11"/>
  <c r="AH9" i="2" s="1"/>
  <c r="CC99" i="11"/>
  <c r="CC9" i="2" s="1"/>
  <c r="BU99" i="11"/>
  <c r="BU9" i="2" s="1"/>
  <c r="BM99" i="11"/>
  <c r="BM9" i="2" s="1"/>
  <c r="BE99" i="11"/>
  <c r="BE9" i="2" s="1"/>
  <c r="AW99" i="11"/>
  <c r="AW9" i="2" s="1"/>
  <c r="AO99" i="11"/>
  <c r="AO9" i="2" s="1"/>
  <c r="AG99" i="11"/>
  <c r="AG9" i="2" s="1"/>
  <c r="CB99" i="11"/>
  <c r="CB9" i="2" s="1"/>
  <c r="BT99" i="11"/>
  <c r="BT9" i="2" s="1"/>
  <c r="BL99" i="11"/>
  <c r="BL9" i="2" s="1"/>
  <c r="BD99" i="11"/>
  <c r="BD9" i="2" s="1"/>
  <c r="AV99" i="11"/>
  <c r="AV9" i="2" s="1"/>
  <c r="AN99" i="11"/>
  <c r="AN9" i="2" s="1"/>
  <c r="CA99" i="11"/>
  <c r="CA9" i="2" s="1"/>
  <c r="BS99" i="11"/>
  <c r="BS9" i="2" s="1"/>
  <c r="BK99" i="11"/>
  <c r="BK9" i="2" s="1"/>
  <c r="BC99" i="11"/>
  <c r="BC9" i="2" s="1"/>
  <c r="AU99" i="11"/>
  <c r="AU9" i="2" s="1"/>
  <c r="AM99" i="11"/>
  <c r="AM9" i="2" s="1"/>
  <c r="AY99" i="11"/>
  <c r="AY9" i="2" s="1"/>
  <c r="R6" i="3" s="1"/>
  <c r="AQ99" i="11"/>
  <c r="AQ9" i="2" s="1"/>
  <c r="AI99" i="11"/>
  <c r="AI9" i="2" s="1"/>
  <c r="CE99" i="11"/>
  <c r="CE9" i="2" s="1"/>
  <c r="BW99" i="11"/>
  <c r="BW9" i="2" s="1"/>
  <c r="Z6" i="3" s="1"/>
  <c r="BO99" i="11"/>
  <c r="BO9" i="2" s="1"/>
  <c r="BG99" i="11"/>
  <c r="BG9" i="2" s="1"/>
  <c r="O43" i="8"/>
  <c r="O35" i="8"/>
  <c r="O41" i="8"/>
  <c r="O36" i="8"/>
  <c r="O29" i="8"/>
  <c r="O21" i="8"/>
  <c r="O13" i="8"/>
  <c r="O6" i="8"/>
  <c r="Q6" i="8" s="1"/>
  <c r="R6" i="8" s="1"/>
  <c r="O2" i="8"/>
  <c r="Q2" i="8" s="1"/>
  <c r="R2" i="8" s="1"/>
  <c r="O45" i="8"/>
  <c r="O34" i="8"/>
  <c r="O24" i="8"/>
  <c r="O9" i="8"/>
  <c r="O42" i="8"/>
  <c r="O38" i="8"/>
  <c r="O30" i="8"/>
  <c r="O20" i="8"/>
  <c r="O15" i="8"/>
  <c r="O10" i="8"/>
  <c r="O12" i="8"/>
  <c r="O27" i="8"/>
  <c r="O46" i="8"/>
  <c r="E16" i="11"/>
  <c r="M16" i="11"/>
  <c r="U16" i="11"/>
  <c r="AC16" i="11"/>
  <c r="G16" i="11"/>
  <c r="O16" i="11"/>
  <c r="W16" i="11"/>
  <c r="AE16" i="11"/>
  <c r="AM16" i="11"/>
  <c r="AU16" i="11"/>
  <c r="BC16" i="11"/>
  <c r="BK16" i="11"/>
  <c r="BS16" i="11"/>
  <c r="CA16" i="11"/>
  <c r="J16" i="11"/>
  <c r="R16" i="11"/>
  <c r="Z16" i="11"/>
  <c r="AH16" i="11"/>
  <c r="AX16" i="11"/>
  <c r="BF16" i="11"/>
  <c r="CD16" i="11"/>
  <c r="AK16" i="11"/>
  <c r="AS16" i="11"/>
  <c r="BA16" i="11"/>
  <c r="BI16" i="11"/>
  <c r="BQ16" i="11"/>
  <c r="BY16" i="11"/>
  <c r="CG16" i="11"/>
  <c r="D26" i="11"/>
  <c r="D124" i="2" s="1"/>
  <c r="D125" i="2" s="1"/>
  <c r="E121" i="2" s="1"/>
  <c r="D27" i="11"/>
  <c r="E25" i="11" s="1"/>
  <c r="C21" i="11"/>
  <c r="D19" i="11" s="1"/>
  <c r="C24" i="11"/>
  <c r="D22" i="11" s="1"/>
  <c r="B12" i="12"/>
  <c r="B60" i="12"/>
  <c r="B63" i="12" s="1"/>
  <c r="Q105" i="12"/>
  <c r="Q106" i="12" s="1"/>
  <c r="Q107" i="12" s="1"/>
  <c r="Y105" i="12"/>
  <c r="Y106" i="12"/>
  <c r="AG105" i="12"/>
  <c r="AG106" i="12" s="1"/>
  <c r="AG107" i="12" s="1"/>
  <c r="AO105" i="12"/>
  <c r="AO106" i="12" s="1"/>
  <c r="AO107" i="12" s="1"/>
  <c r="BE105" i="12"/>
  <c r="BE106" i="12"/>
  <c r="BE107" i="12" s="1"/>
  <c r="BM105" i="12"/>
  <c r="BM106" i="12"/>
  <c r="BU105" i="12"/>
  <c r="BU106" i="12" s="1"/>
  <c r="BU107" i="12" s="1"/>
  <c r="CC105" i="12"/>
  <c r="CC106" i="12"/>
  <c r="CC107" i="12" s="1"/>
  <c r="E107" i="12"/>
  <c r="F107" i="12"/>
  <c r="C106" i="12"/>
  <c r="C23" i="12" s="1"/>
  <c r="C21" i="12"/>
  <c r="S105" i="12"/>
  <c r="S106" i="12" s="1"/>
  <c r="S107" i="12" s="1"/>
  <c r="AA105" i="12"/>
  <c r="AA106" i="12"/>
  <c r="AA107" i="12" s="1"/>
  <c r="AI105" i="12"/>
  <c r="AI106" i="12" s="1"/>
  <c r="AI107" i="12" s="1"/>
  <c r="AQ105" i="12"/>
  <c r="AQ106" i="12" s="1"/>
  <c r="AQ107" i="12" s="1"/>
  <c r="AY105" i="12"/>
  <c r="AY106" i="12" s="1"/>
  <c r="AY107" i="12" s="1"/>
  <c r="BG105" i="12"/>
  <c r="BG106" i="12"/>
  <c r="BG107" i="12" s="1"/>
  <c r="BO105" i="12"/>
  <c r="BO106" i="12"/>
  <c r="BO107" i="12" s="1"/>
  <c r="BW105" i="12"/>
  <c r="BW106" i="12" s="1"/>
  <c r="BW107" i="12" s="1"/>
  <c r="CE105" i="12"/>
  <c r="CE106" i="12" s="1"/>
  <c r="CE107" i="12" s="1"/>
  <c r="D21" i="12"/>
  <c r="L105" i="12"/>
  <c r="L106" i="12" s="1"/>
  <c r="L107" i="12" s="1"/>
  <c r="T105" i="12"/>
  <c r="T106" i="12" s="1"/>
  <c r="T107" i="12" s="1"/>
  <c r="AB106" i="12"/>
  <c r="AB107" i="12" s="1"/>
  <c r="AB105" i="12"/>
  <c r="F21" i="12"/>
  <c r="AJ105" i="12"/>
  <c r="AJ106" i="12" s="1"/>
  <c r="AJ107" i="12" s="1"/>
  <c r="AR105" i="12"/>
  <c r="AR106" i="12" s="1"/>
  <c r="AR107" i="12" s="1"/>
  <c r="AZ105" i="12"/>
  <c r="AZ106" i="12" s="1"/>
  <c r="AZ107" i="12" s="1"/>
  <c r="BP105" i="12"/>
  <c r="BP106" i="12" s="1"/>
  <c r="BP107" i="12" s="1"/>
  <c r="BX106" i="12"/>
  <c r="BX107" i="12" s="1"/>
  <c r="BX105" i="12"/>
  <c r="J21" i="12"/>
  <c r="CF105" i="12"/>
  <c r="CF106" i="12" s="1"/>
  <c r="CF107" i="12" s="1"/>
  <c r="H107" i="12"/>
  <c r="X107" i="12"/>
  <c r="M105" i="12"/>
  <c r="M106" i="12" s="1"/>
  <c r="M107" i="12" s="1"/>
  <c r="U105" i="12"/>
  <c r="U106" i="12" s="1"/>
  <c r="U107" i="12" s="1"/>
  <c r="AC105" i="12"/>
  <c r="AC106" i="12" s="1"/>
  <c r="AC107" i="12" s="1"/>
  <c r="AK105" i="12"/>
  <c r="AK106" i="12" s="1"/>
  <c r="AK107" i="12" s="1"/>
  <c r="AS105" i="12"/>
  <c r="AS106" i="12" s="1"/>
  <c r="AS107" i="12" s="1"/>
  <c r="BA106" i="12"/>
  <c r="BA107" i="12" s="1"/>
  <c r="BA105" i="12"/>
  <c r="BI105" i="12"/>
  <c r="BI106" i="12" s="1"/>
  <c r="BI107" i="12" s="1"/>
  <c r="BQ105" i="12"/>
  <c r="BQ106" i="12" s="1"/>
  <c r="BQ107" i="12" s="1"/>
  <c r="CG105" i="12"/>
  <c r="CG106" i="12" s="1"/>
  <c r="CG107" i="12" s="1"/>
  <c r="I107" i="12"/>
  <c r="Y107" i="12"/>
  <c r="BM107" i="12"/>
  <c r="N105" i="12"/>
  <c r="N106" i="12" s="1"/>
  <c r="N107" i="12" s="1"/>
  <c r="V105" i="12"/>
  <c r="V106" i="12" s="1"/>
  <c r="V107" i="12" s="1"/>
  <c r="AD105" i="12"/>
  <c r="AD106" i="12" s="1"/>
  <c r="AD107" i="12" s="1"/>
  <c r="AL105" i="12"/>
  <c r="AL106" i="12" s="1"/>
  <c r="AL107" i="12" s="1"/>
  <c r="AT105" i="12"/>
  <c r="AT106" i="12" s="1"/>
  <c r="AT107" i="12" s="1"/>
  <c r="BB105" i="12"/>
  <c r="BB106" i="12" s="1"/>
  <c r="BB107" i="12" s="1"/>
  <c r="BJ105" i="12"/>
  <c r="BJ106" i="12" s="1"/>
  <c r="BJ107" i="12" s="1"/>
  <c r="BR106" i="12"/>
  <c r="BR107" i="12" s="1"/>
  <c r="BR105" i="12"/>
  <c r="BZ105" i="12"/>
  <c r="BZ106" i="12" s="1"/>
  <c r="BZ107" i="12" s="1"/>
  <c r="CH105" i="12"/>
  <c r="CH106" i="12" s="1"/>
  <c r="CH107" i="12" s="1"/>
  <c r="J107" i="12"/>
  <c r="AP107" i="12"/>
  <c r="BF107" i="12"/>
  <c r="BN107" i="12"/>
  <c r="O105" i="12"/>
  <c r="O106" i="12" s="1"/>
  <c r="O107" i="12" s="1"/>
  <c r="W105" i="12"/>
  <c r="W106" i="12"/>
  <c r="W107" i="12" s="1"/>
  <c r="AE105" i="12"/>
  <c r="AE106" i="12"/>
  <c r="AE107" i="12" s="1"/>
  <c r="AM105" i="12"/>
  <c r="AM106" i="12"/>
  <c r="AM107" i="12" s="1"/>
  <c r="AU105" i="12"/>
  <c r="AU106" i="12" s="1"/>
  <c r="AU107" i="12" s="1"/>
  <c r="BC105" i="12"/>
  <c r="BC106" i="12" s="1"/>
  <c r="BC107" i="12" s="1"/>
  <c r="BK105" i="12"/>
  <c r="BK106" i="12"/>
  <c r="BK107" i="12" s="1"/>
  <c r="BS105" i="12"/>
  <c r="BS106" i="12"/>
  <c r="BS107" i="12" s="1"/>
  <c r="CA105" i="12"/>
  <c r="CA106" i="12" s="1"/>
  <c r="CA107" i="12" s="1"/>
  <c r="C107" i="12"/>
  <c r="K107" i="12"/>
  <c r="D29" i="13"/>
  <c r="J19" i="12"/>
  <c r="I20" i="12"/>
  <c r="B102" i="12"/>
  <c r="C19" i="12"/>
  <c r="J20" i="12"/>
  <c r="AW104" i="12"/>
  <c r="B104" i="12" s="1"/>
  <c r="D7" i="13"/>
  <c r="D28" i="13" s="1"/>
  <c r="D19" i="12"/>
  <c r="C20" i="12"/>
  <c r="D107" i="12"/>
  <c r="R106" i="12"/>
  <c r="R107" i="12" s="1"/>
  <c r="Z106" i="12"/>
  <c r="Z107" i="12" s="1"/>
  <c r="AH106" i="12"/>
  <c r="AH107" i="12" s="1"/>
  <c r="AP106" i="12"/>
  <c r="AX106" i="12"/>
  <c r="AX107" i="12" s="1"/>
  <c r="BF106" i="12"/>
  <c r="BN106" i="12"/>
  <c r="BV106" i="12"/>
  <c r="BV107" i="12" s="1"/>
  <c r="CD106" i="12"/>
  <c r="CD107" i="12" s="1"/>
  <c r="F19" i="12"/>
  <c r="E20" i="12"/>
  <c r="BH104" i="12"/>
  <c r="BY104" i="12"/>
  <c r="G20" i="12"/>
  <c r="T13" i="3" l="1"/>
  <c r="T40" i="3"/>
  <c r="F40" i="1"/>
  <c r="N22" i="8"/>
  <c r="Y8" i="2"/>
  <c r="I8" i="2"/>
  <c r="N37" i="8"/>
  <c r="N26" i="8"/>
  <c r="Q26" i="8" s="1"/>
  <c r="R26" i="8" s="1"/>
  <c r="AF8" i="2"/>
  <c r="X8" i="2"/>
  <c r="P8" i="2"/>
  <c r="H8" i="2"/>
  <c r="AB8" i="2"/>
  <c r="N44" i="8"/>
  <c r="N39" i="8"/>
  <c r="N11" i="8"/>
  <c r="N7" i="8"/>
  <c r="N4" i="8"/>
  <c r="AE8" i="2"/>
  <c r="W8" i="2"/>
  <c r="O8" i="2"/>
  <c r="G8" i="2"/>
  <c r="N21" i="8"/>
  <c r="N18" i="8"/>
  <c r="N16" i="8"/>
  <c r="Q16" i="8" s="1"/>
  <c r="R16" i="8" s="1"/>
  <c r="N13" i="8"/>
  <c r="AD8" i="2"/>
  <c r="V8" i="2"/>
  <c r="N8" i="2"/>
  <c r="F8" i="2"/>
  <c r="D8" i="2"/>
  <c r="N36" i="8"/>
  <c r="N31" i="8"/>
  <c r="N23" i="8"/>
  <c r="AC8" i="2"/>
  <c r="U8" i="2"/>
  <c r="M8" i="2"/>
  <c r="E8" i="2"/>
  <c r="T8" i="2"/>
  <c r="N38" i="8"/>
  <c r="N25" i="8"/>
  <c r="N10" i="8"/>
  <c r="L8" i="2"/>
  <c r="N43" i="8"/>
  <c r="Q43" i="8" s="1"/>
  <c r="R43" i="8" s="1"/>
  <c r="N15" i="8"/>
  <c r="Q15" i="8" s="1"/>
  <c r="R15" i="8" s="1"/>
  <c r="N8" i="8"/>
  <c r="AA8" i="2"/>
  <c r="S8" i="2"/>
  <c r="K8" i="2"/>
  <c r="C8" i="2"/>
  <c r="N35" i="8"/>
  <c r="Q35" i="8" s="1"/>
  <c r="R35" i="8" s="1"/>
  <c r="N32" i="8"/>
  <c r="N30" i="8"/>
  <c r="Q30" i="8" s="1"/>
  <c r="R30" i="8" s="1"/>
  <c r="N17" i="8"/>
  <c r="Z8" i="2"/>
  <c r="R8" i="2"/>
  <c r="J8" i="2"/>
  <c r="Q8" i="2"/>
  <c r="Q13" i="8"/>
  <c r="R13" i="8" s="1"/>
  <c r="AB6" i="3"/>
  <c r="P6" i="3"/>
  <c r="X7" i="3"/>
  <c r="AA7" i="3"/>
  <c r="O7" i="3"/>
  <c r="K13" i="3"/>
  <c r="Q4" i="8"/>
  <c r="R4" i="8" s="1"/>
  <c r="Z14" i="3"/>
  <c r="O33" i="8"/>
  <c r="O37" i="8"/>
  <c r="AA9" i="2"/>
  <c r="S9" i="2"/>
  <c r="K9" i="2"/>
  <c r="C9" i="2"/>
  <c r="O44" i="8"/>
  <c r="O39" i="8"/>
  <c r="O11" i="8"/>
  <c r="O7" i="8"/>
  <c r="Z9" i="2"/>
  <c r="R9" i="2"/>
  <c r="J9" i="2"/>
  <c r="O18" i="8"/>
  <c r="O16" i="8"/>
  <c r="Y9" i="2"/>
  <c r="Q9" i="2"/>
  <c r="I9" i="2"/>
  <c r="D6" i="3" s="1"/>
  <c r="V9" i="2"/>
  <c r="O31" i="8"/>
  <c r="O23" i="8"/>
  <c r="AF9" i="2"/>
  <c r="X9" i="2"/>
  <c r="P9" i="2"/>
  <c r="H9" i="2"/>
  <c r="N9" i="2"/>
  <c r="O28" i="8"/>
  <c r="O25" i="8"/>
  <c r="AE9" i="2"/>
  <c r="W9" i="2"/>
  <c r="O9" i="2"/>
  <c r="G9" i="2"/>
  <c r="O40" i="8"/>
  <c r="O8" i="8"/>
  <c r="AD9" i="2"/>
  <c r="K6" i="3" s="1"/>
  <c r="F9" i="2"/>
  <c r="O32" i="8"/>
  <c r="O17" i="8"/>
  <c r="O3" i="8"/>
  <c r="Q3" i="8" s="1"/>
  <c r="R3" i="8" s="1"/>
  <c r="AC9" i="2"/>
  <c r="U9" i="2"/>
  <c r="H6" i="3" s="1"/>
  <c r="M9" i="2"/>
  <c r="E9" i="2"/>
  <c r="O22" i="8"/>
  <c r="Q22" i="8" s="1"/>
  <c r="R22" i="8" s="1"/>
  <c r="O5" i="8"/>
  <c r="AB9" i="2"/>
  <c r="T9" i="2"/>
  <c r="L9" i="2"/>
  <c r="D9" i="2"/>
  <c r="B49" i="11"/>
  <c r="C20" i="13" s="1"/>
  <c r="C24" i="13" s="1"/>
  <c r="X6" i="3"/>
  <c r="Q37" i="8"/>
  <c r="R37" i="8" s="1"/>
  <c r="Q32" i="8"/>
  <c r="R32" i="8" s="1"/>
  <c r="Q25" i="8"/>
  <c r="R25" i="8" s="1"/>
  <c r="T7" i="3"/>
  <c r="C130" i="2"/>
  <c r="D126" i="2" s="1"/>
  <c r="D127" i="2" s="1"/>
  <c r="G13" i="3"/>
  <c r="O14" i="3"/>
  <c r="J14" i="3"/>
  <c r="L11" i="4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C19" i="3"/>
  <c r="V14" i="3"/>
  <c r="Q38" i="8"/>
  <c r="R38" i="8" s="1"/>
  <c r="Q21" i="8"/>
  <c r="R21" i="8" s="1"/>
  <c r="Q10" i="8"/>
  <c r="R10" i="8" s="1"/>
  <c r="Q28" i="8"/>
  <c r="R28" i="8" s="1"/>
  <c r="Q18" i="8"/>
  <c r="R18" i="8" s="1"/>
  <c r="AB40" i="3"/>
  <c r="H40" i="1"/>
  <c r="Q36" i="8"/>
  <c r="R36" i="8" s="1"/>
  <c r="Q46" i="8"/>
  <c r="R46" i="8" s="1"/>
  <c r="Q5" i="8"/>
  <c r="R5" i="8" s="1"/>
  <c r="Q40" i="8"/>
  <c r="R40" i="8" s="1"/>
  <c r="AZ12" i="2"/>
  <c r="BI12" i="2"/>
  <c r="BL12" i="2"/>
  <c r="BU12" i="2"/>
  <c r="CD12" i="2"/>
  <c r="Q7" i="8"/>
  <c r="R7" i="8" s="1"/>
  <c r="P7" i="3"/>
  <c r="G19" i="1"/>
  <c r="AV107" i="12"/>
  <c r="D24" i="12"/>
  <c r="J24" i="12"/>
  <c r="E122" i="2"/>
  <c r="AZ90" i="2"/>
  <c r="AZ92" i="2" s="1"/>
  <c r="L7" i="3"/>
  <c r="D7" i="1"/>
  <c r="E91" i="2"/>
  <c r="CH68" i="2"/>
  <c r="CH69" i="2"/>
  <c r="CH67" i="2"/>
  <c r="CH70" i="2"/>
  <c r="AR70" i="2"/>
  <c r="AR68" i="2"/>
  <c r="AR69" i="2"/>
  <c r="AR67" i="2"/>
  <c r="AW21" i="2"/>
  <c r="AW19" i="2"/>
  <c r="AW39" i="2" s="1"/>
  <c r="AW93" i="2" s="1"/>
  <c r="AW22" i="2"/>
  <c r="AW20" i="2"/>
  <c r="CG22" i="2"/>
  <c r="CG20" i="2"/>
  <c r="CG21" i="2"/>
  <c r="CG19" i="2"/>
  <c r="CG39" i="2" s="1"/>
  <c r="CG93" i="2" s="1"/>
  <c r="N6" i="3"/>
  <c r="B19" i="12"/>
  <c r="F22" i="12"/>
  <c r="D23" i="11"/>
  <c r="D24" i="11" s="1"/>
  <c r="E22" i="11" s="1"/>
  <c r="Q34" i="8"/>
  <c r="R34" i="8" s="1"/>
  <c r="AT12" i="2"/>
  <c r="AI12" i="2"/>
  <c r="AR12" i="2"/>
  <c r="BA12" i="2"/>
  <c r="BD12" i="2"/>
  <c r="BM12" i="2"/>
  <c r="BV12" i="2"/>
  <c r="X40" i="3"/>
  <c r="G40" i="1"/>
  <c r="T19" i="3"/>
  <c r="BE91" i="2"/>
  <c r="BX91" i="2"/>
  <c r="B13" i="3"/>
  <c r="B13" i="1"/>
  <c r="E14" i="3"/>
  <c r="C14" i="1"/>
  <c r="O69" i="2"/>
  <c r="O67" i="2"/>
  <c r="O70" i="2"/>
  <c r="O68" i="2"/>
  <c r="AA70" i="2"/>
  <c r="AA68" i="2"/>
  <c r="AA69" i="2"/>
  <c r="AA67" i="2"/>
  <c r="BC69" i="2"/>
  <c r="BC67" i="2"/>
  <c r="BC70" i="2"/>
  <c r="BC68" i="2"/>
  <c r="BR70" i="2"/>
  <c r="BR68" i="2"/>
  <c r="BR69" i="2"/>
  <c r="BR67" i="2"/>
  <c r="AT70" i="2"/>
  <c r="AT68" i="2"/>
  <c r="AT69" i="2"/>
  <c r="AT67" i="2"/>
  <c r="BV69" i="2"/>
  <c r="BV67" i="2"/>
  <c r="BV70" i="2"/>
  <c r="BV68" i="2"/>
  <c r="H69" i="2"/>
  <c r="H67" i="2"/>
  <c r="H68" i="2"/>
  <c r="H70" i="2"/>
  <c r="BT69" i="2"/>
  <c r="BT67" i="2"/>
  <c r="BT68" i="2"/>
  <c r="BT70" i="2"/>
  <c r="BE69" i="2"/>
  <c r="BE67" i="2"/>
  <c r="BE70" i="2"/>
  <c r="BE68" i="2"/>
  <c r="AJ70" i="2"/>
  <c r="AJ68" i="2"/>
  <c r="AJ69" i="2"/>
  <c r="AJ67" i="2"/>
  <c r="S14" i="3"/>
  <c r="Q13" i="3"/>
  <c r="F13" i="1"/>
  <c r="BW22" i="2"/>
  <c r="BW20" i="2"/>
  <c r="BW19" i="2"/>
  <c r="BW21" i="2"/>
  <c r="AO21" i="2"/>
  <c r="AO19" i="2"/>
  <c r="AO22" i="2"/>
  <c r="AO20" i="2"/>
  <c r="P21" i="2"/>
  <c r="P19" i="2"/>
  <c r="P39" i="2" s="1"/>
  <c r="P20" i="2"/>
  <c r="P22" i="2"/>
  <c r="T22" i="2"/>
  <c r="T20" i="2"/>
  <c r="T21" i="2"/>
  <c r="T19" i="2"/>
  <c r="T39" i="2" s="1"/>
  <c r="G21" i="2"/>
  <c r="G19" i="2"/>
  <c r="G20" i="2"/>
  <c r="G22" i="2"/>
  <c r="AD21" i="2"/>
  <c r="AD19" i="2"/>
  <c r="AD20" i="2"/>
  <c r="AD22" i="2"/>
  <c r="CC21" i="2"/>
  <c r="CC19" i="2"/>
  <c r="CC22" i="2"/>
  <c r="CC20" i="2"/>
  <c r="CE22" i="2"/>
  <c r="CE20" i="2"/>
  <c r="CE19" i="2"/>
  <c r="CE21" i="2"/>
  <c r="M22" i="2"/>
  <c r="M20" i="2"/>
  <c r="M21" i="2"/>
  <c r="M19" i="2"/>
  <c r="BY22" i="2"/>
  <c r="BY20" i="2"/>
  <c r="BY21" i="2"/>
  <c r="BY19" i="2"/>
  <c r="BY39" i="2" s="1"/>
  <c r="BY93" i="2" s="1"/>
  <c r="BT21" i="2"/>
  <c r="BT19" i="2"/>
  <c r="BT20" i="2"/>
  <c r="BT22" i="2"/>
  <c r="AC40" i="3"/>
  <c r="I40" i="1"/>
  <c r="V19" i="3"/>
  <c r="CD90" i="2"/>
  <c r="CD92" i="2" s="1"/>
  <c r="AW91" i="2"/>
  <c r="F19" i="1"/>
  <c r="BP91" i="2"/>
  <c r="BN69" i="2"/>
  <c r="BN67" i="2"/>
  <c r="BN70" i="2"/>
  <c r="BN68" i="2"/>
  <c r="BM69" i="2"/>
  <c r="BM67" i="2"/>
  <c r="BM70" i="2"/>
  <c r="BM68" i="2"/>
  <c r="AL21" i="2"/>
  <c r="AL19" i="2"/>
  <c r="AL20" i="2"/>
  <c r="AL22" i="2"/>
  <c r="CB21" i="2"/>
  <c r="CB19" i="2"/>
  <c r="CB39" i="2" s="1"/>
  <c r="CB93" i="2" s="1"/>
  <c r="CB20" i="2"/>
  <c r="CB22" i="2"/>
  <c r="Q14" i="3"/>
  <c r="F14" i="1"/>
  <c r="E24" i="12"/>
  <c r="E26" i="11"/>
  <c r="E27" i="11" s="1"/>
  <c r="F25" i="11" s="1"/>
  <c r="V6" i="3"/>
  <c r="Q41" i="8"/>
  <c r="R41" i="8" s="1"/>
  <c r="Q45" i="8"/>
  <c r="R45" i="8" s="1"/>
  <c r="AU12" i="2"/>
  <c r="CA12" i="2"/>
  <c r="U5" i="3"/>
  <c r="BH12" i="2"/>
  <c r="G5" i="1"/>
  <c r="X5" i="3"/>
  <c r="BQ12" i="2"/>
  <c r="Y5" i="3"/>
  <c r="H5" i="1"/>
  <c r="BT12" i="2"/>
  <c r="AB5" i="3"/>
  <c r="CC12" i="2"/>
  <c r="BA91" i="2"/>
  <c r="AO91" i="2"/>
  <c r="E19" i="1"/>
  <c r="AB91" i="2"/>
  <c r="O13" i="3"/>
  <c r="CE39" i="2"/>
  <c r="CE93" i="2" s="1"/>
  <c r="U13" i="3"/>
  <c r="G13" i="1"/>
  <c r="J19" i="3"/>
  <c r="E70" i="2"/>
  <c r="E68" i="2"/>
  <c r="E69" i="2"/>
  <c r="E67" i="2"/>
  <c r="S70" i="2"/>
  <c r="S68" i="2"/>
  <c r="S69" i="2"/>
  <c r="S67" i="2"/>
  <c r="U70" i="2"/>
  <c r="U68" i="2"/>
  <c r="U69" i="2"/>
  <c r="U67" i="2"/>
  <c r="AC70" i="2"/>
  <c r="AC68" i="2"/>
  <c r="AC69" i="2"/>
  <c r="AC67" i="2"/>
  <c r="CD70" i="2"/>
  <c r="CD68" i="2"/>
  <c r="CD69" i="2"/>
  <c r="CD67" i="2"/>
  <c r="M70" i="2"/>
  <c r="M68" i="2"/>
  <c r="M69" i="2"/>
  <c r="M67" i="2"/>
  <c r="X69" i="2"/>
  <c r="X67" i="2"/>
  <c r="X70" i="2"/>
  <c r="X68" i="2"/>
  <c r="I69" i="2"/>
  <c r="I67" i="2"/>
  <c r="I68" i="2"/>
  <c r="I70" i="2"/>
  <c r="BU69" i="2"/>
  <c r="BU67" i="2"/>
  <c r="BU70" i="2"/>
  <c r="BU68" i="2"/>
  <c r="AZ70" i="2"/>
  <c r="AZ68" i="2"/>
  <c r="AZ69" i="2"/>
  <c r="AZ67" i="2"/>
  <c r="AY22" i="2"/>
  <c r="AY20" i="2"/>
  <c r="AY19" i="2"/>
  <c r="AY21" i="2"/>
  <c r="BB21" i="2"/>
  <c r="BB19" i="2"/>
  <c r="BB20" i="2"/>
  <c r="BB22" i="2"/>
  <c r="CD22" i="2"/>
  <c r="CD20" i="2"/>
  <c r="CD19" i="2"/>
  <c r="CD21" i="2"/>
  <c r="BG22" i="2"/>
  <c r="BG20" i="2"/>
  <c r="BG19" i="2"/>
  <c r="BG21" i="2"/>
  <c r="AB22" i="2"/>
  <c r="AB39" i="2" s="1"/>
  <c r="AB20" i="2"/>
  <c r="AB19" i="2"/>
  <c r="AB21" i="2"/>
  <c r="BK21" i="2"/>
  <c r="BK19" i="2"/>
  <c r="BK20" i="2"/>
  <c r="BK22" i="2"/>
  <c r="N21" i="2"/>
  <c r="N19" i="2"/>
  <c r="N20" i="2"/>
  <c r="N22" i="2"/>
  <c r="AZ22" i="2"/>
  <c r="AZ20" i="2"/>
  <c r="AZ19" i="2"/>
  <c r="AZ21" i="2"/>
  <c r="AC22" i="2"/>
  <c r="AC20" i="2"/>
  <c r="AC21" i="2"/>
  <c r="AC19" i="2"/>
  <c r="X21" i="2"/>
  <c r="X39" i="2" s="1"/>
  <c r="X19" i="2"/>
  <c r="X20" i="2"/>
  <c r="X22" i="2"/>
  <c r="C36" i="3"/>
  <c r="I106" i="2"/>
  <c r="I108" i="2" s="1"/>
  <c r="J106" i="2" s="1"/>
  <c r="J108" i="2" s="1"/>
  <c r="K106" i="2" s="1"/>
  <c r="K108" i="2" s="1"/>
  <c r="AX91" i="2"/>
  <c r="K14" i="3"/>
  <c r="C13" i="3"/>
  <c r="F19" i="3"/>
  <c r="O91" i="2"/>
  <c r="V13" i="3"/>
  <c r="N13" i="3"/>
  <c r="AA13" i="3"/>
  <c r="D23" i="12"/>
  <c r="BC12" i="2"/>
  <c r="BZ67" i="2"/>
  <c r="BZ70" i="2"/>
  <c r="BZ68" i="2"/>
  <c r="BZ69" i="2"/>
  <c r="CB69" i="2"/>
  <c r="CB67" i="2"/>
  <c r="CB70" i="2"/>
  <c r="CB68" i="2"/>
  <c r="O21" i="2"/>
  <c r="O19" i="2"/>
  <c r="O20" i="2"/>
  <c r="O22" i="2"/>
  <c r="U22" i="2"/>
  <c r="U20" i="2"/>
  <c r="U21" i="2"/>
  <c r="U19" i="2"/>
  <c r="I13" i="3"/>
  <c r="D13" i="1"/>
  <c r="B20" i="12"/>
  <c r="D84" i="2"/>
  <c r="L6" i="3"/>
  <c r="D6" i="1"/>
  <c r="O6" i="3"/>
  <c r="Q27" i="8"/>
  <c r="R27" i="8" s="1"/>
  <c r="Q19" i="8"/>
  <c r="R19" i="8" s="1"/>
  <c r="Q42" i="8"/>
  <c r="R42" i="8" s="1"/>
  <c r="BR12" i="2"/>
  <c r="AL12" i="2"/>
  <c r="BP12" i="2"/>
  <c r="BY12" i="2"/>
  <c r="CB12" i="2"/>
  <c r="AH12" i="2"/>
  <c r="P40" i="3"/>
  <c r="E40" i="1"/>
  <c r="J17" i="4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AG91" i="2"/>
  <c r="L19" i="3"/>
  <c r="D91" i="2"/>
  <c r="J13" i="3"/>
  <c r="B19" i="3"/>
  <c r="C91" i="2"/>
  <c r="B19" i="1"/>
  <c r="AR91" i="2"/>
  <c r="M14" i="3"/>
  <c r="E14" i="1"/>
  <c r="AM69" i="2"/>
  <c r="AM67" i="2"/>
  <c r="AM70" i="2"/>
  <c r="AM68" i="2"/>
  <c r="BA70" i="2"/>
  <c r="BA68" i="2"/>
  <c r="BA67" i="2"/>
  <c r="BA69" i="2"/>
  <c r="BF68" i="2"/>
  <c r="BF69" i="2"/>
  <c r="BF67" i="2"/>
  <c r="BF70" i="2"/>
  <c r="AQ70" i="2"/>
  <c r="AQ68" i="2"/>
  <c r="AQ67" i="2"/>
  <c r="AQ69" i="2"/>
  <c r="AS70" i="2"/>
  <c r="AS68" i="2"/>
  <c r="AS69" i="2"/>
  <c r="AS67" i="2"/>
  <c r="J69" i="2"/>
  <c r="J67" i="2"/>
  <c r="J70" i="2"/>
  <c r="J68" i="2"/>
  <c r="Z69" i="2"/>
  <c r="Z67" i="2"/>
  <c r="Z70" i="2"/>
  <c r="Z68" i="2"/>
  <c r="AF69" i="2"/>
  <c r="AF67" i="2"/>
  <c r="AF70" i="2"/>
  <c r="AF68" i="2"/>
  <c r="Q69" i="2"/>
  <c r="Q67" i="2"/>
  <c r="Q70" i="2"/>
  <c r="Q68" i="2"/>
  <c r="CC69" i="2"/>
  <c r="CC67" i="2"/>
  <c r="CC70" i="2"/>
  <c r="CC68" i="2"/>
  <c r="BH70" i="2"/>
  <c r="BH68" i="2"/>
  <c r="BH69" i="2"/>
  <c r="BH67" i="2"/>
  <c r="H91" i="2"/>
  <c r="BV22" i="2"/>
  <c r="BV20" i="2"/>
  <c r="BV19" i="2"/>
  <c r="BV21" i="2"/>
  <c r="S22" i="2"/>
  <c r="S20" i="2"/>
  <c r="S19" i="2"/>
  <c r="S21" i="2"/>
  <c r="L22" i="2"/>
  <c r="L20" i="2"/>
  <c r="L19" i="2"/>
  <c r="L21" i="2"/>
  <c r="CH21" i="2"/>
  <c r="CH19" i="2"/>
  <c r="CH39" i="2" s="1"/>
  <c r="CH93" i="2" s="1"/>
  <c r="CH20" i="2"/>
  <c r="CH22" i="2"/>
  <c r="AQ22" i="2"/>
  <c r="AQ20" i="2"/>
  <c r="AQ21" i="2"/>
  <c r="AQ19" i="2"/>
  <c r="CA21" i="2"/>
  <c r="CA19" i="2"/>
  <c r="CA39" i="2" s="1"/>
  <c r="CA93" i="2" s="1"/>
  <c r="CA20" i="2"/>
  <c r="CA22" i="2"/>
  <c r="W21" i="2"/>
  <c r="W19" i="2"/>
  <c r="W22" i="2"/>
  <c r="W20" i="2"/>
  <c r="BH22" i="2"/>
  <c r="BH20" i="2"/>
  <c r="BH19" i="2"/>
  <c r="BH21" i="2"/>
  <c r="AK22" i="2"/>
  <c r="AK20" i="2"/>
  <c r="AK21" i="2"/>
  <c r="AK19" i="2"/>
  <c r="AF21" i="2"/>
  <c r="AF19" i="2"/>
  <c r="AF39" i="2" s="1"/>
  <c r="AF20" i="2"/>
  <c r="AF22" i="2"/>
  <c r="G91" i="2"/>
  <c r="H19" i="3"/>
  <c r="U91" i="2"/>
  <c r="BI90" i="2"/>
  <c r="BI92" i="2" s="1"/>
  <c r="U7" i="3"/>
  <c r="G7" i="1"/>
  <c r="Q21" i="2"/>
  <c r="Q19" i="2"/>
  <c r="Q39" i="2" s="1"/>
  <c r="Q22" i="2"/>
  <c r="Q20" i="2"/>
  <c r="U6" i="3"/>
  <c r="G6" i="1"/>
  <c r="AA6" i="3"/>
  <c r="Q29" i="8"/>
  <c r="R29" i="8" s="1"/>
  <c r="N5" i="3"/>
  <c r="AM12" i="2"/>
  <c r="R5" i="3"/>
  <c r="AY12" i="2"/>
  <c r="BG12" i="2"/>
  <c r="BX12" i="2"/>
  <c r="CG12" i="2"/>
  <c r="L5" i="3"/>
  <c r="AG12" i="2"/>
  <c r="D5" i="1"/>
  <c r="O5" i="3"/>
  <c r="AP12" i="2"/>
  <c r="AC7" i="3"/>
  <c r="I7" i="1"/>
  <c r="Q7" i="3"/>
  <c r="F7" i="1"/>
  <c r="W7" i="3"/>
  <c r="D112" i="2"/>
  <c r="D115" i="2" s="1"/>
  <c r="E111" i="2" s="1"/>
  <c r="D100" i="2"/>
  <c r="D101" i="2" s="1"/>
  <c r="D153" i="2" s="1"/>
  <c r="O39" i="2"/>
  <c r="Y91" i="2"/>
  <c r="D19" i="1"/>
  <c r="E23" i="12"/>
  <c r="CE91" i="2"/>
  <c r="D13" i="3"/>
  <c r="E13" i="3"/>
  <c r="C13" i="1"/>
  <c r="J91" i="2"/>
  <c r="AP67" i="2"/>
  <c r="AP70" i="2"/>
  <c r="AP68" i="2"/>
  <c r="AP69" i="2"/>
  <c r="F70" i="2"/>
  <c r="F68" i="2"/>
  <c r="F69" i="2"/>
  <c r="F67" i="2"/>
  <c r="AK70" i="2"/>
  <c r="AK68" i="2"/>
  <c r="AK69" i="2"/>
  <c r="AK67" i="2"/>
  <c r="BQ70" i="2"/>
  <c r="BQ68" i="2"/>
  <c r="BQ69" i="2"/>
  <c r="BQ67" i="2"/>
  <c r="BJ69" i="2"/>
  <c r="BJ67" i="2"/>
  <c r="BJ68" i="2"/>
  <c r="BJ70" i="2"/>
  <c r="V68" i="2"/>
  <c r="V69" i="2"/>
  <c r="V67" i="2"/>
  <c r="V70" i="2"/>
  <c r="AL69" i="2"/>
  <c r="AL67" i="2"/>
  <c r="AL70" i="2"/>
  <c r="AL68" i="2"/>
  <c r="AN69" i="2"/>
  <c r="AN67" i="2"/>
  <c r="AN70" i="2"/>
  <c r="AN68" i="2"/>
  <c r="Y69" i="2"/>
  <c r="Y67" i="2"/>
  <c r="Y70" i="2"/>
  <c r="Y68" i="2"/>
  <c r="D70" i="2"/>
  <c r="D68" i="2"/>
  <c r="D69" i="2"/>
  <c r="D67" i="2"/>
  <c r="BP70" i="2"/>
  <c r="BP68" i="2"/>
  <c r="BP69" i="2"/>
  <c r="BP67" i="2"/>
  <c r="K22" i="2"/>
  <c r="K20" i="2"/>
  <c r="K19" i="2"/>
  <c r="K21" i="2"/>
  <c r="BE21" i="2"/>
  <c r="BE19" i="2"/>
  <c r="BE39" i="2" s="1"/>
  <c r="BE22" i="2"/>
  <c r="BE20" i="2"/>
  <c r="AA22" i="2"/>
  <c r="AA20" i="2"/>
  <c r="AA19" i="2"/>
  <c r="AA21" i="2"/>
  <c r="I21" i="2"/>
  <c r="I19" i="2"/>
  <c r="I39" i="2" s="1"/>
  <c r="I22" i="2"/>
  <c r="I20" i="2"/>
  <c r="BJ21" i="2"/>
  <c r="BJ19" i="2"/>
  <c r="BJ20" i="2"/>
  <c r="BJ22" i="2"/>
  <c r="AE21" i="2"/>
  <c r="AE19" i="2"/>
  <c r="AE39" i="2" s="1"/>
  <c r="AE20" i="2"/>
  <c r="AE22" i="2"/>
  <c r="AH22" i="2"/>
  <c r="AH20" i="2"/>
  <c r="AH19" i="2"/>
  <c r="AH39" i="2" s="1"/>
  <c r="AH93" i="2" s="1"/>
  <c r="AH21" i="2"/>
  <c r="BP22" i="2"/>
  <c r="BP20" i="2"/>
  <c r="BP39" i="2" s="1"/>
  <c r="BP93" i="2" s="1"/>
  <c r="BP19" i="2"/>
  <c r="BP21" i="2"/>
  <c r="AS22" i="2"/>
  <c r="AS20" i="2"/>
  <c r="AS21" i="2"/>
  <c r="AS19" i="2"/>
  <c r="AN21" i="2"/>
  <c r="AN19" i="2"/>
  <c r="AN39" i="2" s="1"/>
  <c r="AN93" i="2" s="1"/>
  <c r="AN20" i="2"/>
  <c r="AN22" i="2"/>
  <c r="I19" i="3"/>
  <c r="C10" i="13"/>
  <c r="F23" i="12"/>
  <c r="Y6" i="3"/>
  <c r="H6" i="1"/>
  <c r="BU90" i="2"/>
  <c r="Z13" i="3"/>
  <c r="G19" i="3"/>
  <c r="R91" i="2"/>
  <c r="K70" i="2"/>
  <c r="K68" i="2"/>
  <c r="K69" i="2"/>
  <c r="K67" i="2"/>
  <c r="Z22" i="2"/>
  <c r="Z20" i="2"/>
  <c r="Z19" i="2"/>
  <c r="Z21" i="2"/>
  <c r="AR22" i="2"/>
  <c r="AR20" i="2"/>
  <c r="AR19" i="2"/>
  <c r="AR21" i="2"/>
  <c r="BY105" i="12"/>
  <c r="BY106" i="12" s="1"/>
  <c r="BY107" i="12" s="1"/>
  <c r="BH105" i="12"/>
  <c r="H22" i="12" s="1"/>
  <c r="H21" i="12"/>
  <c r="J22" i="12"/>
  <c r="Q33" i="8"/>
  <c r="R33" i="8" s="1"/>
  <c r="BJ12" i="2"/>
  <c r="BS12" i="2"/>
  <c r="Z5" i="3"/>
  <c r="BW12" i="2"/>
  <c r="AC5" i="3"/>
  <c r="CF12" i="2"/>
  <c r="I5" i="1"/>
  <c r="CH12" i="2"/>
  <c r="AO12" i="2"/>
  <c r="AX12" i="2"/>
  <c r="L23" i="4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C153" i="2"/>
  <c r="CC91" i="2"/>
  <c r="AB19" i="3"/>
  <c r="Q91" i="2"/>
  <c r="E22" i="12"/>
  <c r="AB13" i="3"/>
  <c r="W13" i="3"/>
  <c r="AC13" i="3"/>
  <c r="I13" i="1"/>
  <c r="BV91" i="2"/>
  <c r="R19" i="3"/>
  <c r="AA14" i="3"/>
  <c r="Y13" i="3"/>
  <c r="H13" i="1"/>
  <c r="AB14" i="3"/>
  <c r="G14" i="3"/>
  <c r="B14" i="3"/>
  <c r="B14" i="1"/>
  <c r="BG70" i="2"/>
  <c r="BG68" i="2"/>
  <c r="BG69" i="2"/>
  <c r="BG67" i="2"/>
  <c r="BB70" i="2"/>
  <c r="BB68" i="2"/>
  <c r="BB69" i="2"/>
  <c r="BB67" i="2"/>
  <c r="BS69" i="2"/>
  <c r="BS67" i="2"/>
  <c r="BS70" i="2"/>
  <c r="BS68" i="2"/>
  <c r="C70" i="2"/>
  <c r="C68" i="2"/>
  <c r="C67" i="2"/>
  <c r="C69" i="2"/>
  <c r="CA69" i="2"/>
  <c r="CA67" i="2"/>
  <c r="CA70" i="2"/>
  <c r="CA68" i="2"/>
  <c r="AI70" i="2"/>
  <c r="AI68" i="2"/>
  <c r="AI69" i="2"/>
  <c r="AI67" i="2"/>
  <c r="AY70" i="2"/>
  <c r="AY68" i="2"/>
  <c r="AY69" i="2"/>
  <c r="AY67" i="2"/>
  <c r="AV69" i="2"/>
  <c r="AV67" i="2"/>
  <c r="AV70" i="2"/>
  <c r="AV68" i="2"/>
  <c r="AG69" i="2"/>
  <c r="AG67" i="2"/>
  <c r="AG68" i="2"/>
  <c r="AG70" i="2"/>
  <c r="L70" i="2"/>
  <c r="L68" i="2"/>
  <c r="L69" i="2"/>
  <c r="L67" i="2"/>
  <c r="BX70" i="2"/>
  <c r="BX68" i="2"/>
  <c r="BX69" i="2"/>
  <c r="BX67" i="2"/>
  <c r="Y21" i="2"/>
  <c r="Y19" i="2"/>
  <c r="Y39" i="2" s="1"/>
  <c r="Y22" i="2"/>
  <c r="Y20" i="2"/>
  <c r="J22" i="2"/>
  <c r="J20" i="2"/>
  <c r="J19" i="2"/>
  <c r="J21" i="2"/>
  <c r="AX22" i="2"/>
  <c r="AX20" i="2"/>
  <c r="AX19" i="2"/>
  <c r="AX21" i="2"/>
  <c r="V21" i="2"/>
  <c r="V19" i="2"/>
  <c r="V20" i="2"/>
  <c r="V22" i="2"/>
  <c r="BZ21" i="2"/>
  <c r="BZ19" i="2"/>
  <c r="BZ20" i="2"/>
  <c r="BZ22" i="2"/>
  <c r="AP22" i="2"/>
  <c r="AP20" i="2"/>
  <c r="AP19" i="2"/>
  <c r="AP21" i="2"/>
  <c r="AT21" i="2"/>
  <c r="AT19" i="2"/>
  <c r="AT39" i="2" s="1"/>
  <c r="AT93" i="2" s="1"/>
  <c r="AT22" i="2"/>
  <c r="AT20" i="2"/>
  <c r="BX22" i="2"/>
  <c r="BX20" i="2"/>
  <c r="BX19" i="2"/>
  <c r="BX21" i="2"/>
  <c r="BA22" i="2"/>
  <c r="BA20" i="2"/>
  <c r="BA21" i="2"/>
  <c r="BA19" i="2"/>
  <c r="AV21" i="2"/>
  <c r="AV19" i="2"/>
  <c r="AV20" i="2"/>
  <c r="AV22" i="2"/>
  <c r="E19" i="3"/>
  <c r="L91" i="2"/>
  <c r="C19" i="1"/>
  <c r="BD91" i="2"/>
  <c r="D6" i="13"/>
  <c r="B10" i="13"/>
  <c r="B27" i="13"/>
  <c r="F24" i="12"/>
  <c r="D20" i="11"/>
  <c r="D82" i="2" s="1"/>
  <c r="S6" i="3"/>
  <c r="BL90" i="2"/>
  <c r="BL92" i="2" s="1"/>
  <c r="F14" i="3"/>
  <c r="AC14" i="3"/>
  <c r="I14" i="1"/>
  <c r="AE69" i="2"/>
  <c r="AE67" i="2"/>
  <c r="AE70" i="2"/>
  <c r="AE68" i="2"/>
  <c r="D22" i="2"/>
  <c r="D20" i="2"/>
  <c r="D19" i="2"/>
  <c r="D21" i="2"/>
  <c r="W91" i="2"/>
  <c r="AW105" i="12"/>
  <c r="B105" i="12" s="1"/>
  <c r="B106" i="12" s="1"/>
  <c r="B107" i="12" s="1"/>
  <c r="AW106" i="12"/>
  <c r="AW107" i="12" s="1"/>
  <c r="Q6" i="3"/>
  <c r="F6" i="1"/>
  <c r="T6" i="3"/>
  <c r="W6" i="3"/>
  <c r="Q9" i="8"/>
  <c r="R9" i="8" s="1"/>
  <c r="Q12" i="8"/>
  <c r="R12" i="8" s="1"/>
  <c r="AQ12" i="2"/>
  <c r="S5" i="3"/>
  <c r="BB12" i="2"/>
  <c r="CE12" i="2"/>
  <c r="AK12" i="2"/>
  <c r="AN12" i="2"/>
  <c r="AW12" i="2"/>
  <c r="BF12" i="2"/>
  <c r="M7" i="3"/>
  <c r="E7" i="1"/>
  <c r="S7" i="3"/>
  <c r="H40" i="3"/>
  <c r="C40" i="1"/>
  <c r="D117" i="2"/>
  <c r="D120" i="2" s="1"/>
  <c r="E116" i="2" s="1"/>
  <c r="B90" i="11"/>
  <c r="B86" i="11"/>
  <c r="B89" i="11"/>
  <c r="B87" i="11"/>
  <c r="B82" i="11"/>
  <c r="B78" i="11"/>
  <c r="B74" i="11"/>
  <c r="B70" i="11"/>
  <c r="B66" i="11"/>
  <c r="B62" i="11"/>
  <c r="B58" i="11"/>
  <c r="B54" i="11"/>
  <c r="B48" i="11"/>
  <c r="C13" i="13" s="1"/>
  <c r="C27" i="13" s="1"/>
  <c r="B92" i="11"/>
  <c r="B85" i="11"/>
  <c r="B83" i="11"/>
  <c r="B79" i="11"/>
  <c r="B75" i="11"/>
  <c r="B71" i="11"/>
  <c r="B67" i="11"/>
  <c r="B63" i="11"/>
  <c r="B59" i="11"/>
  <c r="B55" i="11"/>
  <c r="B65" i="11"/>
  <c r="B69" i="11"/>
  <c r="B56" i="11"/>
  <c r="B77" i="11"/>
  <c r="B64" i="11"/>
  <c r="B81" i="11"/>
  <c r="B68" i="11"/>
  <c r="B72" i="11"/>
  <c r="B80" i="11"/>
  <c r="B84" i="11"/>
  <c r="B53" i="11"/>
  <c r="B88" i="11"/>
  <c r="B57" i="11"/>
  <c r="B91" i="11"/>
  <c r="B76" i="11"/>
  <c r="B73" i="11"/>
  <c r="B61" i="11"/>
  <c r="B60" i="11"/>
  <c r="BU91" i="2"/>
  <c r="H19" i="1"/>
  <c r="D19" i="3"/>
  <c r="I91" i="2"/>
  <c r="I21" i="12"/>
  <c r="R13" i="3"/>
  <c r="AY39" i="2"/>
  <c r="K91" i="2"/>
  <c r="S13" i="3"/>
  <c r="U14" i="3"/>
  <c r="G14" i="1"/>
  <c r="CE70" i="2"/>
  <c r="CE68" i="2"/>
  <c r="CE69" i="2"/>
  <c r="CE67" i="2"/>
  <c r="R70" i="2"/>
  <c r="R68" i="2"/>
  <c r="R69" i="2"/>
  <c r="R67" i="2"/>
  <c r="G69" i="2"/>
  <c r="G67" i="2"/>
  <c r="G70" i="2"/>
  <c r="G68" i="2"/>
  <c r="W69" i="2"/>
  <c r="W67" i="2"/>
  <c r="W70" i="2"/>
  <c r="W68" i="2"/>
  <c r="N67" i="2"/>
  <c r="N70" i="2"/>
  <c r="N68" i="2"/>
  <c r="N69" i="2"/>
  <c r="AU69" i="2"/>
  <c r="AU67" i="2"/>
  <c r="AU68" i="2"/>
  <c r="AU70" i="2"/>
  <c r="BK69" i="2"/>
  <c r="BK67" i="2"/>
  <c r="BK70" i="2"/>
  <c r="BK68" i="2"/>
  <c r="BD69" i="2"/>
  <c r="BD67" i="2"/>
  <c r="BD70" i="2"/>
  <c r="BD68" i="2"/>
  <c r="AO69" i="2"/>
  <c r="AO67" i="2"/>
  <c r="AO70" i="2"/>
  <c r="AO68" i="2"/>
  <c r="T70" i="2"/>
  <c r="T68" i="2"/>
  <c r="T69" i="2"/>
  <c r="T67" i="2"/>
  <c r="CF70" i="2"/>
  <c r="CF68" i="2"/>
  <c r="CF69" i="2"/>
  <c r="CF67" i="2"/>
  <c r="AG21" i="2"/>
  <c r="AG19" i="2"/>
  <c r="AG22" i="2"/>
  <c r="AG20" i="2"/>
  <c r="AJ22" i="2"/>
  <c r="AJ20" i="2"/>
  <c r="AJ19" i="2"/>
  <c r="AJ21" i="2"/>
  <c r="AI22" i="2"/>
  <c r="AI20" i="2"/>
  <c r="AI19" i="2"/>
  <c r="AI39" i="2" s="1"/>
  <c r="AI93" i="2" s="1"/>
  <c r="AI21" i="2"/>
  <c r="BU21" i="2"/>
  <c r="BU19" i="2"/>
  <c r="BU22" i="2"/>
  <c r="BU20" i="2"/>
  <c r="AM21" i="2"/>
  <c r="AM19" i="2"/>
  <c r="AM20" i="2"/>
  <c r="AM39" i="2" s="1"/>
  <c r="AM22" i="2"/>
  <c r="H21" i="2"/>
  <c r="H19" i="2"/>
  <c r="H20" i="2"/>
  <c r="H22" i="2"/>
  <c r="BC21" i="2"/>
  <c r="BC19" i="2"/>
  <c r="BC20" i="2"/>
  <c r="BC22" i="2"/>
  <c r="BF22" i="2"/>
  <c r="BF20" i="2"/>
  <c r="BF19" i="2"/>
  <c r="BF21" i="2"/>
  <c r="CF22" i="2"/>
  <c r="CF20" i="2"/>
  <c r="CF21" i="2"/>
  <c r="CF19" i="2"/>
  <c r="BI22" i="2"/>
  <c r="BI20" i="2"/>
  <c r="BI21" i="2"/>
  <c r="BI19" i="2"/>
  <c r="BI39" i="2" s="1"/>
  <c r="BI93" i="2" s="1"/>
  <c r="BD21" i="2"/>
  <c r="BD19" i="2"/>
  <c r="BD20" i="2"/>
  <c r="BD22" i="2"/>
  <c r="I14" i="3"/>
  <c r="D14" i="1"/>
  <c r="AD39" i="2"/>
  <c r="M6" i="3"/>
  <c r="E6" i="1"/>
  <c r="BO12" i="2"/>
  <c r="BW70" i="2"/>
  <c r="BW68" i="2"/>
  <c r="BW69" i="2"/>
  <c r="BW67" i="2"/>
  <c r="P69" i="2"/>
  <c r="P67" i="2"/>
  <c r="P70" i="2"/>
  <c r="P68" i="2"/>
  <c r="AU21" i="2"/>
  <c r="AU19" i="2"/>
  <c r="AU20" i="2"/>
  <c r="AU22" i="2"/>
  <c r="C24" i="12"/>
  <c r="J23" i="12"/>
  <c r="D22" i="12"/>
  <c r="AC6" i="3"/>
  <c r="I6" i="1"/>
  <c r="Q24" i="8"/>
  <c r="R24" i="8" s="1"/>
  <c r="Q20" i="8"/>
  <c r="R20" i="8" s="1"/>
  <c r="V5" i="3"/>
  <c r="BK12" i="2"/>
  <c r="AA5" i="3"/>
  <c r="BZ12" i="2"/>
  <c r="M5" i="3"/>
  <c r="AJ12" i="2"/>
  <c r="E5" i="1"/>
  <c r="P5" i="3"/>
  <c r="AS12" i="2"/>
  <c r="Q5" i="3"/>
  <c r="AV12" i="2"/>
  <c r="F5" i="1"/>
  <c r="T5" i="3"/>
  <c r="BE12" i="2"/>
  <c r="W5" i="3"/>
  <c r="BN12" i="2"/>
  <c r="Y7" i="3"/>
  <c r="H7" i="1"/>
  <c r="AB7" i="3"/>
  <c r="C33" i="4"/>
  <c r="C35" i="4" s="1"/>
  <c r="C36" i="4" s="1"/>
  <c r="D20" i="13"/>
  <c r="BM91" i="2"/>
  <c r="BT106" i="12"/>
  <c r="G21" i="12"/>
  <c r="B21" i="12" s="1"/>
  <c r="L13" i="3"/>
  <c r="BG39" i="2"/>
  <c r="BG93" i="2" s="1"/>
  <c r="M13" i="3"/>
  <c r="E13" i="1"/>
  <c r="L14" i="3"/>
  <c r="CG70" i="2"/>
  <c r="CG68" i="2"/>
  <c r="CG69" i="2"/>
  <c r="CG67" i="2"/>
  <c r="BO70" i="2"/>
  <c r="BO68" i="2"/>
  <c r="BO67" i="2"/>
  <c r="BO69" i="2"/>
  <c r="AH69" i="2"/>
  <c r="AH67" i="2"/>
  <c r="AH70" i="2"/>
  <c r="AH68" i="2"/>
  <c r="AX69" i="2"/>
  <c r="AX67" i="2"/>
  <c r="AX70" i="2"/>
  <c r="AX68" i="2"/>
  <c r="AD70" i="2"/>
  <c r="AD68" i="2"/>
  <c r="AD69" i="2"/>
  <c r="AD67" i="2"/>
  <c r="BI70" i="2"/>
  <c r="BI68" i="2"/>
  <c r="BI69" i="2"/>
  <c r="BI67" i="2"/>
  <c r="BY70" i="2"/>
  <c r="BY68" i="2"/>
  <c r="BY69" i="2"/>
  <c r="BY67" i="2"/>
  <c r="BL69" i="2"/>
  <c r="BL67" i="2"/>
  <c r="BL70" i="2"/>
  <c r="BL68" i="2"/>
  <c r="AW69" i="2"/>
  <c r="AW67" i="2"/>
  <c r="AW70" i="2"/>
  <c r="AW68" i="2"/>
  <c r="AB70" i="2"/>
  <c r="AB68" i="2"/>
  <c r="AB67" i="2"/>
  <c r="AB69" i="2"/>
  <c r="Y14" i="3"/>
  <c r="H14" i="1"/>
  <c r="BN22" i="2"/>
  <c r="BN20" i="2"/>
  <c r="BN39" i="2" s="1"/>
  <c r="BN21" i="2"/>
  <c r="BN19" i="2"/>
  <c r="C22" i="2"/>
  <c r="C20" i="2"/>
  <c r="C19" i="2"/>
  <c r="C21" i="2"/>
  <c r="BR21" i="2"/>
  <c r="BR19" i="2"/>
  <c r="BR20" i="2"/>
  <c r="BR22" i="2"/>
  <c r="F21" i="2"/>
  <c r="F19" i="2"/>
  <c r="F20" i="2"/>
  <c r="F22" i="2"/>
  <c r="BM21" i="2"/>
  <c r="BM19" i="2"/>
  <c r="BM22" i="2"/>
  <c r="BM20" i="2"/>
  <c r="R22" i="2"/>
  <c r="R20" i="2"/>
  <c r="R19" i="2"/>
  <c r="R21" i="2"/>
  <c r="BO22" i="2"/>
  <c r="BO20" i="2"/>
  <c r="BO19" i="2"/>
  <c r="BO39" i="2" s="1"/>
  <c r="BO93" i="2" s="1"/>
  <c r="BO21" i="2"/>
  <c r="BS21" i="2"/>
  <c r="BS19" i="2"/>
  <c r="BS20" i="2"/>
  <c r="BS22" i="2"/>
  <c r="E22" i="2"/>
  <c r="E20" i="2"/>
  <c r="E21" i="2"/>
  <c r="E19" i="2"/>
  <c r="BQ22" i="2"/>
  <c r="BQ20" i="2"/>
  <c r="BQ21" i="2"/>
  <c r="BQ19" i="2"/>
  <c r="BQ39" i="2" s="1"/>
  <c r="BL21" i="2"/>
  <c r="BL19" i="2"/>
  <c r="BL22" i="2"/>
  <c r="BL20" i="2"/>
  <c r="CB91" i="2"/>
  <c r="Q19" i="3"/>
  <c r="N19" i="3"/>
  <c r="C14" i="3"/>
  <c r="S19" i="3"/>
  <c r="M91" i="2"/>
  <c r="E6" i="3" l="1"/>
  <c r="C6" i="1"/>
  <c r="C5" i="1"/>
  <c r="E5" i="3"/>
  <c r="L12" i="2"/>
  <c r="AC12" i="2"/>
  <c r="AC90" i="2" s="1"/>
  <c r="AC92" i="2" s="1"/>
  <c r="AD12" i="2"/>
  <c r="K5" i="3"/>
  <c r="AE12" i="2"/>
  <c r="AE90" i="2" s="1"/>
  <c r="AE92" i="2" s="1"/>
  <c r="P12" i="2"/>
  <c r="P90" i="2" s="1"/>
  <c r="P92" i="2" s="1"/>
  <c r="R39" i="2"/>
  <c r="C39" i="2"/>
  <c r="AU39" i="2"/>
  <c r="AU93" i="2" s="1"/>
  <c r="BF39" i="2"/>
  <c r="BF93" i="2" s="1"/>
  <c r="AJ39" i="2"/>
  <c r="BA39" i="2"/>
  <c r="BA93" i="2" s="1"/>
  <c r="AA39" i="2"/>
  <c r="K39" i="2"/>
  <c r="AC39" i="2"/>
  <c r="F6" i="3"/>
  <c r="I6" i="3"/>
  <c r="Q12" i="2"/>
  <c r="Q90" i="2" s="1"/>
  <c r="Q92" i="2" s="1"/>
  <c r="C12" i="2"/>
  <c r="B5" i="1"/>
  <c r="B5" i="3"/>
  <c r="Q23" i="8"/>
  <c r="R23" i="8" s="1"/>
  <c r="X12" i="2"/>
  <c r="I5" i="3"/>
  <c r="BS39" i="2"/>
  <c r="BS93" i="2" s="1"/>
  <c r="F39" i="2"/>
  <c r="D39" i="2"/>
  <c r="AX39" i="2"/>
  <c r="AX93" i="2" s="1"/>
  <c r="C85" i="2"/>
  <c r="Z39" i="2"/>
  <c r="D102" i="2"/>
  <c r="E99" i="2" s="1"/>
  <c r="W39" i="2"/>
  <c r="D92" i="2"/>
  <c r="CD39" i="2"/>
  <c r="AL39" i="2"/>
  <c r="AL93" i="2" s="1"/>
  <c r="AO39" i="2"/>
  <c r="AO93" i="2" s="1"/>
  <c r="B6" i="3"/>
  <c r="J12" i="2"/>
  <c r="J90" i="2" s="1"/>
  <c r="J92" i="2" s="1"/>
  <c r="K12" i="2"/>
  <c r="K90" i="2" s="1"/>
  <c r="K92" i="2" s="1"/>
  <c r="Q31" i="8"/>
  <c r="R31" i="8" s="1"/>
  <c r="AF12" i="2"/>
  <c r="AF90" i="2" s="1"/>
  <c r="AF92" i="2" s="1"/>
  <c r="L39" i="2"/>
  <c r="BV39" i="2"/>
  <c r="BV93" i="2" s="1"/>
  <c r="R12" i="2"/>
  <c r="G5" i="3"/>
  <c r="S12" i="2"/>
  <c r="S90" i="2" s="1"/>
  <c r="S92" i="2" s="1"/>
  <c r="Q11" i="8"/>
  <c r="R11" i="8" s="1"/>
  <c r="E39" i="2"/>
  <c r="CF39" i="2"/>
  <c r="M39" i="2"/>
  <c r="BW39" i="2"/>
  <c r="C6" i="3"/>
  <c r="G6" i="3"/>
  <c r="Z12" i="2"/>
  <c r="Z90" i="2" s="1"/>
  <c r="Z92" i="2" s="1"/>
  <c r="J5" i="3"/>
  <c r="AA12" i="2"/>
  <c r="T12" i="2"/>
  <c r="T90" i="2" s="1"/>
  <c r="T92" i="2" s="1"/>
  <c r="D12" i="2"/>
  <c r="D90" i="2" s="1"/>
  <c r="Q39" i="8"/>
  <c r="R39" i="8" s="1"/>
  <c r="BH39" i="2"/>
  <c r="S39" i="2"/>
  <c r="J6" i="3"/>
  <c r="Q17" i="8"/>
  <c r="R17" i="8" s="1"/>
  <c r="Q8" i="8"/>
  <c r="R8" i="8" s="1"/>
  <c r="E12" i="2"/>
  <c r="E90" i="2" s="1"/>
  <c r="E92" i="2" s="1"/>
  <c r="F12" i="2"/>
  <c r="C5" i="3"/>
  <c r="G12" i="2"/>
  <c r="G90" i="2" s="1"/>
  <c r="G92" i="2" s="1"/>
  <c r="Q44" i="8"/>
  <c r="R44" i="8" s="1"/>
  <c r="D5" i="3"/>
  <c r="I12" i="2"/>
  <c r="BD39" i="2"/>
  <c r="BD93" i="2" s="1"/>
  <c r="BC39" i="2"/>
  <c r="BC93" i="2" s="1"/>
  <c r="BX39" i="2"/>
  <c r="BX93" i="2" s="1"/>
  <c r="AP39" i="2"/>
  <c r="AR39" i="2"/>
  <c r="AR93" i="2" s="1"/>
  <c r="AZ39" i="2"/>
  <c r="AZ41" i="2" s="1"/>
  <c r="M12" i="2"/>
  <c r="M90" i="2" s="1"/>
  <c r="M92" i="2" s="1"/>
  <c r="N12" i="2"/>
  <c r="N90" i="2" s="1"/>
  <c r="N92" i="2" s="1"/>
  <c r="O12" i="2"/>
  <c r="F5" i="3"/>
  <c r="AB12" i="2"/>
  <c r="AB90" i="2" s="1"/>
  <c r="AB92" i="2" s="1"/>
  <c r="Y12" i="2"/>
  <c r="Y90" i="2" s="1"/>
  <c r="Y92" i="2" s="1"/>
  <c r="BL39" i="2"/>
  <c r="BM39" i="2"/>
  <c r="BM93" i="2" s="1"/>
  <c r="BR39" i="2"/>
  <c r="BR93" i="2" s="1"/>
  <c r="AV39" i="2"/>
  <c r="V39" i="2"/>
  <c r="V93" i="2" s="1"/>
  <c r="J39" i="2"/>
  <c r="J93" i="2" s="1"/>
  <c r="BK39" i="2"/>
  <c r="V15" i="3" s="1"/>
  <c r="BB39" i="2"/>
  <c r="B6" i="1"/>
  <c r="U12" i="2"/>
  <c r="H5" i="3"/>
  <c r="V12" i="2"/>
  <c r="V90" i="2" s="1"/>
  <c r="V92" i="2" s="1"/>
  <c r="W12" i="2"/>
  <c r="W90" i="2" s="1"/>
  <c r="W92" i="2" s="1"/>
  <c r="H12" i="2"/>
  <c r="H90" i="2" s="1"/>
  <c r="H92" i="2" s="1"/>
  <c r="BL93" i="2"/>
  <c r="BL41" i="2"/>
  <c r="AP93" i="2"/>
  <c r="AE93" i="2"/>
  <c r="AE41" i="2"/>
  <c r="AF93" i="2"/>
  <c r="AF41" i="2"/>
  <c r="AZ93" i="2"/>
  <c r="P93" i="2"/>
  <c r="P41" i="2"/>
  <c r="S15" i="3"/>
  <c r="BB93" i="2"/>
  <c r="X15" i="3"/>
  <c r="BQ93" i="2"/>
  <c r="T93" i="2"/>
  <c r="T41" i="2"/>
  <c r="Q15" i="3"/>
  <c r="AV93" i="2"/>
  <c r="F15" i="1"/>
  <c r="F42" i="5" s="1"/>
  <c r="G15" i="3"/>
  <c r="R93" i="2"/>
  <c r="R41" i="2"/>
  <c r="B15" i="3"/>
  <c r="C93" i="2"/>
  <c r="C41" i="2"/>
  <c r="AJ93" i="2"/>
  <c r="J15" i="3"/>
  <c r="AA93" i="2"/>
  <c r="AA41" i="2"/>
  <c r="K93" i="2"/>
  <c r="K41" i="2"/>
  <c r="AC93" i="2"/>
  <c r="AC41" i="2"/>
  <c r="W93" i="2"/>
  <c r="W41" i="2"/>
  <c r="CD93" i="2"/>
  <c r="CD41" i="2"/>
  <c r="F93" i="2"/>
  <c r="F41" i="2"/>
  <c r="C94" i="2"/>
  <c r="C87" i="2"/>
  <c r="E112" i="2"/>
  <c r="E115" i="2"/>
  <c r="Q93" i="2"/>
  <c r="Q41" i="2"/>
  <c r="L93" i="2"/>
  <c r="L41" i="2"/>
  <c r="D93" i="2"/>
  <c r="D41" i="2"/>
  <c r="E100" i="2"/>
  <c r="E93" i="2"/>
  <c r="E41" i="2"/>
  <c r="AC15" i="3"/>
  <c r="CF93" i="2"/>
  <c r="I15" i="1"/>
  <c r="I42" i="5" s="1"/>
  <c r="AB93" i="2"/>
  <c r="AB41" i="2"/>
  <c r="M93" i="2"/>
  <c r="M41" i="2"/>
  <c r="Z15" i="3"/>
  <c r="BW93" i="2"/>
  <c r="E117" i="2"/>
  <c r="E120" i="2" s="1"/>
  <c r="F116" i="2" s="1"/>
  <c r="Z93" i="2"/>
  <c r="Z41" i="2"/>
  <c r="N15" i="3"/>
  <c r="AM93" i="2"/>
  <c r="BH93" i="2"/>
  <c r="S93" i="2"/>
  <c r="S41" i="2"/>
  <c r="AL90" i="2"/>
  <c r="AL92" i="2" s="1"/>
  <c r="AL41" i="2"/>
  <c r="AL147" i="2" s="1"/>
  <c r="AN90" i="2"/>
  <c r="AN92" i="2" s="1"/>
  <c r="AN41" i="2"/>
  <c r="AN147" i="2" s="1"/>
  <c r="W9" i="3"/>
  <c r="BN90" i="2"/>
  <c r="BN92" i="2" s="1"/>
  <c r="BN41" i="2"/>
  <c r="BN42" i="2"/>
  <c r="BO90" i="2"/>
  <c r="BO92" i="2" s="1"/>
  <c r="BO41" i="2"/>
  <c r="BO147" i="2" s="1"/>
  <c r="X93" i="2"/>
  <c r="I15" i="3"/>
  <c r="X41" i="2"/>
  <c r="BI41" i="2"/>
  <c r="C45" i="4"/>
  <c r="C46" i="4" s="1"/>
  <c r="BP41" i="2"/>
  <c r="BP147" i="2" s="1"/>
  <c r="BP90" i="2"/>
  <c r="BP92" i="2" s="1"/>
  <c r="BP42" i="2"/>
  <c r="BC90" i="2"/>
  <c r="BC92" i="2" s="1"/>
  <c r="BC42" i="2"/>
  <c r="BC41" i="2"/>
  <c r="BC147" i="2" s="1"/>
  <c r="D36" i="3"/>
  <c r="L106" i="2"/>
  <c r="L108" i="2" s="1"/>
  <c r="M106" i="2" s="1"/>
  <c r="B36" i="1"/>
  <c r="N39" i="2"/>
  <c r="E15" i="3" s="1"/>
  <c r="I22" i="12"/>
  <c r="W15" i="3"/>
  <c r="BN93" i="2"/>
  <c r="N9" i="3"/>
  <c r="AM90" i="2"/>
  <c r="AM92" i="2" s="1"/>
  <c r="AM41" i="2"/>
  <c r="D40" i="4"/>
  <c r="D41" i="4" s="1"/>
  <c r="D42" i="4" s="1"/>
  <c r="BF90" i="2"/>
  <c r="BF92" i="2" s="1"/>
  <c r="BF41" i="2"/>
  <c r="BF147" i="2" s="1"/>
  <c r="BU92" i="2"/>
  <c r="L9" i="3"/>
  <c r="AG90" i="2"/>
  <c r="AG92" i="2" s="1"/>
  <c r="D9" i="1"/>
  <c r="BR90" i="2"/>
  <c r="BR92" i="2" s="1"/>
  <c r="BR42" i="2"/>
  <c r="BR41" i="2"/>
  <c r="BR147" i="2" s="1"/>
  <c r="B64" i="12"/>
  <c r="B65" i="12" s="1"/>
  <c r="B68" i="12"/>
  <c r="AB9" i="3"/>
  <c r="CC90" i="2"/>
  <c r="CC92" i="2" s="1"/>
  <c r="U9" i="3"/>
  <c r="BH41" i="2"/>
  <c r="BH42" i="2" s="1"/>
  <c r="BH90" i="2"/>
  <c r="BH92" i="2" s="1"/>
  <c r="G9" i="1"/>
  <c r="BM90" i="2"/>
  <c r="BM92" i="2" s="1"/>
  <c r="BM41" i="2"/>
  <c r="BM147" i="2" s="1"/>
  <c r="D15" i="3"/>
  <c r="I93" i="2"/>
  <c r="E23" i="11"/>
  <c r="E24" i="11" s="1"/>
  <c r="F22" i="11" s="1"/>
  <c r="Y93" i="2"/>
  <c r="Y41" i="2"/>
  <c r="I23" i="12"/>
  <c r="BT107" i="12"/>
  <c r="I24" i="12" s="1"/>
  <c r="T9" i="3"/>
  <c r="BE90" i="2"/>
  <c r="BE92" i="2" s="1"/>
  <c r="BE42" i="2"/>
  <c r="BE41" i="2"/>
  <c r="M9" i="3"/>
  <c r="AJ90" i="2"/>
  <c r="AJ92" i="2" s="1"/>
  <c r="AJ41" i="2"/>
  <c r="AJ42" i="2" s="1"/>
  <c r="E9" i="1"/>
  <c r="AG39" i="2"/>
  <c r="D15" i="1" s="1"/>
  <c r="AW90" i="2"/>
  <c r="AW92" i="2" s="1"/>
  <c r="AW41" i="2"/>
  <c r="AW147" i="2" s="1"/>
  <c r="Z9" i="3"/>
  <c r="BW90" i="2"/>
  <c r="BW92" i="2" s="1"/>
  <c r="BW41" i="2"/>
  <c r="BW42" i="2"/>
  <c r="BH106" i="12"/>
  <c r="AS39" i="2"/>
  <c r="BT39" i="2"/>
  <c r="CC39" i="2"/>
  <c r="G39" i="2"/>
  <c r="BD90" i="2"/>
  <c r="BD92" i="2" s="1"/>
  <c r="BD41" i="2"/>
  <c r="BD147" i="2" s="1"/>
  <c r="CG90" i="2"/>
  <c r="CG92" i="2" s="1"/>
  <c r="CG41" i="2"/>
  <c r="CG147" i="2" s="1"/>
  <c r="I41" i="2"/>
  <c r="Y9" i="3"/>
  <c r="BT90" i="2"/>
  <c r="BT92" i="2" s="1"/>
  <c r="H9" i="1"/>
  <c r="BT41" i="2"/>
  <c r="CA90" i="2"/>
  <c r="CA92" i="2" s="1"/>
  <c r="CA41" i="2"/>
  <c r="CA147" i="2" s="1"/>
  <c r="BA90" i="2"/>
  <c r="BA92" i="2" s="1"/>
  <c r="BA41" i="2"/>
  <c r="BA147" i="2" s="1"/>
  <c r="BA42" i="2"/>
  <c r="F15" i="3"/>
  <c r="O93" i="2"/>
  <c r="O41" i="2"/>
  <c r="Q9" i="3"/>
  <c r="AV90" i="2"/>
  <c r="AV92" i="2" s="1"/>
  <c r="AV41" i="2"/>
  <c r="F9" i="1"/>
  <c r="G22" i="12"/>
  <c r="AK90" i="2"/>
  <c r="AK92" i="2" s="1"/>
  <c r="D27" i="4"/>
  <c r="D28" i="4" s="1"/>
  <c r="BZ39" i="2"/>
  <c r="BZ41" i="2" s="1"/>
  <c r="AX90" i="2"/>
  <c r="AX92" i="2" s="1"/>
  <c r="AX41" i="2"/>
  <c r="AX147" i="2" s="1"/>
  <c r="BS90" i="2"/>
  <c r="BS92" i="2" s="1"/>
  <c r="BS41" i="2"/>
  <c r="BS147" i="2" s="1"/>
  <c r="BJ39" i="2"/>
  <c r="BJ93" i="2" s="1"/>
  <c r="BX90" i="2"/>
  <c r="BX92" i="2" s="1"/>
  <c r="BX41" i="2"/>
  <c r="BX147" i="2" s="1"/>
  <c r="AH90" i="2"/>
  <c r="AH92" i="2" s="1"/>
  <c r="AH41" i="2"/>
  <c r="AH147" i="2" s="1"/>
  <c r="AH42" i="2"/>
  <c r="AU90" i="2"/>
  <c r="AU92" i="2" s="1"/>
  <c r="AU41" i="2"/>
  <c r="AU147" i="2" s="1"/>
  <c r="AR41" i="2"/>
  <c r="AR147" i="2" s="1"/>
  <c r="AR90" i="2"/>
  <c r="AR92" i="2" s="1"/>
  <c r="E124" i="2"/>
  <c r="E84" i="2" s="1"/>
  <c r="R15" i="3"/>
  <c r="AY93" i="2"/>
  <c r="AQ90" i="2"/>
  <c r="AQ92" i="2" s="1"/>
  <c r="AC9" i="3"/>
  <c r="CF90" i="2"/>
  <c r="CF92" i="2" s="1"/>
  <c r="CF41" i="2"/>
  <c r="CF42" i="2" s="1"/>
  <c r="I9" i="1"/>
  <c r="T15" i="3"/>
  <c r="BE93" i="2"/>
  <c r="F26" i="11"/>
  <c r="F27" i="11"/>
  <c r="G25" i="11" s="1"/>
  <c r="K15" i="3"/>
  <c r="AD93" i="2"/>
  <c r="AD41" i="2"/>
  <c r="D13" i="13"/>
  <c r="D27" i="13" s="1"/>
  <c r="V9" i="3"/>
  <c r="BK90" i="2"/>
  <c r="BK92" i="2" s="1"/>
  <c r="BK41" i="2"/>
  <c r="V17" i="3" s="1"/>
  <c r="H39" i="2"/>
  <c r="BU39" i="2"/>
  <c r="CE90" i="2"/>
  <c r="CE92" i="2" s="1"/>
  <c r="CE41" i="2"/>
  <c r="CE147" i="2" s="1"/>
  <c r="D21" i="11"/>
  <c r="E19" i="11" s="1"/>
  <c r="D10" i="13"/>
  <c r="AO41" i="2"/>
  <c r="AO147" i="2" s="1"/>
  <c r="AO90" i="2"/>
  <c r="AO92" i="2" s="1"/>
  <c r="BJ90" i="2"/>
  <c r="BJ92" i="2" s="1"/>
  <c r="BG41" i="2"/>
  <c r="BG147" i="2" s="1"/>
  <c r="BG90" i="2"/>
  <c r="BG92" i="2" s="1"/>
  <c r="AK39" i="2"/>
  <c r="AK93" i="2" s="1"/>
  <c r="AQ39" i="2"/>
  <c r="AQ93" i="2" s="1"/>
  <c r="CB90" i="2"/>
  <c r="CB92" i="2" s="1"/>
  <c r="CB41" i="2"/>
  <c r="CB147" i="2" s="1"/>
  <c r="U39" i="2"/>
  <c r="D129" i="2"/>
  <c r="D83" i="2" s="1"/>
  <c r="AI90" i="2"/>
  <c r="AI92" i="2" s="1"/>
  <c r="AI41" i="2"/>
  <c r="AI147" i="2" s="1"/>
  <c r="E125" i="2"/>
  <c r="F121" i="2" s="1"/>
  <c r="G24" i="12"/>
  <c r="BV90" i="2"/>
  <c r="BV92" i="2" s="1"/>
  <c r="BV41" i="2"/>
  <c r="BV147" i="2" s="1"/>
  <c r="AA9" i="3"/>
  <c r="BZ90" i="2"/>
  <c r="BZ92" i="2" s="1"/>
  <c r="P9" i="3"/>
  <c r="AS90" i="2"/>
  <c r="AS92" i="2" s="1"/>
  <c r="AS41" i="2"/>
  <c r="S9" i="3"/>
  <c r="BB90" i="2"/>
  <c r="BB92" i="2" s="1"/>
  <c r="BB41" i="2"/>
  <c r="CH90" i="2"/>
  <c r="CH92" i="2" s="1"/>
  <c r="CH41" i="2"/>
  <c r="CH147" i="2" s="1"/>
  <c r="O9" i="3"/>
  <c r="AP41" i="2"/>
  <c r="AP90" i="2"/>
  <c r="AP92" i="2" s="1"/>
  <c r="AY90" i="2"/>
  <c r="AY92" i="2" s="1"/>
  <c r="AY41" i="2"/>
  <c r="AY42" i="2" s="1"/>
  <c r="R9" i="3"/>
  <c r="BY90" i="2"/>
  <c r="BY92" i="2" s="1"/>
  <c r="BY41" i="2"/>
  <c r="BY147" i="2" s="1"/>
  <c r="X9" i="3"/>
  <c r="BQ90" i="2"/>
  <c r="BQ92" i="2" s="1"/>
  <c r="BQ41" i="2"/>
  <c r="X17" i="3" s="1"/>
  <c r="D130" i="2"/>
  <c r="E126" i="2" s="1"/>
  <c r="AT90" i="2"/>
  <c r="AT92" i="2" s="1"/>
  <c r="AT41" i="2"/>
  <c r="AT147" i="2" s="1"/>
  <c r="G23" i="12"/>
  <c r="AA17" i="3" l="1"/>
  <c r="BZ42" i="2"/>
  <c r="D9" i="3"/>
  <c r="I90" i="2"/>
  <c r="I92" i="2" s="1"/>
  <c r="U15" i="3"/>
  <c r="L90" i="2"/>
  <c r="L92" i="2" s="1"/>
  <c r="C9" i="1"/>
  <c r="E9" i="3"/>
  <c r="AK41" i="2"/>
  <c r="AK147" i="2" s="1"/>
  <c r="BD42" i="2"/>
  <c r="BO42" i="2"/>
  <c r="AN42" i="2"/>
  <c r="I9" i="3"/>
  <c r="X90" i="2"/>
  <c r="X92" i="2" s="1"/>
  <c r="R90" i="2"/>
  <c r="R92" i="2" s="1"/>
  <c r="G9" i="3"/>
  <c r="BS42" i="2"/>
  <c r="B22" i="12"/>
  <c r="B66" i="12" s="1"/>
  <c r="C15" i="3"/>
  <c r="BK93" i="2"/>
  <c r="BQ42" i="2"/>
  <c r="BK42" i="2"/>
  <c r="J41" i="2"/>
  <c r="F9" i="3"/>
  <c r="O90" i="2"/>
  <c r="O92" i="2" s="1"/>
  <c r="C9" i="3"/>
  <c r="F90" i="2"/>
  <c r="F92" i="2" s="1"/>
  <c r="CG42" i="2"/>
  <c r="V41" i="2"/>
  <c r="C90" i="2"/>
  <c r="C92" i="2" s="1"/>
  <c r="B9" i="3"/>
  <c r="B9" i="1"/>
  <c r="BJ41" i="2"/>
  <c r="BX42" i="2"/>
  <c r="H9" i="3"/>
  <c r="U90" i="2"/>
  <c r="U92" i="2" s="1"/>
  <c r="J9" i="3"/>
  <c r="AA90" i="2"/>
  <c r="AA92" i="2" s="1"/>
  <c r="K9" i="3"/>
  <c r="AD90" i="2"/>
  <c r="AD92" i="2" s="1"/>
  <c r="F117" i="2"/>
  <c r="F120" i="2" s="1"/>
  <c r="G116" i="2" s="1"/>
  <c r="E40" i="4"/>
  <c r="E41" i="4" s="1"/>
  <c r="B30" i="3"/>
  <c r="D33" i="4"/>
  <c r="D35" i="4" s="1"/>
  <c r="D36" i="4" s="1"/>
  <c r="D85" i="2"/>
  <c r="P16" i="3"/>
  <c r="AS147" i="2"/>
  <c r="C152" i="2"/>
  <c r="C156" i="2" s="1"/>
  <c r="D151" i="2" s="1"/>
  <c r="F122" i="2"/>
  <c r="AP42" i="2"/>
  <c r="AS42" i="2"/>
  <c r="H15" i="3"/>
  <c r="U93" i="2"/>
  <c r="U41" i="2"/>
  <c r="BG42" i="2"/>
  <c r="BK147" i="2"/>
  <c r="V16" i="3"/>
  <c r="P15" i="3"/>
  <c r="AS93" i="2"/>
  <c r="I16" i="3"/>
  <c r="X147" i="2"/>
  <c r="X42" i="2"/>
  <c r="I17" i="3"/>
  <c r="E101" i="2"/>
  <c r="E102" i="2" s="1"/>
  <c r="F147" i="2"/>
  <c r="F42" i="2"/>
  <c r="CD147" i="2"/>
  <c r="CD42" i="2"/>
  <c r="M15" i="3"/>
  <c r="AC16" i="3"/>
  <c r="CF147" i="2"/>
  <c r="I16" i="1"/>
  <c r="I43" i="5" s="1"/>
  <c r="T17" i="3"/>
  <c r="D101" i="5"/>
  <c r="D42" i="5"/>
  <c r="E20" i="11"/>
  <c r="E82" i="2" s="1"/>
  <c r="E21" i="11"/>
  <c r="F19" i="11" s="1"/>
  <c r="G26" i="11"/>
  <c r="D45" i="4"/>
  <c r="D46" i="4" s="1"/>
  <c r="D29" i="4"/>
  <c r="AV147" i="2"/>
  <c r="Q16" i="3"/>
  <c r="F16" i="1"/>
  <c r="F43" i="5" s="1"/>
  <c r="G17" i="1"/>
  <c r="AM147" i="2"/>
  <c r="N16" i="3"/>
  <c r="W16" i="3"/>
  <c r="BN147" i="2"/>
  <c r="Q147" i="2"/>
  <c r="Q42" i="2"/>
  <c r="AC147" i="2"/>
  <c r="AC42" i="2"/>
  <c r="AZ147" i="2"/>
  <c r="AZ42" i="2"/>
  <c r="X16" i="3"/>
  <c r="BQ147" i="2"/>
  <c r="P17" i="3"/>
  <c r="BV42" i="2"/>
  <c r="AI42" i="2"/>
  <c r="CB42" i="2"/>
  <c r="CE42" i="2"/>
  <c r="AC17" i="3"/>
  <c r="AR42" i="2"/>
  <c r="AX42" i="2"/>
  <c r="AK42" i="2"/>
  <c r="AV42" i="2"/>
  <c r="CA42" i="2"/>
  <c r="D16" i="3"/>
  <c r="I147" i="2"/>
  <c r="I42" i="2"/>
  <c r="D17" i="3"/>
  <c r="G93" i="2"/>
  <c r="G41" i="2"/>
  <c r="Z16" i="3"/>
  <c r="BW147" i="2"/>
  <c r="AW42" i="2"/>
  <c r="M17" i="3"/>
  <c r="BF42" i="2"/>
  <c r="AM42" i="2"/>
  <c r="M147" i="2"/>
  <c r="M42" i="2"/>
  <c r="D147" i="2"/>
  <c r="D42" i="2"/>
  <c r="B16" i="3"/>
  <c r="C147" i="2"/>
  <c r="B17" i="3"/>
  <c r="C42" i="2"/>
  <c r="O147" i="2"/>
  <c r="F16" i="3"/>
  <c r="F17" i="3"/>
  <c r="O42" i="2"/>
  <c r="BT147" i="2"/>
  <c r="AB15" i="3"/>
  <c r="CC93" i="2"/>
  <c r="Y147" i="2"/>
  <c r="Y42" i="2"/>
  <c r="BH147" i="2"/>
  <c r="U16" i="3"/>
  <c r="G16" i="1"/>
  <c r="G43" i="5" s="1"/>
  <c r="N93" i="2"/>
  <c r="N41" i="2"/>
  <c r="C17" i="1" s="1"/>
  <c r="F111" i="2"/>
  <c r="W147" i="2"/>
  <c r="W42" i="2"/>
  <c r="B15" i="1"/>
  <c r="O15" i="3"/>
  <c r="E42" i="4"/>
  <c r="R16" i="3"/>
  <c r="AY147" i="2"/>
  <c r="Y15" i="3"/>
  <c r="BT93" i="2"/>
  <c r="H15" i="1"/>
  <c r="H42" i="5" s="1"/>
  <c r="Z17" i="3"/>
  <c r="L15" i="3"/>
  <c r="AG93" i="2"/>
  <c r="T16" i="3"/>
  <c r="BE147" i="2"/>
  <c r="BM42" i="2"/>
  <c r="AG41" i="2"/>
  <c r="W17" i="3"/>
  <c r="AL42" i="2"/>
  <c r="S147" i="2"/>
  <c r="S42" i="2"/>
  <c r="Z147" i="2"/>
  <c r="Z42" i="2"/>
  <c r="E16" i="3"/>
  <c r="L147" i="2"/>
  <c r="C16" i="1"/>
  <c r="C43" i="5" s="1"/>
  <c r="L42" i="2"/>
  <c r="E17" i="3"/>
  <c r="C95" i="2"/>
  <c r="C96" i="2" s="1"/>
  <c r="V147" i="2"/>
  <c r="V42" i="2"/>
  <c r="E127" i="2"/>
  <c r="AP147" i="2"/>
  <c r="S16" i="3"/>
  <c r="BB147" i="2"/>
  <c r="BB42" i="2"/>
  <c r="S17" i="3"/>
  <c r="AA15" i="3"/>
  <c r="BZ93" i="2"/>
  <c r="Q17" i="3"/>
  <c r="F24" i="11"/>
  <c r="G22" i="11" s="1"/>
  <c r="F23" i="11"/>
  <c r="U17" i="3"/>
  <c r="B67" i="12"/>
  <c r="B69" i="12" s="1"/>
  <c r="N17" i="3"/>
  <c r="E147" i="2"/>
  <c r="E42" i="2"/>
  <c r="J147" i="2"/>
  <c r="J42" i="2"/>
  <c r="C15" i="1"/>
  <c r="E15" i="1"/>
  <c r="BL147" i="2"/>
  <c r="BL42" i="2"/>
  <c r="F17" i="1"/>
  <c r="H23" i="12"/>
  <c r="B23" i="12" s="1"/>
  <c r="BH107" i="12"/>
  <c r="H24" i="12" s="1"/>
  <c r="B24" i="12" s="1"/>
  <c r="M16" i="3"/>
  <c r="AJ147" i="2"/>
  <c r="J16" i="3"/>
  <c r="AA147" i="2"/>
  <c r="AA42" i="2"/>
  <c r="J17" i="3"/>
  <c r="R17" i="3"/>
  <c r="CH42" i="2"/>
  <c r="AA16" i="3"/>
  <c r="BZ147" i="2"/>
  <c r="BU93" i="2"/>
  <c r="BU41" i="2"/>
  <c r="Y16" i="3" s="1"/>
  <c r="AT42" i="2"/>
  <c r="BY42" i="2"/>
  <c r="AO42" i="2"/>
  <c r="H93" i="2"/>
  <c r="H41" i="2"/>
  <c r="K16" i="3"/>
  <c r="AD147" i="2"/>
  <c r="K17" i="3"/>
  <c r="AD42" i="2"/>
  <c r="I17" i="1"/>
  <c r="AQ41" i="2"/>
  <c r="E16" i="1" s="1"/>
  <c r="E43" i="5" s="1"/>
  <c r="AU42" i="2"/>
  <c r="BT42" i="2"/>
  <c r="CC41" i="2"/>
  <c r="BI147" i="2"/>
  <c r="BI42" i="2"/>
  <c r="G15" i="1"/>
  <c r="G42" i="5" s="1"/>
  <c r="AB147" i="2"/>
  <c r="AB42" i="2"/>
  <c r="K147" i="2"/>
  <c r="K42" i="2"/>
  <c r="R147" i="2"/>
  <c r="G16" i="3"/>
  <c r="G17" i="3"/>
  <c r="R42" i="2"/>
  <c r="T147" i="2"/>
  <c r="T42" i="2"/>
  <c r="P147" i="2"/>
  <c r="P42" i="2"/>
  <c r="AF147" i="2"/>
  <c r="AF42" i="2"/>
  <c r="AE147" i="2"/>
  <c r="AE42" i="2"/>
  <c r="BJ147" i="2" l="1"/>
  <c r="BJ42" i="2"/>
  <c r="B34" i="3"/>
  <c r="F99" i="2"/>
  <c r="G117" i="2"/>
  <c r="G120" i="2" s="1"/>
  <c r="H116" i="2" s="1"/>
  <c r="L16" i="3"/>
  <c r="AG147" i="2"/>
  <c r="AG42" i="2"/>
  <c r="L17" i="3"/>
  <c r="H147" i="2"/>
  <c r="H42" i="2"/>
  <c r="C148" i="2"/>
  <c r="D146" i="2" s="1"/>
  <c r="C161" i="2"/>
  <c r="G147" i="2"/>
  <c r="G42" i="2"/>
  <c r="C42" i="5"/>
  <c r="C101" i="5"/>
  <c r="B42" i="5"/>
  <c r="B101" i="5"/>
  <c r="C17" i="3"/>
  <c r="H16" i="3"/>
  <c r="U147" i="2"/>
  <c r="U42" i="2"/>
  <c r="H17" i="3"/>
  <c r="AQ147" i="2"/>
  <c r="AQ42" i="2"/>
  <c r="BU147" i="2"/>
  <c r="BU42" i="2"/>
  <c r="Y17" i="3"/>
  <c r="O16" i="3"/>
  <c r="N147" i="2"/>
  <c r="N42" i="2"/>
  <c r="D16" i="1"/>
  <c r="D43" i="5" s="1"/>
  <c r="F124" i="2"/>
  <c r="D17" i="1"/>
  <c r="E101" i="5"/>
  <c r="E42" i="5"/>
  <c r="G23" i="11"/>
  <c r="AB16" i="3"/>
  <c r="CC147" i="2"/>
  <c r="CC42" i="2"/>
  <c r="AB17" i="3"/>
  <c r="F112" i="2"/>
  <c r="F115" i="2" s="1"/>
  <c r="G111" i="2" s="1"/>
  <c r="B17" i="1"/>
  <c r="G27" i="11"/>
  <c r="H25" i="11" s="1"/>
  <c r="C16" i="3"/>
  <c r="O17" i="3"/>
  <c r="F20" i="11"/>
  <c r="F82" i="2" s="1"/>
  <c r="E153" i="2"/>
  <c r="B33" i="3"/>
  <c r="H17" i="1"/>
  <c r="E129" i="2"/>
  <c r="E83" i="2" s="1"/>
  <c r="H16" i="1"/>
  <c r="H43" i="5" s="1"/>
  <c r="B16" i="1"/>
  <c r="B43" i="5" s="1"/>
  <c r="E27" i="4"/>
  <c r="E28" i="4" s="1"/>
  <c r="E29" i="4" s="1"/>
  <c r="B28" i="3"/>
  <c r="E17" i="1"/>
  <c r="D94" i="2"/>
  <c r="D95" i="2" s="1"/>
  <c r="D96" i="2" s="1"/>
  <c r="D87" i="2"/>
  <c r="H117" i="2" l="1"/>
  <c r="H120" i="2"/>
  <c r="I116" i="2" s="1"/>
  <c r="G112" i="2"/>
  <c r="G115" i="2" s="1"/>
  <c r="H111" i="2" s="1"/>
  <c r="F84" i="2"/>
  <c r="F125" i="2"/>
  <c r="G121" i="2" s="1"/>
  <c r="F21" i="11"/>
  <c r="G19" i="11" s="1"/>
  <c r="D148" i="2"/>
  <c r="E146" i="2" s="1"/>
  <c r="D159" i="2"/>
  <c r="D161" i="2" s="1"/>
  <c r="D152" i="2"/>
  <c r="D156" i="2" s="1"/>
  <c r="E151" i="2" s="1"/>
  <c r="G24" i="11"/>
  <c r="H22" i="11" s="1"/>
  <c r="F27" i="4"/>
  <c r="F28" i="4" s="1"/>
  <c r="E130" i="2"/>
  <c r="E33" i="4"/>
  <c r="E35" i="4" s="1"/>
  <c r="E36" i="4" s="1"/>
  <c r="B29" i="3"/>
  <c r="E85" i="2"/>
  <c r="F100" i="2"/>
  <c r="H26" i="11"/>
  <c r="H27" i="11" s="1"/>
  <c r="I25" i="11" s="1"/>
  <c r="H112" i="2" l="1"/>
  <c r="H115" i="2" s="1"/>
  <c r="I26" i="11"/>
  <c r="F40" i="4"/>
  <c r="F41" i="4" s="1"/>
  <c r="F42" i="4" s="1"/>
  <c r="I117" i="2"/>
  <c r="I120" i="2" s="1"/>
  <c r="J116" i="2" s="1"/>
  <c r="E45" i="4"/>
  <c r="E46" i="4" s="1"/>
  <c r="F101" i="2"/>
  <c r="E94" i="2"/>
  <c r="E95" i="2" s="1"/>
  <c r="E96" i="2" s="1"/>
  <c r="E87" i="2"/>
  <c r="B20" i="3"/>
  <c r="E148" i="2"/>
  <c r="E159" i="2"/>
  <c r="F126" i="2"/>
  <c r="B38" i="3"/>
  <c r="H23" i="11"/>
  <c r="G20" i="11"/>
  <c r="G82" i="2" s="1"/>
  <c r="G122" i="2"/>
  <c r="G124" i="2" s="1"/>
  <c r="F29" i="4"/>
  <c r="J117" i="2" l="1"/>
  <c r="J120" i="2"/>
  <c r="K116" i="2" s="1"/>
  <c r="G84" i="2"/>
  <c r="G125" i="2"/>
  <c r="H121" i="2" s="1"/>
  <c r="F127" i="2"/>
  <c r="I111" i="2"/>
  <c r="G27" i="4"/>
  <c r="G28" i="4" s="1"/>
  <c r="E152" i="2"/>
  <c r="E156" i="2" s="1"/>
  <c r="B21" i="3"/>
  <c r="B23" i="3"/>
  <c r="F153" i="2"/>
  <c r="I27" i="11"/>
  <c r="J25" i="11" s="1"/>
  <c r="H24" i="11"/>
  <c r="I22" i="11" s="1"/>
  <c r="E161" i="2"/>
  <c r="B45" i="3" s="1"/>
  <c r="B42" i="3"/>
  <c r="F146" i="2"/>
  <c r="G21" i="11"/>
  <c r="H19" i="11" s="1"/>
  <c r="F102" i="2"/>
  <c r="G99" i="2" s="1"/>
  <c r="F129" i="2" l="1"/>
  <c r="F83" i="2" s="1"/>
  <c r="I112" i="2"/>
  <c r="I115" i="2" s="1"/>
  <c r="J111" i="2" s="1"/>
  <c r="I23" i="11"/>
  <c r="I24" i="11" s="1"/>
  <c r="J22" i="11" s="1"/>
  <c r="J26" i="11"/>
  <c r="G100" i="2"/>
  <c r="F33" i="4"/>
  <c r="F35" i="4" s="1"/>
  <c r="F85" i="2"/>
  <c r="G40" i="4"/>
  <c r="G41" i="4" s="1"/>
  <c r="G42" i="4" s="1"/>
  <c r="H20" i="11"/>
  <c r="H82" i="2" s="1"/>
  <c r="K117" i="2"/>
  <c r="K120" i="2" s="1"/>
  <c r="L116" i="2" s="1"/>
  <c r="G29" i="4"/>
  <c r="H122" i="2"/>
  <c r="H124" i="2" s="1"/>
  <c r="F151" i="2"/>
  <c r="F159" i="2" s="1"/>
  <c r="B43" i="3"/>
  <c r="F148" i="2"/>
  <c r="G146" i="2" s="1"/>
  <c r="F130" i="2" l="1"/>
  <c r="G126" i="2" s="1"/>
  <c r="G127" i="2" s="1"/>
  <c r="G129" i="2" s="1"/>
  <c r="G83" i="2" s="1"/>
  <c r="H84" i="2"/>
  <c r="H125" i="2"/>
  <c r="J23" i="11"/>
  <c r="J24" i="11" s="1"/>
  <c r="K22" i="11" s="1"/>
  <c r="J112" i="2"/>
  <c r="J115" i="2" s="1"/>
  <c r="K111" i="2" s="1"/>
  <c r="G33" i="4"/>
  <c r="G35" i="4" s="1"/>
  <c r="G45" i="4" s="1"/>
  <c r="G85" i="2"/>
  <c r="G148" i="2"/>
  <c r="H146" i="2" s="1"/>
  <c r="G101" i="2"/>
  <c r="L117" i="2"/>
  <c r="L120" i="2" s="1"/>
  <c r="M116" i="2" s="1"/>
  <c r="F36" i="4"/>
  <c r="F45" i="4"/>
  <c r="F46" i="4" s="1"/>
  <c r="H27" i="4"/>
  <c r="H28" i="4" s="1"/>
  <c r="H29" i="4" s="1"/>
  <c r="C28" i="3"/>
  <c r="H21" i="11"/>
  <c r="I19" i="11" s="1"/>
  <c r="G130" i="2"/>
  <c r="H126" i="2" s="1"/>
  <c r="F94" i="2"/>
  <c r="F95" i="2" s="1"/>
  <c r="F96" i="2" s="1"/>
  <c r="F87" i="2"/>
  <c r="J27" i="11"/>
  <c r="K25" i="11" s="1"/>
  <c r="K112" i="2" l="1"/>
  <c r="K115" i="2" s="1"/>
  <c r="K23" i="11"/>
  <c r="K24" i="11" s="1"/>
  <c r="L22" i="11" s="1"/>
  <c r="M117" i="2"/>
  <c r="M120" i="2"/>
  <c r="N116" i="2" s="1"/>
  <c r="G153" i="2"/>
  <c r="H148" i="2"/>
  <c r="G46" i="4"/>
  <c r="I121" i="2"/>
  <c r="K26" i="11"/>
  <c r="K27" i="11"/>
  <c r="L25" i="11" s="1"/>
  <c r="H127" i="2"/>
  <c r="H129" i="2" s="1"/>
  <c r="H83" i="2" s="1"/>
  <c r="G36" i="4"/>
  <c r="I20" i="11"/>
  <c r="I82" i="2" s="1"/>
  <c r="H40" i="4"/>
  <c r="H41" i="4" s="1"/>
  <c r="H42" i="4" s="1"/>
  <c r="C30" i="3"/>
  <c r="F152" i="2"/>
  <c r="G94" i="2"/>
  <c r="G95" i="2" s="1"/>
  <c r="G96" i="2" s="1"/>
  <c r="G87" i="2"/>
  <c r="G152" i="2" s="1"/>
  <c r="G102" i="2"/>
  <c r="H99" i="2" s="1"/>
  <c r="I21" i="11" l="1"/>
  <c r="J19" i="11" s="1"/>
  <c r="L23" i="11"/>
  <c r="L111" i="2"/>
  <c r="H33" i="4"/>
  <c r="H35" i="4" s="1"/>
  <c r="H45" i="4" s="1"/>
  <c r="H46" i="4" s="1"/>
  <c r="H85" i="2"/>
  <c r="C29" i="3"/>
  <c r="J20" i="11"/>
  <c r="J82" i="2" s="1"/>
  <c r="L26" i="11"/>
  <c r="L27" i="11" s="1"/>
  <c r="M25" i="11" s="1"/>
  <c r="I122" i="2"/>
  <c r="I124" i="2"/>
  <c r="I84" i="2" s="1"/>
  <c r="C42" i="3"/>
  <c r="I146" i="2"/>
  <c r="H100" i="2"/>
  <c r="I27" i="4"/>
  <c r="I28" i="4" s="1"/>
  <c r="F156" i="2"/>
  <c r="G151" i="2" s="1"/>
  <c r="F161" i="2"/>
  <c r="N117" i="2"/>
  <c r="N120" i="2" s="1"/>
  <c r="O116" i="2" s="1"/>
  <c r="H130" i="2"/>
  <c r="O117" i="2" l="1"/>
  <c r="O120" i="2" s="1"/>
  <c r="P116" i="2" s="1"/>
  <c r="H101" i="2"/>
  <c r="I40" i="4"/>
  <c r="I41" i="4" s="1"/>
  <c r="I42" i="4" s="1"/>
  <c r="I29" i="4"/>
  <c r="G156" i="2"/>
  <c r="H151" i="2" s="1"/>
  <c r="G159" i="2"/>
  <c r="G161" i="2" s="1"/>
  <c r="J27" i="4"/>
  <c r="J28" i="4" s="1"/>
  <c r="L112" i="2"/>
  <c r="L115" i="2" s="1"/>
  <c r="M111" i="2" s="1"/>
  <c r="H94" i="2"/>
  <c r="H95" i="2" s="1"/>
  <c r="H96" i="2" s="1"/>
  <c r="H87" i="2"/>
  <c r="C20" i="3"/>
  <c r="M26" i="11"/>
  <c r="M27" i="11" s="1"/>
  <c r="N25" i="11" s="1"/>
  <c r="I148" i="2"/>
  <c r="J146" i="2" s="1"/>
  <c r="I126" i="2"/>
  <c r="C38" i="3"/>
  <c r="J21" i="11"/>
  <c r="K19" i="11" s="1"/>
  <c r="I125" i="2"/>
  <c r="J121" i="2" s="1"/>
  <c r="L24" i="11"/>
  <c r="M22" i="11" s="1"/>
  <c r="H36" i="4"/>
  <c r="M112" i="2" l="1"/>
  <c r="M115" i="2"/>
  <c r="N111" i="2" s="1"/>
  <c r="N26" i="11"/>
  <c r="P117" i="2"/>
  <c r="P120" i="2"/>
  <c r="Q116" i="2" s="1"/>
  <c r="M23" i="11"/>
  <c r="H153" i="2"/>
  <c r="C33" i="3"/>
  <c r="J122" i="2"/>
  <c r="K20" i="11"/>
  <c r="K82" i="2" s="1"/>
  <c r="I127" i="2"/>
  <c r="I129" i="2"/>
  <c r="I83" i="2" s="1"/>
  <c r="H159" i="2"/>
  <c r="H161" i="2" s="1"/>
  <c r="C45" i="3" s="1"/>
  <c r="H152" i="2"/>
  <c r="H156" i="2" s="1"/>
  <c r="C21" i="3"/>
  <c r="C23" i="3"/>
  <c r="J29" i="4"/>
  <c r="J148" i="2"/>
  <c r="K146" i="2" s="1"/>
  <c r="H102" i="2"/>
  <c r="I130" i="2" l="1"/>
  <c r="J126" i="2" s="1"/>
  <c r="K21" i="11"/>
  <c r="L19" i="11" s="1"/>
  <c r="M24" i="11"/>
  <c r="N22" i="11" s="1"/>
  <c r="J124" i="2"/>
  <c r="J84" i="2" s="1"/>
  <c r="J127" i="2"/>
  <c r="N27" i="11"/>
  <c r="O25" i="11" s="1"/>
  <c r="C43" i="3"/>
  <c r="I151" i="2"/>
  <c r="N112" i="2"/>
  <c r="N115" i="2"/>
  <c r="O111" i="2" s="1"/>
  <c r="K27" i="4"/>
  <c r="K28" i="4" s="1"/>
  <c r="K29" i="4" s="1"/>
  <c r="B28" i="1"/>
  <c r="D28" i="3"/>
  <c r="Q117" i="2"/>
  <c r="Q120" i="2" s="1"/>
  <c r="R116" i="2" s="1"/>
  <c r="C34" i="3"/>
  <c r="I99" i="2"/>
  <c r="I33" i="4"/>
  <c r="I35" i="4" s="1"/>
  <c r="I85" i="2"/>
  <c r="K148" i="2"/>
  <c r="R117" i="2" l="1"/>
  <c r="R120" i="2" s="1"/>
  <c r="S116" i="2" s="1"/>
  <c r="I45" i="4"/>
  <c r="I46" i="4" s="1"/>
  <c r="I36" i="4"/>
  <c r="J40" i="4"/>
  <c r="J41" i="4" s="1"/>
  <c r="J42" i="4" s="1"/>
  <c r="N23" i="11"/>
  <c r="N24" i="11" s="1"/>
  <c r="O22" i="11" s="1"/>
  <c r="I159" i="2"/>
  <c r="L20" i="11"/>
  <c r="L82" i="2" s="1"/>
  <c r="O112" i="2"/>
  <c r="O115" i="2" s="1"/>
  <c r="P111" i="2" s="1"/>
  <c r="I94" i="2"/>
  <c r="I95" i="2" s="1"/>
  <c r="I96" i="2" s="1"/>
  <c r="I87" i="2"/>
  <c r="J129" i="2"/>
  <c r="J83" i="2" s="1"/>
  <c r="I100" i="2"/>
  <c r="I101" i="2" s="1"/>
  <c r="D42" i="3"/>
  <c r="L146" i="2"/>
  <c r="B42" i="1"/>
  <c r="O26" i="11"/>
  <c r="J125" i="2"/>
  <c r="K121" i="2" s="1"/>
  <c r="I153" i="2" l="1"/>
  <c r="P112" i="2"/>
  <c r="P115" i="2" s="1"/>
  <c r="Q111" i="2" s="1"/>
  <c r="S117" i="2"/>
  <c r="S120" i="2" s="1"/>
  <c r="T116" i="2" s="1"/>
  <c r="L21" i="11"/>
  <c r="M19" i="11" s="1"/>
  <c r="J33" i="4"/>
  <c r="J35" i="4" s="1"/>
  <c r="J45" i="4" s="1"/>
  <c r="J46" i="4" s="1"/>
  <c r="J36" i="4"/>
  <c r="I152" i="2"/>
  <c r="I156" i="2" s="1"/>
  <c r="J151" i="2" s="1"/>
  <c r="J130" i="2"/>
  <c r="K126" i="2" s="1"/>
  <c r="L27" i="4"/>
  <c r="L28" i="4" s="1"/>
  <c r="L148" i="2"/>
  <c r="M146" i="2" s="1"/>
  <c r="O27" i="11"/>
  <c r="P25" i="11" s="1"/>
  <c r="B52" i="5"/>
  <c r="B71" i="5"/>
  <c r="O23" i="11"/>
  <c r="O24" i="11" s="1"/>
  <c r="P22" i="11" s="1"/>
  <c r="I102" i="2"/>
  <c r="J99" i="2" s="1"/>
  <c r="K122" i="2"/>
  <c r="J85" i="2"/>
  <c r="I161" i="2" l="1"/>
  <c r="P23" i="11"/>
  <c r="T117" i="2"/>
  <c r="T120" i="2" s="1"/>
  <c r="U116" i="2" s="1"/>
  <c r="Q112" i="2"/>
  <c r="Q115" i="2" s="1"/>
  <c r="R111" i="2" s="1"/>
  <c r="M20" i="11"/>
  <c r="M82" i="2" s="1"/>
  <c r="L29" i="4"/>
  <c r="K124" i="2"/>
  <c r="K84" i="2" s="1"/>
  <c r="K127" i="2"/>
  <c r="M148" i="2"/>
  <c r="N146" i="2" s="1"/>
  <c r="J100" i="2"/>
  <c r="J101" i="2"/>
  <c r="J94" i="2"/>
  <c r="J95" i="2" s="1"/>
  <c r="J96" i="2" s="1"/>
  <c r="J87" i="2"/>
  <c r="P26" i="11"/>
  <c r="J159" i="2"/>
  <c r="J102" i="2" l="1"/>
  <c r="K99" i="2" s="1"/>
  <c r="K130" i="2"/>
  <c r="L126" i="2" s="1"/>
  <c r="L127" i="2" s="1"/>
  <c r="K129" i="2"/>
  <c r="K83" i="2" s="1"/>
  <c r="K100" i="2"/>
  <c r="K101" i="2"/>
  <c r="K153" i="2" s="1"/>
  <c r="R115" i="2"/>
  <c r="S111" i="2" s="1"/>
  <c r="R112" i="2"/>
  <c r="U117" i="2"/>
  <c r="U120" i="2" s="1"/>
  <c r="V116" i="2" s="1"/>
  <c r="M27" i="4"/>
  <c r="M28" i="4" s="1"/>
  <c r="K40" i="4"/>
  <c r="K41" i="4" s="1"/>
  <c r="K42" i="4" s="1"/>
  <c r="K85" i="2"/>
  <c r="B30" i="1"/>
  <c r="D30" i="3"/>
  <c r="K33" i="4"/>
  <c r="K35" i="4" s="1"/>
  <c r="D29" i="3"/>
  <c r="B29" i="1"/>
  <c r="J153" i="2"/>
  <c r="M29" i="4"/>
  <c r="K125" i="2"/>
  <c r="P27" i="11"/>
  <c r="Q25" i="11" s="1"/>
  <c r="J152" i="2"/>
  <c r="N148" i="2"/>
  <c r="M21" i="11"/>
  <c r="N19" i="11" s="1"/>
  <c r="P24" i="11"/>
  <c r="Q22" i="11" s="1"/>
  <c r="D33" i="3" l="1"/>
  <c r="L129" i="2"/>
  <c r="L83" i="2" s="1"/>
  <c r="K102" i="2"/>
  <c r="J156" i="2"/>
  <c r="K151" i="2" s="1"/>
  <c r="D34" i="3"/>
  <c r="L99" i="2"/>
  <c r="B34" i="1"/>
  <c r="K94" i="2"/>
  <c r="K95" i="2" s="1"/>
  <c r="K96" i="2" s="1"/>
  <c r="K87" i="2"/>
  <c r="D20" i="3"/>
  <c r="B20" i="1"/>
  <c r="B46" i="5" s="1"/>
  <c r="Q23" i="11"/>
  <c r="Q24" i="11" s="1"/>
  <c r="R22" i="11" s="1"/>
  <c r="S112" i="2"/>
  <c r="S115" i="2" s="1"/>
  <c r="T111" i="2" s="1"/>
  <c r="N20" i="11"/>
  <c r="N82" i="2" s="1"/>
  <c r="K45" i="4"/>
  <c r="K46" i="4" s="1"/>
  <c r="K36" i="4"/>
  <c r="J161" i="2"/>
  <c r="L130" i="2"/>
  <c r="M126" i="2" s="1"/>
  <c r="Q26" i="11"/>
  <c r="L121" i="2"/>
  <c r="D38" i="3"/>
  <c r="B38" i="1"/>
  <c r="O146" i="2"/>
  <c r="E42" i="3"/>
  <c r="L33" i="4"/>
  <c r="L35" i="4" s="1"/>
  <c r="K159" i="2"/>
  <c r="V117" i="2"/>
  <c r="V120" i="2" s="1"/>
  <c r="W116" i="2" s="1"/>
  <c r="B33" i="1"/>
  <c r="L36" i="4" l="1"/>
  <c r="W117" i="2"/>
  <c r="W120" i="2" s="1"/>
  <c r="X116" i="2" s="1"/>
  <c r="R23" i="11"/>
  <c r="N27" i="4"/>
  <c r="N28" i="4" s="1"/>
  <c r="E28" i="3"/>
  <c r="K152" i="2"/>
  <c r="K156" i="2" s="1"/>
  <c r="B21" i="1"/>
  <c r="D21" i="3"/>
  <c r="L122" i="2"/>
  <c r="M107" i="2"/>
  <c r="B23" i="1"/>
  <c r="D23" i="3"/>
  <c r="N160" i="2"/>
  <c r="T112" i="2"/>
  <c r="T115" i="2" s="1"/>
  <c r="U111" i="2" s="1"/>
  <c r="Q27" i="11"/>
  <c r="R25" i="11" s="1"/>
  <c r="N21" i="11"/>
  <c r="O19" i="11" s="1"/>
  <c r="L100" i="2"/>
  <c r="L101" i="2"/>
  <c r="M127" i="2"/>
  <c r="M129" i="2" s="1"/>
  <c r="M83" i="2" s="1"/>
  <c r="O148" i="2"/>
  <c r="P146" i="2" s="1"/>
  <c r="K161" i="2" l="1"/>
  <c r="L102" i="2"/>
  <c r="M99" i="2" s="1"/>
  <c r="M100" i="2"/>
  <c r="M101" i="2"/>
  <c r="M153" i="2" s="1"/>
  <c r="X117" i="2"/>
  <c r="X120" i="2" s="1"/>
  <c r="Y116" i="2" s="1"/>
  <c r="M33" i="4"/>
  <c r="M35" i="4" s="1"/>
  <c r="L124" i="2"/>
  <c r="L84" i="2" s="1"/>
  <c r="D45" i="3"/>
  <c r="B45" i="1"/>
  <c r="M130" i="2"/>
  <c r="N126" i="2" s="1"/>
  <c r="N29" i="4"/>
  <c r="R24" i="11"/>
  <c r="S22" i="11" s="1"/>
  <c r="L153" i="2"/>
  <c r="E44" i="3"/>
  <c r="C44" i="1"/>
  <c r="D43" i="3"/>
  <c r="L151" i="2"/>
  <c r="B43" i="1"/>
  <c r="U112" i="2"/>
  <c r="U115" i="2"/>
  <c r="V111" i="2" s="1"/>
  <c r="P148" i="2"/>
  <c r="Q146" i="2" s="1"/>
  <c r="O20" i="11"/>
  <c r="O82" i="2" s="1"/>
  <c r="O21" i="11"/>
  <c r="P19" i="11" s="1"/>
  <c r="R26" i="11"/>
  <c r="E35" i="3"/>
  <c r="M154" i="2"/>
  <c r="C35" i="1"/>
  <c r="M108" i="2"/>
  <c r="N106" i="2" s="1"/>
  <c r="N108" i="2" s="1"/>
  <c r="L125" i="2" l="1"/>
  <c r="M121" i="2" s="1"/>
  <c r="M102" i="2"/>
  <c r="N99" i="2" s="1"/>
  <c r="Y117" i="2"/>
  <c r="Y120" i="2" s="1"/>
  <c r="Z116" i="2" s="1"/>
  <c r="N100" i="2"/>
  <c r="N101" i="2" s="1"/>
  <c r="P20" i="11"/>
  <c r="P82" i="2" s="1"/>
  <c r="N127" i="2"/>
  <c r="E38" i="3" s="1"/>
  <c r="M36" i="4"/>
  <c r="M122" i="2"/>
  <c r="M124" i="2" s="1"/>
  <c r="M84" i="2" s="1"/>
  <c r="E36" i="3"/>
  <c r="O106" i="2"/>
  <c r="O108" i="2" s="1"/>
  <c r="P106" i="2" s="1"/>
  <c r="P108" i="2" s="1"/>
  <c r="Q106" i="2" s="1"/>
  <c r="Q108" i="2" s="1"/>
  <c r="Q148" i="2"/>
  <c r="O27" i="4"/>
  <c r="O28" i="4" s="1"/>
  <c r="O29" i="4" s="1"/>
  <c r="V112" i="2"/>
  <c r="V115" i="2"/>
  <c r="W111" i="2" s="1"/>
  <c r="L159" i="2"/>
  <c r="L40" i="4"/>
  <c r="L41" i="4" s="1"/>
  <c r="L85" i="2"/>
  <c r="R27" i="11"/>
  <c r="S25" i="11" s="1"/>
  <c r="B50" i="5"/>
  <c r="B100" i="5"/>
  <c r="B102" i="5" s="1"/>
  <c r="B103" i="5" s="1"/>
  <c r="B72" i="5"/>
  <c r="S23" i="11"/>
  <c r="S24" i="11" s="1"/>
  <c r="T22" i="11" s="1"/>
  <c r="P21" i="11" l="1"/>
  <c r="Q19" i="11" s="1"/>
  <c r="M40" i="4"/>
  <c r="M41" i="4" s="1"/>
  <c r="M45" i="4" s="1"/>
  <c r="M85" i="2"/>
  <c r="P29" i="4"/>
  <c r="N153" i="2"/>
  <c r="E33" i="3"/>
  <c r="Z117" i="2"/>
  <c r="Z120" i="2"/>
  <c r="AA116" i="2" s="1"/>
  <c r="P27" i="4"/>
  <c r="P28" i="4" s="1"/>
  <c r="M125" i="2"/>
  <c r="N121" i="2" s="1"/>
  <c r="T23" i="11"/>
  <c r="T24" i="11" s="1"/>
  <c r="U22" i="11" s="1"/>
  <c r="N102" i="2"/>
  <c r="Q20" i="11"/>
  <c r="Q82" i="2" s="1"/>
  <c r="L42" i="4"/>
  <c r="M42" i="4" s="1"/>
  <c r="L45" i="4"/>
  <c r="L46" i="4" s="1"/>
  <c r="M46" i="4" s="1"/>
  <c r="R146" i="2"/>
  <c r="F42" i="3"/>
  <c r="W112" i="2"/>
  <c r="W115" i="2" s="1"/>
  <c r="F36" i="3"/>
  <c r="R106" i="2"/>
  <c r="R108" i="2" s="1"/>
  <c r="S106" i="2" s="1"/>
  <c r="S108" i="2" s="1"/>
  <c r="T106" i="2" s="1"/>
  <c r="T108" i="2" s="1"/>
  <c r="S26" i="11"/>
  <c r="L94" i="2"/>
  <c r="L95" i="2" s="1"/>
  <c r="L96" i="2" s="1"/>
  <c r="L87" i="2"/>
  <c r="N129" i="2"/>
  <c r="N83" i="2" s="1"/>
  <c r="L152" i="2" l="1"/>
  <c r="G36" i="3"/>
  <c r="U106" i="2"/>
  <c r="U108" i="2" s="1"/>
  <c r="V106" i="2" s="1"/>
  <c r="V108" i="2" s="1"/>
  <c r="W106" i="2" s="1"/>
  <c r="W108" i="2" s="1"/>
  <c r="N33" i="4"/>
  <c r="N35" i="4" s="1"/>
  <c r="E29" i="3"/>
  <c r="N122" i="2"/>
  <c r="N124" i="2" s="1"/>
  <c r="N84" i="2" s="1"/>
  <c r="N130" i="2"/>
  <c r="O126" i="2" s="1"/>
  <c r="AA117" i="2"/>
  <c r="AA120" i="2" s="1"/>
  <c r="AB116" i="2" s="1"/>
  <c r="M94" i="2"/>
  <c r="M95" i="2" s="1"/>
  <c r="M96" i="2" s="1"/>
  <c r="M87" i="2"/>
  <c r="M152" i="2" s="1"/>
  <c r="X111" i="2"/>
  <c r="U23" i="11"/>
  <c r="R148" i="2"/>
  <c r="S146" i="2" s="1"/>
  <c r="Q27" i="4"/>
  <c r="Q28" i="4" s="1"/>
  <c r="Q29" i="4" s="1"/>
  <c r="F28" i="3"/>
  <c r="Q21" i="11"/>
  <c r="R19" i="11" s="1"/>
  <c r="S27" i="11"/>
  <c r="T25" i="11" s="1"/>
  <c r="E34" i="3"/>
  <c r="O99" i="2"/>
  <c r="N40" i="4" l="1"/>
  <c r="N41" i="4" s="1"/>
  <c r="N42" i="4" s="1"/>
  <c r="E30" i="3"/>
  <c r="N85" i="2"/>
  <c r="L156" i="2"/>
  <c r="M151" i="2" s="1"/>
  <c r="L161" i="2"/>
  <c r="X112" i="2"/>
  <c r="X115" i="2" s="1"/>
  <c r="Y111" i="2" s="1"/>
  <c r="N125" i="2"/>
  <c r="O121" i="2" s="1"/>
  <c r="O100" i="2"/>
  <c r="O101" i="2" s="1"/>
  <c r="T26" i="11"/>
  <c r="T27" i="11"/>
  <c r="U25" i="11" s="1"/>
  <c r="R20" i="11"/>
  <c r="R82" i="2" s="1"/>
  <c r="S148" i="2"/>
  <c r="T146" i="2" s="1"/>
  <c r="N45" i="4"/>
  <c r="N46" i="4" s="1"/>
  <c r="N36" i="4"/>
  <c r="AB117" i="2"/>
  <c r="AB120" i="2" s="1"/>
  <c r="AC116" i="2" s="1"/>
  <c r="O127" i="2"/>
  <c r="O129" i="2" s="1"/>
  <c r="O83" i="2" s="1"/>
  <c r="U24" i="11"/>
  <c r="V22" i="11" s="1"/>
  <c r="H36" i="3"/>
  <c r="X106" i="2"/>
  <c r="X108" i="2" s="1"/>
  <c r="Y106" i="2" s="1"/>
  <c r="C36" i="1"/>
  <c r="O33" i="4" l="1"/>
  <c r="O35" i="4" s="1"/>
  <c r="O153" i="2"/>
  <c r="O102" i="2"/>
  <c r="P99" i="2" s="1"/>
  <c r="AC117" i="2"/>
  <c r="AC120" i="2"/>
  <c r="AD116" i="2" s="1"/>
  <c r="Y112" i="2"/>
  <c r="Y115" i="2" s="1"/>
  <c r="Z111" i="2" s="1"/>
  <c r="U26" i="11"/>
  <c r="U27" i="11" s="1"/>
  <c r="V25" i="11" s="1"/>
  <c r="N94" i="2"/>
  <c r="N95" i="2" s="1"/>
  <c r="N96" i="2" s="1"/>
  <c r="N87" i="2"/>
  <c r="E20" i="3"/>
  <c r="O36" i="4"/>
  <c r="V23" i="11"/>
  <c r="V24" i="11"/>
  <c r="W22" i="11" s="1"/>
  <c r="T148" i="2"/>
  <c r="O122" i="2"/>
  <c r="O124" i="2" s="1"/>
  <c r="O130" i="2"/>
  <c r="P126" i="2" s="1"/>
  <c r="M156" i="2"/>
  <c r="N151" i="2" s="1"/>
  <c r="M159" i="2"/>
  <c r="M161" i="2" s="1"/>
  <c r="R27" i="4"/>
  <c r="R28" i="4" s="1"/>
  <c r="R21" i="11"/>
  <c r="S19" i="11" s="1"/>
  <c r="O84" i="2" l="1"/>
  <c r="O125" i="2"/>
  <c r="P121" i="2" s="1"/>
  <c r="Z112" i="2"/>
  <c r="Z115" i="2" s="1"/>
  <c r="AA111" i="2" s="1"/>
  <c r="G42" i="3"/>
  <c r="U146" i="2"/>
  <c r="N152" i="2"/>
  <c r="N156" i="2" s="1"/>
  <c r="E21" i="3"/>
  <c r="P100" i="2"/>
  <c r="W23" i="11"/>
  <c r="S20" i="11"/>
  <c r="S82" i="2" s="1"/>
  <c r="N159" i="2"/>
  <c r="V26" i="11"/>
  <c r="P127" i="2"/>
  <c r="P129" i="2"/>
  <c r="P83" i="2" s="1"/>
  <c r="R29" i="4"/>
  <c r="AD117" i="2"/>
  <c r="AD120" i="2" s="1"/>
  <c r="AE116" i="2" s="1"/>
  <c r="E23" i="3"/>
  <c r="O151" i="2" l="1"/>
  <c r="E43" i="3"/>
  <c r="AE117" i="2"/>
  <c r="AE120" i="2" s="1"/>
  <c r="AF116" i="2" s="1"/>
  <c r="AA112" i="2"/>
  <c r="AA115" i="2"/>
  <c r="AB111" i="2" s="1"/>
  <c r="V27" i="11"/>
  <c r="W25" i="11" s="1"/>
  <c r="N161" i="2"/>
  <c r="E45" i="3" s="1"/>
  <c r="S27" i="4"/>
  <c r="S28" i="4" s="1"/>
  <c r="S29" i="4" s="1"/>
  <c r="P101" i="2"/>
  <c r="W24" i="11"/>
  <c r="X22" i="11" s="1"/>
  <c r="P130" i="2"/>
  <c r="Q126" i="2" s="1"/>
  <c r="P122" i="2"/>
  <c r="P124" i="2" s="1"/>
  <c r="U148" i="2"/>
  <c r="V146" i="2" s="1"/>
  <c r="P33" i="4"/>
  <c r="P35" i="4" s="1"/>
  <c r="S21" i="11"/>
  <c r="T19" i="11" s="1"/>
  <c r="O40" i="4"/>
  <c r="O41" i="4" s="1"/>
  <c r="O85" i="2"/>
  <c r="P84" i="2" l="1"/>
  <c r="P125" i="2"/>
  <c r="Q121" i="2" s="1"/>
  <c r="AF117" i="2"/>
  <c r="AF120" i="2"/>
  <c r="AG116" i="2" s="1"/>
  <c r="P153" i="2"/>
  <c r="O94" i="2"/>
  <c r="O95" i="2" s="1"/>
  <c r="O96" i="2" s="1"/>
  <c r="O87" i="2"/>
  <c r="V148" i="2"/>
  <c r="W146" i="2" s="1"/>
  <c r="T20" i="11"/>
  <c r="T82" i="2" s="1"/>
  <c r="T21" i="11"/>
  <c r="U19" i="11" s="1"/>
  <c r="Q127" i="2"/>
  <c r="F38" i="3" s="1"/>
  <c r="W26" i="11"/>
  <c r="O159" i="2"/>
  <c r="AB112" i="2"/>
  <c r="AB115" i="2" s="1"/>
  <c r="AC111" i="2" s="1"/>
  <c r="O42" i="4"/>
  <c r="O45" i="4"/>
  <c r="O46" i="4" s="1"/>
  <c r="P36" i="4"/>
  <c r="X23" i="11"/>
  <c r="X24" i="11"/>
  <c r="Y22" i="11" s="1"/>
  <c r="P102" i="2"/>
  <c r="Q99" i="2" s="1"/>
  <c r="U20" i="11" l="1"/>
  <c r="U82" i="2" s="1"/>
  <c r="U21" i="11"/>
  <c r="V19" i="11" s="1"/>
  <c r="Y23" i="11"/>
  <c r="AG117" i="2"/>
  <c r="AG120" i="2" s="1"/>
  <c r="AH116" i="2" s="1"/>
  <c r="T27" i="4"/>
  <c r="T28" i="4" s="1"/>
  <c r="G28" i="3"/>
  <c r="O152" i="2"/>
  <c r="O156" i="2" s="1"/>
  <c r="P151" i="2" s="1"/>
  <c r="AC112" i="2"/>
  <c r="AC115" i="2" s="1"/>
  <c r="AD111" i="2" s="1"/>
  <c r="W148" i="2"/>
  <c r="W27" i="11"/>
  <c r="X25" i="11" s="1"/>
  <c r="P42" i="4"/>
  <c r="Q122" i="2"/>
  <c r="Q124" i="2" s="1"/>
  <c r="Q84" i="2" s="1"/>
  <c r="Q100" i="2"/>
  <c r="Q129" i="2"/>
  <c r="P40" i="4"/>
  <c r="P41" i="4" s="1"/>
  <c r="P45" i="4" s="1"/>
  <c r="P46" i="4" s="1"/>
  <c r="P85" i="2"/>
  <c r="Q101" i="2" l="1"/>
  <c r="Q102" i="2" s="1"/>
  <c r="Q40" i="4"/>
  <c r="Q41" i="4" s="1"/>
  <c r="Q42" i="4" s="1"/>
  <c r="F30" i="3"/>
  <c r="AH117" i="2"/>
  <c r="AH120" i="2"/>
  <c r="AI116" i="2" s="1"/>
  <c r="O161" i="2"/>
  <c r="T29" i="4"/>
  <c r="Q83" i="2"/>
  <c r="Q130" i="2"/>
  <c r="R126" i="2" s="1"/>
  <c r="Y24" i="11"/>
  <c r="Z22" i="11" s="1"/>
  <c r="P159" i="2"/>
  <c r="Q125" i="2"/>
  <c r="R121" i="2" s="1"/>
  <c r="V20" i="11"/>
  <c r="V82" i="2" s="1"/>
  <c r="F33" i="3"/>
  <c r="X26" i="11"/>
  <c r="P94" i="2"/>
  <c r="P95" i="2" s="1"/>
  <c r="P96" i="2" s="1"/>
  <c r="P87" i="2"/>
  <c r="H42" i="3"/>
  <c r="X146" i="2"/>
  <c r="C42" i="1"/>
  <c r="AD112" i="2"/>
  <c r="AD115" i="2"/>
  <c r="AE111" i="2" s="1"/>
  <c r="U27" i="4"/>
  <c r="U28" i="4" s="1"/>
  <c r="R99" i="2" l="1"/>
  <c r="F34" i="3"/>
  <c r="U29" i="4"/>
  <c r="Q153" i="2"/>
  <c r="Z23" i="11"/>
  <c r="R127" i="2"/>
  <c r="R129" i="2" s="1"/>
  <c r="R83" i="2" s="1"/>
  <c r="AI117" i="2"/>
  <c r="AI120" i="2" s="1"/>
  <c r="AJ116" i="2" s="1"/>
  <c r="Q33" i="4"/>
  <c r="Q35" i="4" s="1"/>
  <c r="Q85" i="2"/>
  <c r="F29" i="3"/>
  <c r="AE112" i="2"/>
  <c r="AE115" i="2" s="1"/>
  <c r="AF111" i="2" s="1"/>
  <c r="R122" i="2"/>
  <c r="V21" i="11"/>
  <c r="W19" i="11" s="1"/>
  <c r="R100" i="2"/>
  <c r="R101" i="2"/>
  <c r="R102" i="2"/>
  <c r="S99" i="2" s="1"/>
  <c r="X148" i="2"/>
  <c r="Y146" i="2" s="1"/>
  <c r="V27" i="4"/>
  <c r="V28" i="4" s="1"/>
  <c r="P152" i="2"/>
  <c r="P156" i="2" s="1"/>
  <c r="Q151" i="2" s="1"/>
  <c r="C71" i="5"/>
  <c r="C52" i="5"/>
  <c r="X27" i="11"/>
  <c r="Y25" i="11" s="1"/>
  <c r="AF112" i="2" l="1"/>
  <c r="AF115" i="2" s="1"/>
  <c r="AG111" i="2" s="1"/>
  <c r="AJ117" i="2"/>
  <c r="AJ120" i="2" s="1"/>
  <c r="AK116" i="2" s="1"/>
  <c r="R33" i="4"/>
  <c r="R35" i="4" s="1"/>
  <c r="Y26" i="11"/>
  <c r="R130" i="2"/>
  <c r="S126" i="2" s="1"/>
  <c r="S100" i="2"/>
  <c r="S101" i="2"/>
  <c r="S153" i="2" s="1"/>
  <c r="Y148" i="2"/>
  <c r="Z146" i="2" s="1"/>
  <c r="V29" i="4"/>
  <c r="R153" i="2"/>
  <c r="Q159" i="2"/>
  <c r="R124" i="2"/>
  <c r="R84" i="2" s="1"/>
  <c r="Z24" i="11"/>
  <c r="AA22" i="11" s="1"/>
  <c r="W20" i="11"/>
  <c r="W82" i="2" s="1"/>
  <c r="Q94" i="2"/>
  <c r="Q95" i="2" s="1"/>
  <c r="Q96" i="2" s="1"/>
  <c r="Q87" i="2"/>
  <c r="F20" i="3"/>
  <c r="P161" i="2"/>
  <c r="Q45" i="4"/>
  <c r="Q46" i="4" s="1"/>
  <c r="Q36" i="4"/>
  <c r="W21" i="11" l="1"/>
  <c r="X19" i="11" s="1"/>
  <c r="AK117" i="2"/>
  <c r="AK120" i="2" s="1"/>
  <c r="AL116" i="2" s="1"/>
  <c r="Q152" i="2"/>
  <c r="Q156" i="2" s="1"/>
  <c r="F21" i="3"/>
  <c r="S102" i="2"/>
  <c r="T99" i="2" s="1"/>
  <c r="F23" i="3"/>
  <c r="W27" i="4"/>
  <c r="W28" i="4" s="1"/>
  <c r="W29" i="4" s="1"/>
  <c r="H28" i="3"/>
  <c r="C28" i="1"/>
  <c r="S127" i="2"/>
  <c r="S129" i="2"/>
  <c r="S83" i="2" s="1"/>
  <c r="R125" i="2"/>
  <c r="S121" i="2" s="1"/>
  <c r="AG112" i="2"/>
  <c r="AG115" i="2" s="1"/>
  <c r="AH111" i="2" s="1"/>
  <c r="X20" i="11"/>
  <c r="X82" i="2" s="1"/>
  <c r="R36" i="4"/>
  <c r="AA23" i="11"/>
  <c r="AA24" i="11" s="1"/>
  <c r="AB22" i="11" s="1"/>
  <c r="R40" i="4"/>
  <c r="R41" i="4" s="1"/>
  <c r="R42" i="4" s="1"/>
  <c r="R85" i="2"/>
  <c r="Z148" i="2"/>
  <c r="Y27" i="11"/>
  <c r="Z25" i="11" s="1"/>
  <c r="S130" i="2" l="1"/>
  <c r="T126" i="2" s="1"/>
  <c r="T127" i="2"/>
  <c r="G38" i="3" s="1"/>
  <c r="T129" i="2"/>
  <c r="T83" i="2" s="1"/>
  <c r="T33" i="4" s="1"/>
  <c r="T35" i="4" s="1"/>
  <c r="AB23" i="11"/>
  <c r="AH112" i="2"/>
  <c r="AH115" i="2" s="1"/>
  <c r="AI111" i="2" s="1"/>
  <c r="Z26" i="11"/>
  <c r="R151" i="2"/>
  <c r="F43" i="3"/>
  <c r="R45" i="4"/>
  <c r="R46" i="4" s="1"/>
  <c r="I42" i="3"/>
  <c r="AA146" i="2"/>
  <c r="S33" i="4"/>
  <c r="S35" i="4" s="1"/>
  <c r="X27" i="4"/>
  <c r="X28" i="4" s="1"/>
  <c r="X29" i="4" s="1"/>
  <c r="Q161" i="2"/>
  <c r="F45" i="3" s="1"/>
  <c r="S36" i="4"/>
  <c r="T36" i="4" s="1"/>
  <c r="X21" i="11"/>
  <c r="Y19" i="11" s="1"/>
  <c r="AL117" i="2"/>
  <c r="AL120" i="2" s="1"/>
  <c r="AM116" i="2" s="1"/>
  <c r="S122" i="2"/>
  <c r="R94" i="2"/>
  <c r="R95" i="2" s="1"/>
  <c r="R96" i="2" s="1"/>
  <c r="R87" i="2"/>
  <c r="T100" i="2"/>
  <c r="T101" i="2" s="1"/>
  <c r="G29" i="3" l="1"/>
  <c r="T153" i="2"/>
  <c r="G33" i="3"/>
  <c r="AI112" i="2"/>
  <c r="AI115" i="2" s="1"/>
  <c r="AM117" i="2"/>
  <c r="AM120" i="2" s="1"/>
  <c r="AN116" i="2" s="1"/>
  <c r="AA148" i="2"/>
  <c r="AB146" i="2" s="1"/>
  <c r="T102" i="2"/>
  <c r="AB24" i="11"/>
  <c r="AC22" i="11" s="1"/>
  <c r="Y20" i="11"/>
  <c r="Y82" i="2" s="1"/>
  <c r="S124" i="2"/>
  <c r="S84" i="2" s="1"/>
  <c r="T130" i="2"/>
  <c r="U126" i="2" s="1"/>
  <c r="R152" i="2"/>
  <c r="R156" i="2" s="1"/>
  <c r="S151" i="2" s="1"/>
  <c r="R159" i="2"/>
  <c r="R161" i="2" s="1"/>
  <c r="Z27" i="11"/>
  <c r="AA25" i="11" s="1"/>
  <c r="AN117" i="2" l="1"/>
  <c r="AN120" i="2" s="1"/>
  <c r="AO116" i="2" s="1"/>
  <c r="AJ111" i="2"/>
  <c r="U127" i="2"/>
  <c r="Y21" i="11"/>
  <c r="Z19" i="11" s="1"/>
  <c r="Y27" i="4"/>
  <c r="Y28" i="4" s="1"/>
  <c r="S159" i="2"/>
  <c r="G34" i="3"/>
  <c r="U99" i="2"/>
  <c r="AC23" i="11"/>
  <c r="AC24" i="11"/>
  <c r="AD22" i="11" s="1"/>
  <c r="S40" i="4"/>
  <c r="S41" i="4" s="1"/>
  <c r="S85" i="2"/>
  <c r="S125" i="2"/>
  <c r="T121" i="2" s="1"/>
  <c r="AB148" i="2"/>
  <c r="AC146" i="2" s="1"/>
  <c r="AA26" i="11"/>
  <c r="AA27" i="11" s="1"/>
  <c r="AB25" i="11" s="1"/>
  <c r="AO117" i="2" l="1"/>
  <c r="AO120" i="2" s="1"/>
  <c r="AP116" i="2" s="1"/>
  <c r="U100" i="2"/>
  <c r="U129" i="2"/>
  <c r="U83" i="2" s="1"/>
  <c r="Z20" i="11"/>
  <c r="Z82" i="2" s="1"/>
  <c r="S94" i="2"/>
  <c r="S95" i="2" s="1"/>
  <c r="S96" i="2" s="1"/>
  <c r="S87" i="2"/>
  <c r="AB26" i="11"/>
  <c r="AB27" i="11" s="1"/>
  <c r="AC25" i="11" s="1"/>
  <c r="S42" i="4"/>
  <c r="S45" i="4"/>
  <c r="S46" i="4" s="1"/>
  <c r="AJ112" i="2"/>
  <c r="AJ115" i="2" s="1"/>
  <c r="AK111" i="2" s="1"/>
  <c r="AC148" i="2"/>
  <c r="T122" i="2"/>
  <c r="T124" i="2" s="1"/>
  <c r="T84" i="2" s="1"/>
  <c r="AD23" i="11"/>
  <c r="Y29" i="4"/>
  <c r="U101" i="2" l="1"/>
  <c r="U102" i="2" s="1"/>
  <c r="V99" i="2" s="1"/>
  <c r="V100" i="2" s="1"/>
  <c r="V101" i="2" s="1"/>
  <c r="T40" i="4"/>
  <c r="T41" i="4" s="1"/>
  <c r="T45" i="4" s="1"/>
  <c r="T85" i="2"/>
  <c r="G30" i="3"/>
  <c r="AK112" i="2"/>
  <c r="AK115" i="2" s="1"/>
  <c r="AL111" i="2" s="1"/>
  <c r="AP117" i="2"/>
  <c r="AP120" i="2" s="1"/>
  <c r="AQ116" i="2" s="1"/>
  <c r="U33" i="4"/>
  <c r="U35" i="4" s="1"/>
  <c r="AC26" i="11"/>
  <c r="AC27" i="11" s="1"/>
  <c r="AD25" i="11" s="1"/>
  <c r="T125" i="2"/>
  <c r="U121" i="2" s="1"/>
  <c r="U153" i="2"/>
  <c r="S152" i="2"/>
  <c r="Z27" i="4"/>
  <c r="Z28" i="4" s="1"/>
  <c r="Z29" i="4" s="1"/>
  <c r="I28" i="3"/>
  <c r="AD146" i="2"/>
  <c r="J42" i="3"/>
  <c r="AD24" i="11"/>
  <c r="AE22" i="11" s="1"/>
  <c r="T46" i="4"/>
  <c r="T42" i="4"/>
  <c r="Z21" i="11"/>
  <c r="AA19" i="11" s="1"/>
  <c r="U130" i="2"/>
  <c r="V126" i="2" s="1"/>
  <c r="AL112" i="2" l="1"/>
  <c r="AL115" i="2"/>
  <c r="AM111" i="2" s="1"/>
  <c r="V153" i="2"/>
  <c r="V102" i="2"/>
  <c r="W99" i="2" s="1"/>
  <c r="AD26" i="11"/>
  <c r="AA20" i="11"/>
  <c r="AA82" i="2" s="1"/>
  <c r="AD148" i="2"/>
  <c r="AE146" i="2" s="1"/>
  <c r="V127" i="2"/>
  <c r="V129" i="2" s="1"/>
  <c r="V83" i="2" s="1"/>
  <c r="S156" i="2"/>
  <c r="T151" i="2" s="1"/>
  <c r="S161" i="2"/>
  <c r="AE23" i="11"/>
  <c r="AQ117" i="2"/>
  <c r="AQ120" i="2"/>
  <c r="AR116" i="2" s="1"/>
  <c r="U36" i="4"/>
  <c r="T94" i="2"/>
  <c r="T95" i="2" s="1"/>
  <c r="T96" i="2" s="1"/>
  <c r="T87" i="2"/>
  <c r="G20" i="3"/>
  <c r="U122" i="2"/>
  <c r="V33" i="4" l="1"/>
  <c r="V35" i="4" s="1"/>
  <c r="AR117" i="2"/>
  <c r="AR120" i="2" s="1"/>
  <c r="AS116" i="2" s="1"/>
  <c r="T152" i="2"/>
  <c r="T156" i="2" s="1"/>
  <c r="G21" i="3"/>
  <c r="V130" i="2"/>
  <c r="W126" i="2" s="1"/>
  <c r="AE24" i="11"/>
  <c r="AF22" i="11" s="1"/>
  <c r="V36" i="4"/>
  <c r="AE148" i="2"/>
  <c r="AF146" i="2" s="1"/>
  <c r="G23" i="3"/>
  <c r="AA27" i="4"/>
  <c r="AA28" i="4" s="1"/>
  <c r="AM112" i="2"/>
  <c r="AM115" i="2" s="1"/>
  <c r="AN111" i="2" s="1"/>
  <c r="T159" i="2"/>
  <c r="AD27" i="11"/>
  <c r="AE25" i="11" s="1"/>
  <c r="W100" i="2"/>
  <c r="W101" i="2" s="1"/>
  <c r="U124" i="2"/>
  <c r="U84" i="2" s="1"/>
  <c r="AA21" i="11"/>
  <c r="AB19" i="11" s="1"/>
  <c r="W153" i="2" l="1"/>
  <c r="C33" i="1"/>
  <c r="H33" i="3"/>
  <c r="W102" i="2"/>
  <c r="G43" i="3"/>
  <c r="U151" i="2"/>
  <c r="AS117" i="2"/>
  <c r="AS120" i="2"/>
  <c r="AT116" i="2" s="1"/>
  <c r="AN112" i="2"/>
  <c r="AN115" i="2" s="1"/>
  <c r="AO111" i="2" s="1"/>
  <c r="AF148" i="2"/>
  <c r="AA29" i="4"/>
  <c r="AF23" i="11"/>
  <c r="U125" i="2"/>
  <c r="V121" i="2" s="1"/>
  <c r="W127" i="2"/>
  <c r="H38" i="3" s="1"/>
  <c r="U40" i="4"/>
  <c r="U41" i="4" s="1"/>
  <c r="U85" i="2"/>
  <c r="T161" i="2"/>
  <c r="G45" i="3" s="1"/>
  <c r="AE26" i="11"/>
  <c r="AB20" i="11"/>
  <c r="AB82" i="2" s="1"/>
  <c r="AO112" i="2" l="1"/>
  <c r="AO115" i="2" s="1"/>
  <c r="AP111" i="2" s="1"/>
  <c r="U159" i="2"/>
  <c r="AT117" i="2"/>
  <c r="AT120" i="2" s="1"/>
  <c r="AU116" i="2" s="1"/>
  <c r="AF24" i="11"/>
  <c r="AG22" i="11" s="1"/>
  <c r="X99" i="2"/>
  <c r="H34" i="3"/>
  <c r="C34" i="1"/>
  <c r="AB27" i="4"/>
  <c r="AB28" i="4" s="1"/>
  <c r="K42" i="3"/>
  <c r="AG146" i="2"/>
  <c r="AB21" i="11"/>
  <c r="AC19" i="11" s="1"/>
  <c r="AE27" i="11"/>
  <c r="AF25" i="11" s="1"/>
  <c r="W129" i="2"/>
  <c r="W83" i="2" s="1"/>
  <c r="U94" i="2"/>
  <c r="U95" i="2" s="1"/>
  <c r="U96" i="2" s="1"/>
  <c r="U87" i="2"/>
  <c r="U45" i="4"/>
  <c r="U46" i="4" s="1"/>
  <c r="U42" i="4"/>
  <c r="V122" i="2"/>
  <c r="V124" i="2" s="1"/>
  <c r="V84" i="2" s="1"/>
  <c r="AU117" i="2" l="1"/>
  <c r="AU120" i="2" s="1"/>
  <c r="AV116" i="2" s="1"/>
  <c r="V40" i="4"/>
  <c r="V41" i="4" s="1"/>
  <c r="V45" i="4" s="1"/>
  <c r="V85" i="2"/>
  <c r="AP112" i="2"/>
  <c r="AP115" i="2" s="1"/>
  <c r="AQ111" i="2" s="1"/>
  <c r="V125" i="2"/>
  <c r="W121" i="2" s="1"/>
  <c r="AG23" i="11"/>
  <c r="W33" i="4"/>
  <c r="W35" i="4" s="1"/>
  <c r="C29" i="1"/>
  <c r="H29" i="3"/>
  <c r="U152" i="2"/>
  <c r="U156" i="2" s="1"/>
  <c r="V151" i="2" s="1"/>
  <c r="AC20" i="11"/>
  <c r="AC82" i="2" s="1"/>
  <c r="AC21" i="11"/>
  <c r="AD19" i="11" s="1"/>
  <c r="W130" i="2"/>
  <c r="X126" i="2" s="1"/>
  <c r="AF26" i="11"/>
  <c r="AF27" i="11" s="1"/>
  <c r="AG25" i="11" s="1"/>
  <c r="V42" i="4"/>
  <c r="V46" i="4"/>
  <c r="AB29" i="4"/>
  <c r="AG148" i="2"/>
  <c r="AH146" i="2" s="1"/>
  <c r="X100" i="2"/>
  <c r="X101" i="2" s="1"/>
  <c r="X153" i="2" l="1"/>
  <c r="X102" i="2"/>
  <c r="Y99" i="2" s="1"/>
  <c r="AV117" i="2"/>
  <c r="AV120" i="2"/>
  <c r="AW116" i="2" s="1"/>
  <c r="AG26" i="11"/>
  <c r="AG27" i="11" s="1"/>
  <c r="AH25" i="11" s="1"/>
  <c r="V159" i="2"/>
  <c r="AH148" i="2"/>
  <c r="AI146" i="2" s="1"/>
  <c r="W36" i="4"/>
  <c r="V94" i="2"/>
  <c r="V95" i="2" s="1"/>
  <c r="V96" i="2" s="1"/>
  <c r="V87" i="2"/>
  <c r="X127" i="2"/>
  <c r="X129" i="2" s="1"/>
  <c r="X83" i="2" s="1"/>
  <c r="AD20" i="11"/>
  <c r="AD82" i="2" s="1"/>
  <c r="AC27" i="4"/>
  <c r="AC28" i="4" s="1"/>
  <c r="AC29" i="4" s="1"/>
  <c r="J28" i="3"/>
  <c r="AG24" i="11"/>
  <c r="AH22" i="11" s="1"/>
  <c r="AQ112" i="2"/>
  <c r="AQ115" i="2" s="1"/>
  <c r="AR111" i="2" s="1"/>
  <c r="U161" i="2"/>
  <c r="W122" i="2"/>
  <c r="W124" i="2"/>
  <c r="W84" i="2" s="1"/>
  <c r="AD21" i="11" l="1"/>
  <c r="AE19" i="11" s="1"/>
  <c r="W125" i="2"/>
  <c r="AH26" i="11"/>
  <c r="AH27" i="11" s="1"/>
  <c r="AI25" i="11" s="1"/>
  <c r="X33" i="4"/>
  <c r="X35" i="4" s="1"/>
  <c r="X121" i="2"/>
  <c r="C38" i="1"/>
  <c r="AR112" i="2"/>
  <c r="AR115" i="2" s="1"/>
  <c r="AS111" i="2" s="1"/>
  <c r="W40" i="4"/>
  <c r="W41" i="4" s="1"/>
  <c r="W85" i="2"/>
  <c r="H30" i="3"/>
  <c r="C30" i="1"/>
  <c r="X36" i="4"/>
  <c r="AW117" i="2"/>
  <c r="AW120" i="2" s="1"/>
  <c r="AX116" i="2" s="1"/>
  <c r="AH23" i="11"/>
  <c r="X130" i="2"/>
  <c r="Y126" i="2" s="1"/>
  <c r="Y100" i="2"/>
  <c r="AE20" i="11"/>
  <c r="AE82" i="2" s="1"/>
  <c r="AE21" i="11"/>
  <c r="AF19" i="11" s="1"/>
  <c r="AI148" i="2"/>
  <c r="AD27" i="4"/>
  <c r="AD28" i="4" s="1"/>
  <c r="V152" i="2"/>
  <c r="V156" i="2" s="1"/>
  <c r="W151" i="2" s="1"/>
  <c r="V161" i="2" l="1"/>
  <c r="AX117" i="2"/>
  <c r="AX120" i="2" s="1"/>
  <c r="AY116" i="2" s="1"/>
  <c r="AS112" i="2"/>
  <c r="AS115" i="2"/>
  <c r="AT111" i="2" s="1"/>
  <c r="AI26" i="11"/>
  <c r="AI27" i="11" s="1"/>
  <c r="AJ25" i="11" s="1"/>
  <c r="X122" i="2"/>
  <c r="X124" i="2" s="1"/>
  <c r="X84" i="2" s="1"/>
  <c r="Y101" i="2"/>
  <c r="Y127" i="2"/>
  <c r="Y129" i="2" s="1"/>
  <c r="Y83" i="2" s="1"/>
  <c r="W94" i="2"/>
  <c r="W95" i="2" s="1"/>
  <c r="W96" i="2" s="1"/>
  <c r="W87" i="2"/>
  <c r="C20" i="1"/>
  <c r="C46" i="5" s="1"/>
  <c r="H20" i="3"/>
  <c r="W159" i="2"/>
  <c r="AF20" i="11"/>
  <c r="AF82" i="2" s="1"/>
  <c r="K28" i="3" s="1"/>
  <c r="W45" i="4"/>
  <c r="W46" i="4" s="1"/>
  <c r="W42" i="4"/>
  <c r="L42" i="3"/>
  <c r="AJ146" i="2"/>
  <c r="D42" i="1"/>
  <c r="D52" i="5" s="1"/>
  <c r="AE27" i="4"/>
  <c r="AE28" i="4" s="1"/>
  <c r="AD29" i="4"/>
  <c r="AE29" i="4" s="1"/>
  <c r="AH24" i="11"/>
  <c r="AI22" i="11" s="1"/>
  <c r="AF21" i="11" l="1"/>
  <c r="AG19" i="11" s="1"/>
  <c r="X40" i="4"/>
  <c r="X41" i="4" s="1"/>
  <c r="X45" i="4" s="1"/>
  <c r="X85" i="2"/>
  <c r="Y33" i="4"/>
  <c r="Y35" i="4" s="1"/>
  <c r="AJ26" i="11"/>
  <c r="AY117" i="2"/>
  <c r="AY120" i="2"/>
  <c r="AZ116" i="2" s="1"/>
  <c r="Y130" i="2"/>
  <c r="Z126" i="2" s="1"/>
  <c r="AT112" i="2"/>
  <c r="AT115" i="2" s="1"/>
  <c r="AU111" i="2" s="1"/>
  <c r="Y153" i="2"/>
  <c r="AG20" i="11"/>
  <c r="AG82" i="2" s="1"/>
  <c r="AJ148" i="2"/>
  <c r="AK146" i="2" s="1"/>
  <c r="X42" i="4"/>
  <c r="X125" i="2"/>
  <c r="Y121" i="2" s="1"/>
  <c r="AI23" i="11"/>
  <c r="AI24" i="11" s="1"/>
  <c r="AJ22" i="11" s="1"/>
  <c r="X46" i="4"/>
  <c r="W152" i="2"/>
  <c r="W156" i="2" s="1"/>
  <c r="H21" i="3"/>
  <c r="C21" i="1"/>
  <c r="AF27" i="4"/>
  <c r="AF28" i="4" s="1"/>
  <c r="AF29" i="4" s="1"/>
  <c r="Y107" i="2"/>
  <c r="H23" i="3"/>
  <c r="Z160" i="2"/>
  <c r="C23" i="1"/>
  <c r="Y102" i="2"/>
  <c r="Z99" i="2" s="1"/>
  <c r="AU112" i="2" l="1"/>
  <c r="AU115" i="2" s="1"/>
  <c r="AJ23" i="11"/>
  <c r="AJ24" i="11" s="1"/>
  <c r="AK22" i="11" s="1"/>
  <c r="I44" i="3"/>
  <c r="D44" i="1"/>
  <c r="AK148" i="2"/>
  <c r="AL146" i="2" s="1"/>
  <c r="Y36" i="4"/>
  <c r="Z127" i="2"/>
  <c r="I38" i="3" s="1"/>
  <c r="X94" i="2"/>
  <c r="X95" i="2" s="1"/>
  <c r="X96" i="2" s="1"/>
  <c r="X87" i="2"/>
  <c r="H43" i="3"/>
  <c r="X151" i="2"/>
  <c r="C43" i="1"/>
  <c r="W161" i="2"/>
  <c r="AZ117" i="2"/>
  <c r="AZ120" i="2"/>
  <c r="BA116" i="2" s="1"/>
  <c r="AG21" i="11"/>
  <c r="AH19" i="11" s="1"/>
  <c r="Z100" i="2"/>
  <c r="Z101" i="2" s="1"/>
  <c r="I35" i="3"/>
  <c r="Y154" i="2"/>
  <c r="D35" i="1"/>
  <c r="Y108" i="2"/>
  <c r="Z106" i="2" s="1"/>
  <c r="Z108" i="2" s="1"/>
  <c r="AG27" i="4"/>
  <c r="AG28" i="4" s="1"/>
  <c r="Y122" i="2"/>
  <c r="Y124" i="2" s="1"/>
  <c r="Y84" i="2" s="1"/>
  <c r="AJ27" i="11"/>
  <c r="AK25" i="11" s="1"/>
  <c r="Y40" i="4" l="1"/>
  <c r="Y41" i="4" s="1"/>
  <c r="Y85" i="2"/>
  <c r="Z153" i="2"/>
  <c r="I33" i="3"/>
  <c r="AV111" i="2"/>
  <c r="H45" i="3"/>
  <c r="C45" i="1"/>
  <c r="AL148" i="2"/>
  <c r="C100" i="5"/>
  <c r="C102" i="5" s="1"/>
  <c r="C103" i="5" s="1"/>
  <c r="C50" i="5"/>
  <c r="C72" i="5"/>
  <c r="X159" i="2"/>
  <c r="Z102" i="2"/>
  <c r="AH20" i="11"/>
  <c r="AH82" i="2" s="1"/>
  <c r="AK23" i="11"/>
  <c r="AK24" i="11" s="1"/>
  <c r="AL22" i="11" s="1"/>
  <c r="AG29" i="4"/>
  <c r="AA106" i="2"/>
  <c r="AA108" i="2" s="1"/>
  <c r="AB106" i="2" s="1"/>
  <c r="AB108" i="2" s="1"/>
  <c r="AC106" i="2" s="1"/>
  <c r="AC108" i="2" s="1"/>
  <c r="I36" i="3"/>
  <c r="BA117" i="2"/>
  <c r="BA120" i="2" s="1"/>
  <c r="BB116" i="2" s="1"/>
  <c r="X152" i="2"/>
  <c r="X156" i="2" s="1"/>
  <c r="Y151" i="2" s="1"/>
  <c r="AK26" i="11"/>
  <c r="AK27" i="11"/>
  <c r="AL25" i="11" s="1"/>
  <c r="Y125" i="2"/>
  <c r="Z121" i="2" s="1"/>
  <c r="Z129" i="2"/>
  <c r="BB117" i="2" l="1"/>
  <c r="BB120" i="2" s="1"/>
  <c r="BC116" i="2" s="1"/>
  <c r="Y159" i="2"/>
  <c r="Z83" i="2"/>
  <c r="Z130" i="2"/>
  <c r="AA126" i="2" s="1"/>
  <c r="AV112" i="2"/>
  <c r="AV115" i="2" s="1"/>
  <c r="AW111" i="2" s="1"/>
  <c r="Z122" i="2"/>
  <c r="Z124" i="2" s="1"/>
  <c r="AH27" i="4"/>
  <c r="AH28" i="4" s="1"/>
  <c r="AL27" i="11"/>
  <c r="AM25" i="11" s="1"/>
  <c r="AL26" i="11"/>
  <c r="X161" i="2"/>
  <c r="I34" i="3"/>
  <c r="AA99" i="2"/>
  <c r="M42" i="3"/>
  <c r="AM146" i="2"/>
  <c r="Y94" i="2"/>
  <c r="Y95" i="2" s="1"/>
  <c r="Y96" i="2" s="1"/>
  <c r="Y87" i="2"/>
  <c r="J36" i="3"/>
  <c r="AD106" i="2"/>
  <c r="AD108" i="2" s="1"/>
  <c r="AE106" i="2" s="1"/>
  <c r="AE108" i="2" s="1"/>
  <c r="AF106" i="2" s="1"/>
  <c r="AF108" i="2" s="1"/>
  <c r="AL23" i="11"/>
  <c r="AH21" i="11"/>
  <c r="AI19" i="11" s="1"/>
  <c r="Y45" i="4"/>
  <c r="Y46" i="4" s="1"/>
  <c r="Y42" i="4"/>
  <c r="Z84" i="2" l="1"/>
  <c r="Z125" i="2"/>
  <c r="AA121" i="2" s="1"/>
  <c r="AW112" i="2"/>
  <c r="AW115" i="2" s="1"/>
  <c r="AX111" i="2" s="1"/>
  <c r="BC117" i="2"/>
  <c r="BC120" i="2" s="1"/>
  <c r="BD116" i="2" s="1"/>
  <c r="AM26" i="11"/>
  <c r="AM27" i="11" s="1"/>
  <c r="AN25" i="11" s="1"/>
  <c r="AA127" i="2"/>
  <c r="AM148" i="2"/>
  <c r="AN146" i="2" s="1"/>
  <c r="AL24" i="11"/>
  <c r="AM22" i="11" s="1"/>
  <c r="AA100" i="2"/>
  <c r="Z33" i="4"/>
  <c r="Z35" i="4" s="1"/>
  <c r="I29" i="3"/>
  <c r="K36" i="3"/>
  <c r="AG106" i="2"/>
  <c r="AG108" i="2" s="1"/>
  <c r="AH106" i="2" s="1"/>
  <c r="AH108" i="2" s="1"/>
  <c r="AI106" i="2" s="1"/>
  <c r="AI108" i="2" s="1"/>
  <c r="Y152" i="2"/>
  <c r="Y156" i="2" s="1"/>
  <c r="Z151" i="2" s="1"/>
  <c r="AI20" i="11"/>
  <c r="AI82" i="2" s="1"/>
  <c r="AH29" i="4"/>
  <c r="AN26" i="11" l="1"/>
  <c r="BD117" i="2"/>
  <c r="BD120" i="2" s="1"/>
  <c r="BE116" i="2" s="1"/>
  <c r="AX112" i="2"/>
  <c r="AX115" i="2" s="1"/>
  <c r="AY111" i="2" s="1"/>
  <c r="AA102" i="2"/>
  <c r="AB99" i="2" s="1"/>
  <c r="AM23" i="11"/>
  <c r="AM24" i="11"/>
  <c r="AN22" i="11" s="1"/>
  <c r="AN148" i="2"/>
  <c r="AO146" i="2" s="1"/>
  <c r="AI27" i="4"/>
  <c r="AI28" i="4" s="1"/>
  <c r="L28" i="3"/>
  <c r="D28" i="1"/>
  <c r="Z159" i="2"/>
  <c r="AA129" i="2"/>
  <c r="AA83" i="2" s="1"/>
  <c r="AI21" i="11"/>
  <c r="AJ19" i="11" s="1"/>
  <c r="Z36" i="4"/>
  <c r="Y161" i="2"/>
  <c r="AA101" i="2"/>
  <c r="AA122" i="2"/>
  <c r="L36" i="3"/>
  <c r="AJ106" i="2"/>
  <c r="AJ108" i="2" s="1"/>
  <c r="AK106" i="2" s="1"/>
  <c r="D36" i="1"/>
  <c r="Z40" i="4"/>
  <c r="Z41" i="4" s="1"/>
  <c r="Z42" i="4" s="1"/>
  <c r="Z85" i="2"/>
  <c r="I30" i="3"/>
  <c r="Z45" i="4" l="1"/>
  <c r="Z46" i="4" s="1"/>
  <c r="AY112" i="2"/>
  <c r="AY115" i="2"/>
  <c r="AZ111" i="2" s="1"/>
  <c r="BE117" i="2"/>
  <c r="BE120" i="2" s="1"/>
  <c r="BF116" i="2" s="1"/>
  <c r="AA36" i="4"/>
  <c r="AB100" i="2"/>
  <c r="AB101" i="2" s="1"/>
  <c r="AJ20" i="11"/>
  <c r="AJ82" i="2" s="1"/>
  <c r="AA124" i="2"/>
  <c r="AA84" i="2" s="1"/>
  <c r="AO148" i="2"/>
  <c r="AA33" i="4"/>
  <c r="AA35" i="4" s="1"/>
  <c r="AA153" i="2"/>
  <c r="AI29" i="4"/>
  <c r="AN23" i="11"/>
  <c r="AN27" i="11"/>
  <c r="AO25" i="11" s="1"/>
  <c r="Z94" i="2"/>
  <c r="Z95" i="2" s="1"/>
  <c r="Z96" i="2" s="1"/>
  <c r="Z87" i="2"/>
  <c r="I20" i="3"/>
  <c r="AA130" i="2"/>
  <c r="AB126" i="2" s="1"/>
  <c r="AB153" i="2" l="1"/>
  <c r="BF117" i="2"/>
  <c r="BF120" i="2" s="1"/>
  <c r="BG116" i="2" s="1"/>
  <c r="AB127" i="2"/>
  <c r="AO26" i="11"/>
  <c r="AJ27" i="4"/>
  <c r="AJ28" i="4" s="1"/>
  <c r="AJ29" i="4" s="1"/>
  <c r="AA125" i="2"/>
  <c r="AB121" i="2" s="1"/>
  <c r="I23" i="3"/>
  <c r="AB102" i="2"/>
  <c r="AC99" i="2" s="1"/>
  <c r="AN24" i="11"/>
  <c r="AO22" i="11" s="1"/>
  <c r="AZ112" i="2"/>
  <c r="AZ115" i="2" s="1"/>
  <c r="BA111" i="2" s="1"/>
  <c r="Z152" i="2"/>
  <c r="I21" i="3"/>
  <c r="AA40" i="4"/>
  <c r="AA41" i="4" s="1"/>
  <c r="AA42" i="4" s="1"/>
  <c r="AA85" i="2"/>
  <c r="AJ21" i="11"/>
  <c r="AK19" i="11" s="1"/>
  <c r="AP146" i="2"/>
  <c r="N42" i="3"/>
  <c r="BA112" i="2" l="1"/>
  <c r="BA115" i="2"/>
  <c r="BB111" i="2" s="1"/>
  <c r="BG117" i="2"/>
  <c r="BG120" i="2" s="1"/>
  <c r="BH116" i="2" s="1"/>
  <c r="AB129" i="2"/>
  <c r="AB83" i="2" s="1"/>
  <c r="AA94" i="2"/>
  <c r="AA95" i="2" s="1"/>
  <c r="AA96" i="2" s="1"/>
  <c r="AA87" i="2"/>
  <c r="AO23" i="11"/>
  <c r="AO24" i="11" s="1"/>
  <c r="AP22" i="11" s="1"/>
  <c r="AK20" i="11"/>
  <c r="AK82" i="2" s="1"/>
  <c r="Z156" i="2"/>
  <c r="Z161" i="2"/>
  <c r="I45" i="3" s="1"/>
  <c r="AC100" i="2"/>
  <c r="AC101" i="2"/>
  <c r="AO27" i="11"/>
  <c r="AP25" i="11" s="1"/>
  <c r="AP148" i="2"/>
  <c r="AQ146" i="2" s="1"/>
  <c r="AA45" i="4"/>
  <c r="AA46" i="4" s="1"/>
  <c r="AB122" i="2"/>
  <c r="AC102" i="2" l="1"/>
  <c r="AB124" i="2"/>
  <c r="AB84" i="2" s="1"/>
  <c r="AP23" i="11"/>
  <c r="J34" i="3"/>
  <c r="AD99" i="2"/>
  <c r="BH117" i="2"/>
  <c r="BH120" i="2" s="1"/>
  <c r="BI116" i="2" s="1"/>
  <c r="AK21" i="11"/>
  <c r="AL19" i="11" s="1"/>
  <c r="AC153" i="2"/>
  <c r="J33" i="3"/>
  <c r="AB40" i="4"/>
  <c r="AB41" i="4" s="1"/>
  <c r="AB42" i="4" s="1"/>
  <c r="AB85" i="2"/>
  <c r="AP26" i="11"/>
  <c r="AP27" i="11" s="1"/>
  <c r="AQ25" i="11" s="1"/>
  <c r="AB130" i="2"/>
  <c r="AC126" i="2" s="1"/>
  <c r="AK27" i="4"/>
  <c r="AK28" i="4" s="1"/>
  <c r="AQ148" i="2"/>
  <c r="AR146" i="2" s="1"/>
  <c r="BB112" i="2"/>
  <c r="BB115" i="2"/>
  <c r="BC111" i="2" s="1"/>
  <c r="AB33" i="4"/>
  <c r="AB35" i="4" s="1"/>
  <c r="AA152" i="2"/>
  <c r="I43" i="3"/>
  <c r="AA151" i="2"/>
  <c r="AB125" i="2" l="1"/>
  <c r="AC121" i="2" s="1"/>
  <c r="AQ26" i="11"/>
  <c r="AQ27" i="11"/>
  <c r="AR25" i="11" s="1"/>
  <c r="BI117" i="2"/>
  <c r="BI120" i="2"/>
  <c r="BJ116" i="2" s="1"/>
  <c r="AD100" i="2"/>
  <c r="AD101" i="2" s="1"/>
  <c r="BC112" i="2"/>
  <c r="BC115" i="2" s="1"/>
  <c r="BD111" i="2" s="1"/>
  <c r="AP24" i="11"/>
  <c r="AQ22" i="11" s="1"/>
  <c r="AB45" i="4"/>
  <c r="AB46" i="4" s="1"/>
  <c r="AB36" i="4"/>
  <c r="AR148" i="2"/>
  <c r="AC127" i="2"/>
  <c r="J38" i="3" s="1"/>
  <c r="AC129" i="2"/>
  <c r="AC83" i="2" s="1"/>
  <c r="AB94" i="2"/>
  <c r="AB95" i="2" s="1"/>
  <c r="AB96" i="2" s="1"/>
  <c r="AB87" i="2"/>
  <c r="AA156" i="2"/>
  <c r="AB151" i="2" s="1"/>
  <c r="AA159" i="2"/>
  <c r="AA161" i="2" s="1"/>
  <c r="AK29" i="4"/>
  <c r="AL20" i="11"/>
  <c r="AL82" i="2" s="1"/>
  <c r="AC122" i="2" l="1"/>
  <c r="BD112" i="2"/>
  <c r="BD115" i="2"/>
  <c r="BE111" i="2" s="1"/>
  <c r="AD153" i="2"/>
  <c r="AD102" i="2"/>
  <c r="AE99" i="2" s="1"/>
  <c r="AL27" i="4"/>
  <c r="AL28" i="4" s="1"/>
  <c r="M28" i="3"/>
  <c r="BJ117" i="2"/>
  <c r="BJ120" i="2" s="1"/>
  <c r="BK116" i="2" s="1"/>
  <c r="O42" i="3"/>
  <c r="AS146" i="2"/>
  <c r="AL21" i="11"/>
  <c r="AM19" i="11" s="1"/>
  <c r="AC36" i="4"/>
  <c r="AC130" i="2"/>
  <c r="AD126" i="2" s="1"/>
  <c r="AB152" i="2"/>
  <c r="AB156" i="2" s="1"/>
  <c r="AC151" i="2" s="1"/>
  <c r="AQ23" i="11"/>
  <c r="AB159" i="2"/>
  <c r="AR26" i="11"/>
  <c r="AR27" i="11"/>
  <c r="AS25" i="11" s="1"/>
  <c r="AC33" i="4"/>
  <c r="AC35" i="4" s="1"/>
  <c r="J29" i="3"/>
  <c r="AB161" i="2" l="1"/>
  <c r="AC124" i="2"/>
  <c r="AC84" i="2" s="1"/>
  <c r="BK117" i="2"/>
  <c r="BK120" i="2" s="1"/>
  <c r="BL116" i="2" s="1"/>
  <c r="AC159" i="2"/>
  <c r="AE100" i="2"/>
  <c r="AS148" i="2"/>
  <c r="AT146" i="2" s="1"/>
  <c r="AS26" i="11"/>
  <c r="AS27" i="11"/>
  <c r="AT25" i="11" s="1"/>
  <c r="AM20" i="11"/>
  <c r="AM82" i="2" s="1"/>
  <c r="AM21" i="11"/>
  <c r="AN19" i="11" s="1"/>
  <c r="AD127" i="2"/>
  <c r="AD129" i="2" s="1"/>
  <c r="BE112" i="2"/>
  <c r="BE115" i="2" s="1"/>
  <c r="BF111" i="2" s="1"/>
  <c r="AQ24" i="11"/>
  <c r="AR22" i="11" s="1"/>
  <c r="AL29" i="4"/>
  <c r="AC40" i="4" l="1"/>
  <c r="AC41" i="4" s="1"/>
  <c r="J30" i="3"/>
  <c r="AC85" i="2"/>
  <c r="AC125" i="2"/>
  <c r="AD121" i="2" s="1"/>
  <c r="BF112" i="2"/>
  <c r="BF115" i="2" s="1"/>
  <c r="BG111" i="2" s="1"/>
  <c r="AD83" i="2"/>
  <c r="AD130" i="2"/>
  <c r="AE126" i="2" s="1"/>
  <c r="BL117" i="2"/>
  <c r="BL120" i="2" s="1"/>
  <c r="BM116" i="2" s="1"/>
  <c r="AM27" i="4"/>
  <c r="AM28" i="4" s="1"/>
  <c r="AM29" i="4" s="1"/>
  <c r="AN21" i="11"/>
  <c r="AO19" i="11" s="1"/>
  <c r="AN20" i="11"/>
  <c r="AN82" i="2" s="1"/>
  <c r="AT148" i="2"/>
  <c r="AU146" i="2" s="1"/>
  <c r="AE101" i="2"/>
  <c r="AT26" i="11"/>
  <c r="AT27" i="11"/>
  <c r="AU25" i="11" s="1"/>
  <c r="AR23" i="11"/>
  <c r="AR24" i="11" s="1"/>
  <c r="AS22" i="11" s="1"/>
  <c r="J20" i="3" l="1"/>
  <c r="AC87" i="2"/>
  <c r="AC94" i="2"/>
  <c r="AC95" i="2" s="1"/>
  <c r="AC96" i="2" s="1"/>
  <c r="J23" i="3" s="1"/>
  <c r="AD122" i="2"/>
  <c r="AD124" i="2" s="1"/>
  <c r="AD84" i="2" s="1"/>
  <c r="AD40" i="4" s="1"/>
  <c r="AD41" i="4" s="1"/>
  <c r="AD125" i="2"/>
  <c r="AE121" i="2" s="1"/>
  <c r="AC42" i="4"/>
  <c r="AC45" i="4"/>
  <c r="AC46" i="4" s="1"/>
  <c r="BG112" i="2"/>
  <c r="BG115" i="2" s="1"/>
  <c r="AS23" i="11"/>
  <c r="AO20" i="11"/>
  <c r="AO82" i="2" s="1"/>
  <c r="AE153" i="2"/>
  <c r="AE102" i="2"/>
  <c r="AF99" i="2" s="1"/>
  <c r="AE127" i="2"/>
  <c r="AE129" i="2" s="1"/>
  <c r="AE83" i="2" s="1"/>
  <c r="AU26" i="11"/>
  <c r="AD33" i="4"/>
  <c r="AD35" i="4" s="1"/>
  <c r="AD85" i="2"/>
  <c r="AN29" i="4"/>
  <c r="BM117" i="2"/>
  <c r="BM120" i="2" s="1"/>
  <c r="BN116" i="2" s="1"/>
  <c r="AU148" i="2"/>
  <c r="AN27" i="4"/>
  <c r="AN28" i="4" s="1"/>
  <c r="AE122" i="2" l="1"/>
  <c r="AD42" i="4"/>
  <c r="AC152" i="2"/>
  <c r="J21" i="3"/>
  <c r="AE33" i="4"/>
  <c r="AE35" i="4" s="1"/>
  <c r="BN117" i="2"/>
  <c r="BN120" i="2" s="1"/>
  <c r="BO116" i="2" s="1"/>
  <c r="AF100" i="2"/>
  <c r="AD94" i="2"/>
  <c r="AD95" i="2" s="1"/>
  <c r="AD96" i="2" s="1"/>
  <c r="AD87" i="2"/>
  <c r="AO21" i="11"/>
  <c r="AP19" i="11" s="1"/>
  <c r="AO27" i="4"/>
  <c r="AO28" i="4" s="1"/>
  <c r="N28" i="3"/>
  <c r="AE130" i="2"/>
  <c r="AF126" i="2" s="1"/>
  <c r="BH111" i="2"/>
  <c r="AU27" i="11"/>
  <c r="AV25" i="11" s="1"/>
  <c r="P42" i="3"/>
  <c r="AV146" i="2"/>
  <c r="E42" i="1"/>
  <c r="AD45" i="4"/>
  <c r="AD46" i="4" s="1"/>
  <c r="AD36" i="4"/>
  <c r="AS24" i="11"/>
  <c r="AT22" i="11" s="1"/>
  <c r="AC156" i="2" l="1"/>
  <c r="AC161" i="2"/>
  <c r="J45" i="3" s="1"/>
  <c r="AE125" i="2"/>
  <c r="AF121" i="2" s="1"/>
  <c r="AF122" i="2" s="1"/>
  <c r="AF124" i="2" s="1"/>
  <c r="AF84" i="2" s="1"/>
  <c r="AF40" i="4" s="1"/>
  <c r="AF41" i="4" s="1"/>
  <c r="AE36" i="4"/>
  <c r="AF101" i="2"/>
  <c r="AF153" i="2" s="1"/>
  <c r="AE124" i="2"/>
  <c r="AE84" i="2" s="1"/>
  <c r="K30" i="3"/>
  <c r="AF127" i="2"/>
  <c r="K38" i="3" s="1"/>
  <c r="AD152" i="2"/>
  <c r="AV26" i="11"/>
  <c r="AV27" i="11" s="1"/>
  <c r="AW25" i="11" s="1"/>
  <c r="BO117" i="2"/>
  <c r="BO120" i="2" s="1"/>
  <c r="BP116" i="2" s="1"/>
  <c r="AT23" i="11"/>
  <c r="AT24" i="11" s="1"/>
  <c r="AU22" i="11" s="1"/>
  <c r="AF125" i="2"/>
  <c r="AG121" i="2" s="1"/>
  <c r="AO29" i="4"/>
  <c r="AV148" i="2"/>
  <c r="AW146" i="2" s="1"/>
  <c r="AP20" i="11"/>
  <c r="AP82" i="2" s="1"/>
  <c r="E52" i="5"/>
  <c r="D71" i="5"/>
  <c r="BH112" i="2"/>
  <c r="BH115" i="2" s="1"/>
  <c r="BI111" i="2" s="1"/>
  <c r="K33" i="3" l="1"/>
  <c r="AP21" i="11"/>
  <c r="AQ19" i="11" s="1"/>
  <c r="AF129" i="2"/>
  <c r="AF83" i="2" s="1"/>
  <c r="AF85" i="2" s="1"/>
  <c r="AF87" i="2" s="1"/>
  <c r="AF102" i="2"/>
  <c r="AE40" i="4"/>
  <c r="AE41" i="4" s="1"/>
  <c r="AE85" i="2"/>
  <c r="K20" i="3" s="1"/>
  <c r="J43" i="3"/>
  <c r="AD151" i="2"/>
  <c r="AD159" i="2" s="1"/>
  <c r="AD161" i="2" s="1"/>
  <c r="BP117" i="2"/>
  <c r="BP120" i="2"/>
  <c r="BQ116" i="2" s="1"/>
  <c r="BI112" i="2"/>
  <c r="BI115" i="2" s="1"/>
  <c r="BJ111" i="2" s="1"/>
  <c r="AP27" i="4"/>
  <c r="AP28" i="4" s="1"/>
  <c r="AP29" i="4" s="1"/>
  <c r="AW26" i="11"/>
  <c r="AU23" i="11"/>
  <c r="AQ20" i="11"/>
  <c r="AQ82" i="2" s="1"/>
  <c r="AG122" i="2"/>
  <c r="AG124" i="2"/>
  <c r="AG84" i="2" s="1"/>
  <c r="AF33" i="4"/>
  <c r="AF35" i="4" s="1"/>
  <c r="K29" i="3"/>
  <c r="AW148" i="2"/>
  <c r="AX146" i="2" s="1"/>
  <c r="AE42" i="4" l="1"/>
  <c r="AF42" i="4" s="1"/>
  <c r="AE45" i="4"/>
  <c r="AE46" i="4" s="1"/>
  <c r="AF94" i="2"/>
  <c r="AF95" i="2" s="1"/>
  <c r="AF96" i="2" s="1"/>
  <c r="AE94" i="2"/>
  <c r="AE95" i="2" s="1"/>
  <c r="AE96" i="2" s="1"/>
  <c r="K23" i="3" s="1"/>
  <c r="AE87" i="2"/>
  <c r="AD156" i="2"/>
  <c r="AE151" i="2" s="1"/>
  <c r="K34" i="3"/>
  <c r="AG99" i="2"/>
  <c r="AF130" i="2"/>
  <c r="AG126" i="2" s="1"/>
  <c r="BJ112" i="2"/>
  <c r="BJ115" i="2"/>
  <c r="BK111" i="2" s="1"/>
  <c r="AF45" i="4"/>
  <c r="AF46" i="4" s="1"/>
  <c r="AF36" i="4"/>
  <c r="AU24" i="11"/>
  <c r="AV22" i="11" s="1"/>
  <c r="AQ27" i="4"/>
  <c r="AQ28" i="4" s="1"/>
  <c r="AQ21" i="11"/>
  <c r="AR19" i="11" s="1"/>
  <c r="BQ117" i="2"/>
  <c r="BQ120" i="2" s="1"/>
  <c r="BR116" i="2" s="1"/>
  <c r="AX148" i="2"/>
  <c r="AG40" i="4"/>
  <c r="AG41" i="4" s="1"/>
  <c r="AG42" i="4" s="1"/>
  <c r="AG125" i="2"/>
  <c r="AH121" i="2" s="1"/>
  <c r="AF152" i="2"/>
  <c r="AW27" i="11"/>
  <c r="AX25" i="11" s="1"/>
  <c r="AG100" i="2" l="1"/>
  <c r="AG127" i="2"/>
  <c r="AG130" i="2" s="1"/>
  <c r="AH126" i="2" s="1"/>
  <c r="AG129" i="2"/>
  <c r="AG83" i="2" s="1"/>
  <c r="AG33" i="4" s="1"/>
  <c r="AG35" i="4" s="1"/>
  <c r="AE159" i="2"/>
  <c r="AE152" i="2"/>
  <c r="AE156" i="2" s="1"/>
  <c r="AF151" i="2" s="1"/>
  <c r="K21" i="3"/>
  <c r="BR117" i="2"/>
  <c r="BR120" i="2" s="1"/>
  <c r="BS116" i="2" s="1"/>
  <c r="AV23" i="11"/>
  <c r="AH122" i="2"/>
  <c r="AG85" i="2"/>
  <c r="BK112" i="2"/>
  <c r="BK115" i="2" s="1"/>
  <c r="BL111" i="2" s="1"/>
  <c r="AX26" i="11"/>
  <c r="AQ29" i="4"/>
  <c r="AY146" i="2"/>
  <c r="Q42" i="3"/>
  <c r="AR20" i="11"/>
  <c r="AR82" i="2" s="1"/>
  <c r="AR21" i="11"/>
  <c r="AS19" i="11" s="1"/>
  <c r="AF159" i="2" l="1"/>
  <c r="AF161" i="2" s="1"/>
  <c r="K45" i="3" s="1"/>
  <c r="AF156" i="2"/>
  <c r="AG45" i="4"/>
  <c r="AG46" i="4" s="1"/>
  <c r="AG36" i="4"/>
  <c r="AH129" i="2"/>
  <c r="AH83" i="2" s="1"/>
  <c r="AH33" i="4" s="1"/>
  <c r="AH35" i="4" s="1"/>
  <c r="AH36" i="4" s="1"/>
  <c r="AH127" i="2"/>
  <c r="AE161" i="2"/>
  <c r="AG102" i="2"/>
  <c r="AH99" i="2" s="1"/>
  <c r="AG101" i="2"/>
  <c r="AG153" i="2" s="1"/>
  <c r="BL112" i="2"/>
  <c r="BL115" i="2" s="1"/>
  <c r="BM111" i="2" s="1"/>
  <c r="AH125" i="2"/>
  <c r="AI121" i="2" s="1"/>
  <c r="BS117" i="2"/>
  <c r="BS120" i="2" s="1"/>
  <c r="BT116" i="2" s="1"/>
  <c r="AS20" i="11"/>
  <c r="AS82" i="2" s="1"/>
  <c r="AR29" i="4"/>
  <c r="AH124" i="2"/>
  <c r="AH84" i="2" s="1"/>
  <c r="AR27" i="4"/>
  <c r="AR28" i="4" s="1"/>
  <c r="O28" i="3"/>
  <c r="AV24" i="11"/>
  <c r="AW22" i="11" s="1"/>
  <c r="AY148" i="2"/>
  <c r="AZ146" i="2" s="1"/>
  <c r="AG94" i="2"/>
  <c r="AG95" i="2" s="1"/>
  <c r="AG96" i="2" s="1"/>
  <c r="AG87" i="2"/>
  <c r="AX27" i="11"/>
  <c r="AY25" i="11" s="1"/>
  <c r="AH100" i="2" l="1"/>
  <c r="AH101" i="2" s="1"/>
  <c r="AG151" i="2"/>
  <c r="AG159" i="2" s="1"/>
  <c r="K43" i="3"/>
  <c r="AH130" i="2"/>
  <c r="AI126" i="2" s="1"/>
  <c r="BT117" i="2"/>
  <c r="BT120" i="2" s="1"/>
  <c r="BU116" i="2" s="1"/>
  <c r="BM112" i="2"/>
  <c r="BM115" i="2" s="1"/>
  <c r="BN111" i="2" s="1"/>
  <c r="AS21" i="11"/>
  <c r="AT19" i="11" s="1"/>
  <c r="AW23" i="11"/>
  <c r="AI122" i="2"/>
  <c r="AI124" i="2" s="1"/>
  <c r="AI84" i="2" s="1"/>
  <c r="AS27" i="4"/>
  <c r="AS28" i="4" s="1"/>
  <c r="AG152" i="2"/>
  <c r="AG156" i="2" s="1"/>
  <c r="AH151" i="2" s="1"/>
  <c r="AS29" i="4"/>
  <c r="AI127" i="2"/>
  <c r="L38" i="3" s="1"/>
  <c r="AY26" i="11"/>
  <c r="AY27" i="11"/>
  <c r="AZ25" i="11" s="1"/>
  <c r="AZ148" i="2"/>
  <c r="BA146" i="2" s="1"/>
  <c r="AH40" i="4"/>
  <c r="AH41" i="4" s="1"/>
  <c r="AH85" i="2"/>
  <c r="AH153" i="2" l="1"/>
  <c r="AH102" i="2"/>
  <c r="AI99" i="2" s="1"/>
  <c r="AI100" i="2" s="1"/>
  <c r="AI101" i="2" s="1"/>
  <c r="AI40" i="4"/>
  <c r="AI41" i="4" s="1"/>
  <c r="L30" i="3"/>
  <c r="D30" i="1"/>
  <c r="AI153" i="2"/>
  <c r="L33" i="3"/>
  <c r="D33" i="1"/>
  <c r="BN112" i="2"/>
  <c r="BN115" i="2" s="1"/>
  <c r="BO111" i="2" s="1"/>
  <c r="BU117" i="2"/>
  <c r="BU120" i="2" s="1"/>
  <c r="BV116" i="2" s="1"/>
  <c r="AI102" i="2"/>
  <c r="AT20" i="11"/>
  <c r="AT82" i="2" s="1"/>
  <c r="AZ26" i="11"/>
  <c r="AZ27" i="11"/>
  <c r="BA25" i="11" s="1"/>
  <c r="AI125" i="2"/>
  <c r="AH94" i="2"/>
  <c r="AH95" i="2" s="1"/>
  <c r="AH96" i="2" s="1"/>
  <c r="AH87" i="2"/>
  <c r="AI129" i="2"/>
  <c r="AI83" i="2" s="1"/>
  <c r="AH42" i="4"/>
  <c r="AI42" i="4" s="1"/>
  <c r="AH45" i="4"/>
  <c r="AH46" i="4" s="1"/>
  <c r="AG161" i="2"/>
  <c r="AW24" i="11"/>
  <c r="AX22" i="11" s="1"/>
  <c r="AH159" i="2"/>
  <c r="BA148" i="2"/>
  <c r="AT21" i="11" l="1"/>
  <c r="AU19" i="11" s="1"/>
  <c r="BV117" i="2"/>
  <c r="BV120" i="2" s="1"/>
  <c r="BW116" i="2" s="1"/>
  <c r="BA26" i="11"/>
  <c r="BA27" i="11" s="1"/>
  <c r="BB25" i="11" s="1"/>
  <c r="AI33" i="4"/>
  <c r="AI35" i="4" s="1"/>
  <c r="AI85" i="2"/>
  <c r="D29" i="1"/>
  <c r="L29" i="3"/>
  <c r="AX23" i="11"/>
  <c r="AX24" i="11" s="1"/>
  <c r="AY22" i="11" s="1"/>
  <c r="L34" i="3"/>
  <c r="AJ99" i="2"/>
  <c r="D34" i="1"/>
  <c r="AI130" i="2"/>
  <c r="AJ126" i="2" s="1"/>
  <c r="AT27" i="4"/>
  <c r="AT28" i="4" s="1"/>
  <c r="BO112" i="2"/>
  <c r="BO115" i="2"/>
  <c r="BP111" i="2" s="1"/>
  <c r="AU20" i="11"/>
  <c r="AU82" i="2" s="1"/>
  <c r="AH152" i="2"/>
  <c r="AH156" i="2" s="1"/>
  <c r="AI151" i="2" s="1"/>
  <c r="R42" i="3"/>
  <c r="BB146" i="2"/>
  <c r="AJ121" i="2"/>
  <c r="BB26" i="11" l="1"/>
  <c r="BW117" i="2"/>
  <c r="BW120" i="2"/>
  <c r="BX116" i="2" s="1"/>
  <c r="AJ127" i="2"/>
  <c r="AJ129" i="2"/>
  <c r="AJ83" i="2" s="1"/>
  <c r="BP112" i="2"/>
  <c r="BP115" i="2" s="1"/>
  <c r="BQ111" i="2" s="1"/>
  <c r="AI94" i="2"/>
  <c r="AI95" i="2" s="1"/>
  <c r="AI96" i="2" s="1"/>
  <c r="AI87" i="2"/>
  <c r="D20" i="1"/>
  <c r="D46" i="5" s="1"/>
  <c r="L20" i="3"/>
  <c r="D38" i="1"/>
  <c r="AU27" i="4"/>
  <c r="AU28" i="4" s="1"/>
  <c r="AJ100" i="2"/>
  <c r="AJ101" i="2"/>
  <c r="P28" i="3"/>
  <c r="AY23" i="11"/>
  <c r="AY24" i="11" s="1"/>
  <c r="AZ22" i="11" s="1"/>
  <c r="AI159" i="2"/>
  <c r="AT29" i="4"/>
  <c r="AI45" i="4"/>
  <c r="AI46" i="4" s="1"/>
  <c r="AI36" i="4"/>
  <c r="E28" i="1"/>
  <c r="AJ122" i="2"/>
  <c r="AJ124" i="2" s="1"/>
  <c r="BB148" i="2"/>
  <c r="BC146" i="2" s="1"/>
  <c r="AU21" i="11"/>
  <c r="AV19" i="11" s="1"/>
  <c r="AH161" i="2"/>
  <c r="AJ102" i="2" l="1"/>
  <c r="AK99" i="2" s="1"/>
  <c r="AU29" i="4"/>
  <c r="AJ84" i="2"/>
  <c r="AJ125" i="2"/>
  <c r="AK121" i="2" s="1"/>
  <c r="BQ112" i="2"/>
  <c r="BQ115" i="2"/>
  <c r="BR111" i="2" s="1"/>
  <c r="AK100" i="2"/>
  <c r="AK101" i="2"/>
  <c r="AK153" i="2" s="1"/>
  <c r="AJ33" i="4"/>
  <c r="AJ35" i="4" s="1"/>
  <c r="AZ23" i="11"/>
  <c r="BX117" i="2"/>
  <c r="BX120" i="2"/>
  <c r="BY116" i="2" s="1"/>
  <c r="AV20" i="11"/>
  <c r="AV82" i="2" s="1"/>
  <c r="BC148" i="2"/>
  <c r="BD146" i="2" s="1"/>
  <c r="AJ130" i="2"/>
  <c r="AK126" i="2" s="1"/>
  <c r="AJ153" i="2"/>
  <c r="AK107" i="2"/>
  <c r="D23" i="1"/>
  <c r="L23" i="3"/>
  <c r="AL160" i="2"/>
  <c r="AJ36" i="4"/>
  <c r="AI152" i="2"/>
  <c r="AI156" i="2" s="1"/>
  <c r="L21" i="3"/>
  <c r="D21" i="1"/>
  <c r="BB27" i="11"/>
  <c r="BC25" i="11" s="1"/>
  <c r="AI161" i="2" l="1"/>
  <c r="L45" i="3" s="1"/>
  <c r="AK102" i="2"/>
  <c r="AL99" i="2" s="1"/>
  <c r="AL100" i="2"/>
  <c r="M35" i="3"/>
  <c r="AK154" i="2"/>
  <c r="E35" i="1"/>
  <c r="AK108" i="2"/>
  <c r="AL106" i="2" s="1"/>
  <c r="AL108" i="2" s="1"/>
  <c r="AV27" i="4"/>
  <c r="AV28" i="4" s="1"/>
  <c r="BC27" i="11"/>
  <c r="BD25" i="11" s="1"/>
  <c r="BC26" i="11"/>
  <c r="BR112" i="2"/>
  <c r="BR115" i="2" s="1"/>
  <c r="BS111" i="2" s="1"/>
  <c r="M44" i="3"/>
  <c r="E44" i="1"/>
  <c r="BY117" i="2"/>
  <c r="BY120" i="2" s="1"/>
  <c r="BZ116" i="2" s="1"/>
  <c r="AK127" i="2"/>
  <c r="AZ24" i="11"/>
  <c r="BA22" i="11" s="1"/>
  <c r="BD148" i="2"/>
  <c r="AK122" i="2"/>
  <c r="AK124" i="2"/>
  <c r="AK84" i="2" s="1"/>
  <c r="L43" i="3"/>
  <c r="AJ151" i="2"/>
  <c r="D43" i="1"/>
  <c r="AV21" i="11"/>
  <c r="AW19" i="11" s="1"/>
  <c r="AJ40" i="4"/>
  <c r="AJ41" i="4" s="1"/>
  <c r="AJ42" i="4" s="1"/>
  <c r="AJ85" i="2"/>
  <c r="AK129" i="2" l="1"/>
  <c r="AK83" i="2" s="1"/>
  <c r="D45" i="1"/>
  <c r="AJ45" i="4"/>
  <c r="AJ46" i="4" s="1"/>
  <c r="AK125" i="2"/>
  <c r="AL121" i="2" s="1"/>
  <c r="AL124" i="2" s="1"/>
  <c r="AL84" i="2" s="1"/>
  <c r="AL122" i="2"/>
  <c r="BS112" i="2"/>
  <c r="BS115" i="2" s="1"/>
  <c r="AK42" i="4"/>
  <c r="AV29" i="4"/>
  <c r="BZ117" i="2"/>
  <c r="BZ120" i="2" s="1"/>
  <c r="CA116" i="2" s="1"/>
  <c r="AW20" i="11"/>
  <c r="AW82" i="2" s="1"/>
  <c r="BD26" i="11"/>
  <c r="M36" i="3"/>
  <c r="AM106" i="2"/>
  <c r="AM108" i="2" s="1"/>
  <c r="AN106" i="2" s="1"/>
  <c r="AN108" i="2" s="1"/>
  <c r="AO106" i="2" s="1"/>
  <c r="AO108" i="2" s="1"/>
  <c r="D50" i="5"/>
  <c r="D100" i="5"/>
  <c r="D102" i="5" s="1"/>
  <c r="D103" i="5" s="1"/>
  <c r="AJ159" i="2"/>
  <c r="S42" i="3"/>
  <c r="BE146" i="2"/>
  <c r="AL101" i="2"/>
  <c r="AK33" i="4"/>
  <c r="AK35" i="4" s="1"/>
  <c r="AK40" i="4"/>
  <c r="AK41" i="4" s="1"/>
  <c r="AK85" i="2"/>
  <c r="AJ94" i="2"/>
  <c r="AJ95" i="2" s="1"/>
  <c r="AJ96" i="2" s="1"/>
  <c r="AJ87" i="2"/>
  <c r="BA23" i="11"/>
  <c r="BA24" i="11" s="1"/>
  <c r="BB22" i="11" s="1"/>
  <c r="AK130" i="2" l="1"/>
  <c r="AL126" i="2" s="1"/>
  <c r="CA117" i="2"/>
  <c r="CA120" i="2" s="1"/>
  <c r="CB116" i="2" s="1"/>
  <c r="BT111" i="2"/>
  <c r="N36" i="3"/>
  <c r="AP106" i="2"/>
  <c r="AP108" i="2" s="1"/>
  <c r="AQ106" i="2" s="1"/>
  <c r="AQ108" i="2" s="1"/>
  <c r="AR106" i="2" s="1"/>
  <c r="AR108" i="2" s="1"/>
  <c r="AL125" i="2"/>
  <c r="AM121" i="2" s="1"/>
  <c r="AJ152" i="2"/>
  <c r="AJ156" i="2" s="1"/>
  <c r="AK151" i="2" s="1"/>
  <c r="AW29" i="4"/>
  <c r="AL40" i="4"/>
  <c r="AL41" i="4" s="1"/>
  <c r="BD27" i="11"/>
  <c r="BE25" i="11" s="1"/>
  <c r="M30" i="3"/>
  <c r="AW27" i="4"/>
  <c r="AW28" i="4" s="1"/>
  <c r="AL42" i="4"/>
  <c r="AK45" i="4"/>
  <c r="AK46" i="4" s="1"/>
  <c r="AK36" i="4"/>
  <c r="AL153" i="2"/>
  <c r="M33" i="3"/>
  <c r="AJ161" i="2"/>
  <c r="AW21" i="11"/>
  <c r="AX19" i="11" s="1"/>
  <c r="AL102" i="2"/>
  <c r="BE148" i="2"/>
  <c r="BF146" i="2" s="1"/>
  <c r="AK94" i="2"/>
  <c r="AK95" i="2" s="1"/>
  <c r="AK96" i="2" s="1"/>
  <c r="AK87" i="2"/>
  <c r="AK152" i="2" s="1"/>
  <c r="BB23" i="11"/>
  <c r="BB24" i="11"/>
  <c r="BC22" i="11" s="1"/>
  <c r="AL127" i="2" l="1"/>
  <c r="CB117" i="2"/>
  <c r="CB120" i="2" s="1"/>
  <c r="CC116" i="2" s="1"/>
  <c r="AX20" i="11"/>
  <c r="AX82" i="2" s="1"/>
  <c r="AM122" i="2"/>
  <c r="AM124" i="2" s="1"/>
  <c r="AM84" i="2" s="1"/>
  <c r="O36" i="3"/>
  <c r="AS106" i="2"/>
  <c r="AS108" i="2" s="1"/>
  <c r="AT106" i="2" s="1"/>
  <c r="AT108" i="2" s="1"/>
  <c r="AU106" i="2" s="1"/>
  <c r="AU108" i="2" s="1"/>
  <c r="BF148" i="2"/>
  <c r="BG146" i="2" s="1"/>
  <c r="M34" i="3"/>
  <c r="AM99" i="2"/>
  <c r="BT112" i="2"/>
  <c r="BT115" i="2" s="1"/>
  <c r="BU111" i="2" s="1"/>
  <c r="BE26" i="11"/>
  <c r="BE27" i="11" s="1"/>
  <c r="BF25" i="11" s="1"/>
  <c r="BC23" i="11"/>
  <c r="BC24" i="11"/>
  <c r="BD22" i="11" s="1"/>
  <c r="AK156" i="2"/>
  <c r="AL151" i="2" s="1"/>
  <c r="AK159" i="2"/>
  <c r="AK161" i="2" s="1"/>
  <c r="AM125" i="2" l="1"/>
  <c r="AN121" i="2" s="1"/>
  <c r="M38" i="3"/>
  <c r="AL129" i="2"/>
  <c r="AL83" i="2" s="1"/>
  <c r="BU112" i="2"/>
  <c r="BU115" i="2" s="1"/>
  <c r="BV111" i="2" s="1"/>
  <c r="CC117" i="2"/>
  <c r="CC120" i="2" s="1"/>
  <c r="CD116" i="2" s="1"/>
  <c r="BD23" i="11"/>
  <c r="P36" i="3"/>
  <c r="AV106" i="2"/>
  <c r="AV108" i="2" s="1"/>
  <c r="AW106" i="2" s="1"/>
  <c r="E36" i="1"/>
  <c r="AN122" i="2"/>
  <c r="BF26" i="11"/>
  <c r="AX27" i="4"/>
  <c r="AX28" i="4" s="1"/>
  <c r="Q28" i="3"/>
  <c r="AM100" i="2"/>
  <c r="AM101" i="2" s="1"/>
  <c r="AM102" i="2" s="1"/>
  <c r="AN99" i="2" s="1"/>
  <c r="AL159" i="2"/>
  <c r="BG148" i="2"/>
  <c r="AX21" i="11"/>
  <c r="AY19" i="11" s="1"/>
  <c r="AM40" i="4"/>
  <c r="AM41" i="4" s="1"/>
  <c r="AM42" i="4" s="1"/>
  <c r="AL130" i="2" l="1"/>
  <c r="AM126" i="2" s="1"/>
  <c r="AL33" i="4"/>
  <c r="AL35" i="4" s="1"/>
  <c r="M29" i="3"/>
  <c r="AL85" i="2"/>
  <c r="AN100" i="2"/>
  <c r="AN101" i="2" s="1"/>
  <c r="CD117" i="2"/>
  <c r="CD120" i="2" s="1"/>
  <c r="CE116" i="2" s="1"/>
  <c r="BV115" i="2"/>
  <c r="BW111" i="2" s="1"/>
  <c r="BV112" i="2"/>
  <c r="AM153" i="2"/>
  <c r="AN124" i="2"/>
  <c r="AN84" i="2" s="1"/>
  <c r="AY20" i="11"/>
  <c r="AY82" i="2" s="1"/>
  <c r="BH146" i="2"/>
  <c r="T42" i="3"/>
  <c r="F42" i="1"/>
  <c r="F52" i="5" s="1"/>
  <c r="AX29" i="4"/>
  <c r="BF27" i="11"/>
  <c r="BG25" i="11" s="1"/>
  <c r="BD24" i="11"/>
  <c r="BE22" i="11" s="1"/>
  <c r="AL45" i="4" l="1"/>
  <c r="AL46" i="4" s="1"/>
  <c r="AL36" i="4"/>
  <c r="AL87" i="2"/>
  <c r="M20" i="3"/>
  <c r="AL94" i="2"/>
  <c r="AL95" i="2" s="1"/>
  <c r="AL96" i="2" s="1"/>
  <c r="M23" i="3" s="1"/>
  <c r="AM127" i="2"/>
  <c r="AM129" i="2" s="1"/>
  <c r="AM83" i="2" s="1"/>
  <c r="AM130" i="2"/>
  <c r="AN126" i="2" s="1"/>
  <c r="AN127" i="2" s="1"/>
  <c r="CE117" i="2"/>
  <c r="CE120" i="2" s="1"/>
  <c r="CF116" i="2" s="1"/>
  <c r="AN153" i="2"/>
  <c r="AN40" i="4"/>
  <c r="AN41" i="4" s="1"/>
  <c r="AN42" i="4" s="1"/>
  <c r="BH148" i="2"/>
  <c r="BI146" i="2" s="1"/>
  <c r="AN125" i="2"/>
  <c r="AO121" i="2" s="1"/>
  <c r="AN102" i="2"/>
  <c r="AO99" i="2" s="1"/>
  <c r="AY27" i="4"/>
  <c r="AY28" i="4" s="1"/>
  <c r="AY21" i="11"/>
  <c r="AZ19" i="11" s="1"/>
  <c r="BG26" i="11"/>
  <c r="BG27" i="11" s="1"/>
  <c r="BH25" i="11" s="1"/>
  <c r="BW112" i="2"/>
  <c r="BW115" i="2" s="1"/>
  <c r="BX111" i="2" s="1"/>
  <c r="BE23" i="11"/>
  <c r="AM33" i="4" l="1"/>
  <c r="AM35" i="4" s="1"/>
  <c r="AM85" i="2"/>
  <c r="AN129" i="2"/>
  <c r="AN83" i="2" s="1"/>
  <c r="AN85" i="2" s="1"/>
  <c r="AL152" i="2"/>
  <c r="M21" i="3"/>
  <c r="BX112" i="2"/>
  <c r="BX115" i="2" s="1"/>
  <c r="BY111" i="2" s="1"/>
  <c r="AN94" i="2"/>
  <c r="AN95" i="2" s="1"/>
  <c r="AN96" i="2" s="1"/>
  <c r="AN87" i="2"/>
  <c r="AN152" i="2" s="1"/>
  <c r="CF117" i="2"/>
  <c r="CF120" i="2" s="1"/>
  <c r="CG116" i="2" s="1"/>
  <c r="AO122" i="2"/>
  <c r="AO124" i="2"/>
  <c r="AO84" i="2" s="1"/>
  <c r="BH26" i="11"/>
  <c r="BH27" i="11"/>
  <c r="BI25" i="11" s="1"/>
  <c r="AN33" i="4"/>
  <c r="AN35" i="4" s="1"/>
  <c r="AN45" i="4" s="1"/>
  <c r="AZ20" i="11"/>
  <c r="AZ82" i="2" s="1"/>
  <c r="BI148" i="2"/>
  <c r="BJ146" i="2" s="1"/>
  <c r="AO100" i="2"/>
  <c r="AO101" i="2" s="1"/>
  <c r="BE24" i="11"/>
  <c r="BF22" i="11" s="1"/>
  <c r="AY29" i="4"/>
  <c r="AN130" i="2"/>
  <c r="AO126" i="2" s="1"/>
  <c r="AL156" i="2" l="1"/>
  <c r="AL161" i="2"/>
  <c r="M45" i="3" s="1"/>
  <c r="AM94" i="2"/>
  <c r="AM95" i="2" s="1"/>
  <c r="AM96" i="2" s="1"/>
  <c r="AM87" i="2"/>
  <c r="AM152" i="2" s="1"/>
  <c r="AO125" i="2"/>
  <c r="AP121" i="2" s="1"/>
  <c r="AM36" i="4"/>
  <c r="AM45" i="4"/>
  <c r="AM46" i="4" s="1"/>
  <c r="AN46" i="4" s="1"/>
  <c r="AP122" i="2"/>
  <c r="AP124" i="2" s="1"/>
  <c r="AO153" i="2"/>
  <c r="N33" i="3"/>
  <c r="AO102" i="2"/>
  <c r="BY112" i="2"/>
  <c r="BY115" i="2" s="1"/>
  <c r="BZ111" i="2" s="1"/>
  <c r="BI26" i="11"/>
  <c r="BI27" i="11"/>
  <c r="BJ25" i="11" s="1"/>
  <c r="AN36" i="4"/>
  <c r="BF23" i="11"/>
  <c r="AZ21" i="11"/>
  <c r="BA19" i="11" s="1"/>
  <c r="AO127" i="2"/>
  <c r="N38" i="3" s="1"/>
  <c r="AZ29" i="4"/>
  <c r="BJ148" i="2"/>
  <c r="CG117" i="2"/>
  <c r="CG120" i="2" s="1"/>
  <c r="CH116" i="2" s="1"/>
  <c r="AZ27" i="4"/>
  <c r="AZ28" i="4" s="1"/>
  <c r="AO40" i="4"/>
  <c r="AO41" i="4" s="1"/>
  <c r="AO42" i="4" s="1"/>
  <c r="N30" i="3"/>
  <c r="AM151" i="2" l="1"/>
  <c r="AM159" i="2" s="1"/>
  <c r="AM161" i="2" s="1"/>
  <c r="M43" i="3"/>
  <c r="AP84" i="2"/>
  <c r="AP125" i="2"/>
  <c r="AQ121" i="2" s="1"/>
  <c r="N34" i="3"/>
  <c r="AP99" i="2"/>
  <c r="BF24" i="11"/>
  <c r="BG22" i="11" s="1"/>
  <c r="CH117" i="2"/>
  <c r="CH120" i="2" s="1"/>
  <c r="U42" i="3"/>
  <c r="BK146" i="2"/>
  <c r="BJ26" i="11"/>
  <c r="BJ27" i="11" s="1"/>
  <c r="BK25" i="11" s="1"/>
  <c r="AO129" i="2"/>
  <c r="BA20" i="11"/>
  <c r="BA82" i="2" s="1"/>
  <c r="BA21" i="11"/>
  <c r="BB19" i="11" s="1"/>
  <c r="BZ112" i="2"/>
  <c r="BZ115" i="2"/>
  <c r="CA111" i="2" s="1"/>
  <c r="AM156" i="2" l="1"/>
  <c r="AN151" i="2" s="1"/>
  <c r="BK26" i="11"/>
  <c r="BB20" i="11"/>
  <c r="BB82" i="2" s="1"/>
  <c r="BK148" i="2"/>
  <c r="BL146" i="2" s="1"/>
  <c r="AO83" i="2"/>
  <c r="AO130" i="2"/>
  <c r="AP126" i="2" s="1"/>
  <c r="AQ122" i="2"/>
  <c r="AQ124" i="2" s="1"/>
  <c r="AQ84" i="2" s="1"/>
  <c r="CA112" i="2"/>
  <c r="CA115" i="2" s="1"/>
  <c r="CB111" i="2" s="1"/>
  <c r="AP100" i="2"/>
  <c r="AP101" i="2" s="1"/>
  <c r="BA27" i="4"/>
  <c r="BA28" i="4" s="1"/>
  <c r="R28" i="3"/>
  <c r="BG23" i="11"/>
  <c r="BG24" i="11" s="1"/>
  <c r="BH22" i="11" s="1"/>
  <c r="AP40" i="4"/>
  <c r="AP41" i="4" s="1"/>
  <c r="AP42" i="4" s="1"/>
  <c r="AN159" i="2" l="1"/>
  <c r="AN161" i="2" s="1"/>
  <c r="AN156" i="2"/>
  <c r="AO151" i="2" s="1"/>
  <c r="AO159" i="2" s="1"/>
  <c r="AP153" i="2"/>
  <c r="AP102" i="2"/>
  <c r="AQ99" i="2" s="1"/>
  <c r="AQ40" i="4"/>
  <c r="AQ41" i="4" s="1"/>
  <c r="CB112" i="2"/>
  <c r="CB115" i="2" s="1"/>
  <c r="CC111" i="2" s="1"/>
  <c r="BH23" i="11"/>
  <c r="BH24" i="11" s="1"/>
  <c r="BI22" i="11" s="1"/>
  <c r="AO33" i="4"/>
  <c r="AO35" i="4" s="1"/>
  <c r="N29" i="3"/>
  <c r="AO85" i="2"/>
  <c r="BB21" i="11"/>
  <c r="BC19" i="11" s="1"/>
  <c r="AQ125" i="2"/>
  <c r="AR121" i="2" s="1"/>
  <c r="BL148" i="2"/>
  <c r="BM146" i="2" s="1"/>
  <c r="BA29" i="4"/>
  <c r="BB27" i="4"/>
  <c r="BB28" i="4" s="1"/>
  <c r="AQ42" i="4"/>
  <c r="AP127" i="2"/>
  <c r="BK27" i="11"/>
  <c r="BL25" i="11" s="1"/>
  <c r="BB29" i="4" l="1"/>
  <c r="CC112" i="2"/>
  <c r="CC115" i="2" s="1"/>
  <c r="CD111" i="2" s="1"/>
  <c r="BI23" i="11"/>
  <c r="BM148" i="2"/>
  <c r="AO45" i="4"/>
  <c r="AO46" i="4" s="1"/>
  <c r="AO36" i="4"/>
  <c r="AQ100" i="2"/>
  <c r="AQ101" i="2" s="1"/>
  <c r="AP129" i="2"/>
  <c r="AP83" i="2" s="1"/>
  <c r="BC20" i="11"/>
  <c r="BC82" i="2" s="1"/>
  <c r="AR122" i="2"/>
  <c r="BL26" i="11"/>
  <c r="AO94" i="2"/>
  <c r="AO95" i="2" s="1"/>
  <c r="AO96" i="2" s="1"/>
  <c r="AO87" i="2"/>
  <c r="N20" i="3"/>
  <c r="CD112" i="2" l="1"/>
  <c r="CD115" i="2" s="1"/>
  <c r="CE111" i="2" s="1"/>
  <c r="BC27" i="4"/>
  <c r="BC28" i="4" s="1"/>
  <c r="BN146" i="2"/>
  <c r="V42" i="3"/>
  <c r="AR124" i="2"/>
  <c r="AR84" i="2" s="1"/>
  <c r="AQ153" i="2"/>
  <c r="AQ102" i="2"/>
  <c r="AR99" i="2" s="1"/>
  <c r="BC21" i="11"/>
  <c r="BD19" i="11" s="1"/>
  <c r="BL27" i="11"/>
  <c r="BM25" i="11" s="1"/>
  <c r="AP33" i="4"/>
  <c r="AP35" i="4" s="1"/>
  <c r="AP45" i="4" s="1"/>
  <c r="AP46" i="4" s="1"/>
  <c r="AP85" i="2"/>
  <c r="BI24" i="11"/>
  <c r="BJ22" i="11" s="1"/>
  <c r="AP130" i="2"/>
  <c r="AQ126" i="2" s="1"/>
  <c r="AO152" i="2"/>
  <c r="N21" i="3"/>
  <c r="N23" i="3"/>
  <c r="CE112" i="2" l="1"/>
  <c r="CE115" i="2" s="1"/>
  <c r="BD20" i="11"/>
  <c r="BD82" i="2" s="1"/>
  <c r="BD21" i="11"/>
  <c r="BE19" i="11" s="1"/>
  <c r="AR100" i="2"/>
  <c r="AR101" i="2" s="1"/>
  <c r="BJ23" i="11"/>
  <c r="BJ24" i="11" s="1"/>
  <c r="BK22" i="11" s="1"/>
  <c r="AR40" i="4"/>
  <c r="AR41" i="4" s="1"/>
  <c r="AR42" i="4" s="1"/>
  <c r="O30" i="3"/>
  <c r="BM26" i="11"/>
  <c r="AO156" i="2"/>
  <c r="AO161" i="2"/>
  <c r="N45" i="3" s="1"/>
  <c r="AP94" i="2"/>
  <c r="AP95" i="2" s="1"/>
  <c r="AP96" i="2" s="1"/>
  <c r="AP87" i="2"/>
  <c r="BC29" i="4"/>
  <c r="AP36" i="4"/>
  <c r="AQ127" i="2"/>
  <c r="AQ129" i="2"/>
  <c r="AQ83" i="2" s="1"/>
  <c r="BN148" i="2"/>
  <c r="BO146" i="2" s="1"/>
  <c r="AR125" i="2"/>
  <c r="AS121" i="2" s="1"/>
  <c r="AR102" i="2" l="1"/>
  <c r="AQ130" i="2"/>
  <c r="AR126" i="2" s="1"/>
  <c r="O34" i="3"/>
  <c r="AS99" i="2"/>
  <c r="AR127" i="2"/>
  <c r="O38" i="3" s="1"/>
  <c r="AR153" i="2"/>
  <c r="O33" i="3"/>
  <c r="BK23" i="11"/>
  <c r="BK24" i="11" s="1"/>
  <c r="BL22" i="11" s="1"/>
  <c r="BO148" i="2"/>
  <c r="BP146" i="2" s="1"/>
  <c r="BM27" i="11"/>
  <c r="BN25" i="11" s="1"/>
  <c r="BD27" i="4"/>
  <c r="BD28" i="4" s="1"/>
  <c r="BD29" i="4" s="1"/>
  <c r="S28" i="3"/>
  <c r="AQ33" i="4"/>
  <c r="AQ35" i="4" s="1"/>
  <c r="AQ45" i="4" s="1"/>
  <c r="AQ46" i="4" s="1"/>
  <c r="AQ85" i="2"/>
  <c r="BE21" i="11"/>
  <c r="BF19" i="11" s="1"/>
  <c r="BE20" i="11"/>
  <c r="BE82" i="2" s="1"/>
  <c r="CF111" i="2"/>
  <c r="AS122" i="2"/>
  <c r="AP152" i="2"/>
  <c r="AQ36" i="4"/>
  <c r="N43" i="3"/>
  <c r="AP151" i="2"/>
  <c r="AS124" i="2" l="1"/>
  <c r="AS84" i="2" s="1"/>
  <c r="AS40" i="4"/>
  <c r="AS41" i="4" s="1"/>
  <c r="AS42" i="4" s="1"/>
  <c r="AQ94" i="2"/>
  <c r="AQ95" i="2" s="1"/>
  <c r="AQ96" i="2" s="1"/>
  <c r="AQ87" i="2"/>
  <c r="BP148" i="2"/>
  <c r="AR129" i="2"/>
  <c r="BF20" i="11"/>
  <c r="BF82" i="2" s="1"/>
  <c r="BL23" i="11"/>
  <c r="BN26" i="11"/>
  <c r="CF112" i="2"/>
  <c r="CF115" i="2" s="1"/>
  <c r="CG111" i="2" s="1"/>
  <c r="AS100" i="2"/>
  <c r="AP156" i="2"/>
  <c r="AQ151" i="2" s="1"/>
  <c r="AP159" i="2"/>
  <c r="AP161" i="2" s="1"/>
  <c r="BE27" i="4"/>
  <c r="BE28" i="4" s="1"/>
  <c r="AS125" i="2" l="1"/>
  <c r="AT121" i="2" s="1"/>
  <c r="AT122" i="2" s="1"/>
  <c r="AT124" i="2" s="1"/>
  <c r="CG112" i="2"/>
  <c r="CG115" i="2"/>
  <c r="CH111" i="2" s="1"/>
  <c r="AT84" i="2"/>
  <c r="AT125" i="2"/>
  <c r="AU121" i="2" s="1"/>
  <c r="BQ146" i="2"/>
  <c r="W42" i="3"/>
  <c r="AS101" i="2"/>
  <c r="BN27" i="11"/>
  <c r="BO25" i="11" s="1"/>
  <c r="BL24" i="11"/>
  <c r="BM22" i="11" s="1"/>
  <c r="BF21" i="11"/>
  <c r="BG19" i="11" s="1"/>
  <c r="AQ152" i="2"/>
  <c r="AQ156" i="2" s="1"/>
  <c r="AR151" i="2" s="1"/>
  <c r="AQ159" i="2"/>
  <c r="BF27" i="4"/>
  <c r="BF28" i="4" s="1"/>
  <c r="AR83" i="2"/>
  <c r="AR130" i="2"/>
  <c r="AS126" i="2" s="1"/>
  <c r="BE29" i="4"/>
  <c r="BF29" i="4" l="1"/>
  <c r="AR159" i="2"/>
  <c r="BQ148" i="2"/>
  <c r="BR146" i="2" s="1"/>
  <c r="AU122" i="2"/>
  <c r="AU124" i="2" s="1"/>
  <c r="AU84" i="2" s="1"/>
  <c r="BG20" i="11"/>
  <c r="BG82" i="2" s="1"/>
  <c r="BO26" i="11"/>
  <c r="BO27" i="11"/>
  <c r="BP25" i="11" s="1"/>
  <c r="AT40" i="4"/>
  <c r="AT41" i="4" s="1"/>
  <c r="AT42" i="4" s="1"/>
  <c r="CH112" i="2"/>
  <c r="CH115" i="2" s="1"/>
  <c r="AS153" i="2"/>
  <c r="BM23" i="11"/>
  <c r="BM24" i="11"/>
  <c r="BN22" i="11" s="1"/>
  <c r="AQ161" i="2"/>
  <c r="AS127" i="2"/>
  <c r="AS129" i="2" s="1"/>
  <c r="AS83" i="2" s="1"/>
  <c r="AR33" i="4"/>
  <c r="AR35" i="4" s="1"/>
  <c r="AR85" i="2"/>
  <c r="O29" i="3"/>
  <c r="AS102" i="2"/>
  <c r="AT99" i="2" s="1"/>
  <c r="AU40" i="4" l="1"/>
  <c r="AU41" i="4" s="1"/>
  <c r="P30" i="3"/>
  <c r="E30" i="1"/>
  <c r="AU125" i="2"/>
  <c r="BN23" i="11"/>
  <c r="BN24" i="11" s="1"/>
  <c r="BO22" i="11" s="1"/>
  <c r="AT100" i="2"/>
  <c r="AT101" i="2" s="1"/>
  <c r="BP26" i="11"/>
  <c r="BP27" i="11" s="1"/>
  <c r="BQ25" i="11" s="1"/>
  <c r="AR94" i="2"/>
  <c r="AR95" i="2" s="1"/>
  <c r="AR96" i="2" s="1"/>
  <c r="AR87" i="2"/>
  <c r="O20" i="3"/>
  <c r="BR148" i="2"/>
  <c r="BS146" i="2" s="1"/>
  <c r="AS33" i="4"/>
  <c r="AS35" i="4" s="1"/>
  <c r="AS45" i="4" s="1"/>
  <c r="AS85" i="2"/>
  <c r="AR45" i="4"/>
  <c r="AR46" i="4" s="1"/>
  <c r="AS46" i="4" s="1"/>
  <c r="AR36" i="4"/>
  <c r="BG27" i="4"/>
  <c r="BG28" i="4" s="1"/>
  <c r="F28" i="1"/>
  <c r="T28" i="3"/>
  <c r="AU42" i="4"/>
  <c r="AS130" i="2"/>
  <c r="AT126" i="2" s="1"/>
  <c r="BG21" i="11"/>
  <c r="BH19" i="11" s="1"/>
  <c r="AT102" i="2" l="1"/>
  <c r="AU99" i="2" s="1"/>
  <c r="AS36" i="4"/>
  <c r="AU100" i="2"/>
  <c r="AU101" i="2" s="1"/>
  <c r="BO23" i="11"/>
  <c r="AT153" i="2"/>
  <c r="O23" i="3"/>
  <c r="AV121" i="2"/>
  <c r="AS94" i="2"/>
  <c r="AS95" i="2" s="1"/>
  <c r="AS96" i="2" s="1"/>
  <c r="AS87" i="2"/>
  <c r="BQ26" i="11"/>
  <c r="BQ27" i="11"/>
  <c r="BR25" i="11" s="1"/>
  <c r="AT127" i="2"/>
  <c r="AT129" i="2" s="1"/>
  <c r="AT83" i="2" s="1"/>
  <c r="AR152" i="2"/>
  <c r="O21" i="3"/>
  <c r="BH20" i="11"/>
  <c r="BH82" i="2" s="1"/>
  <c r="BG29" i="4"/>
  <c r="BS148" i="2"/>
  <c r="AT33" i="4" l="1"/>
  <c r="AT35" i="4" s="1"/>
  <c r="AT85" i="2"/>
  <c r="AU153" i="2"/>
  <c r="AU102" i="2"/>
  <c r="E33" i="1"/>
  <c r="P33" i="3"/>
  <c r="BH27" i="4"/>
  <c r="BH28" i="4" s="1"/>
  <c r="BH29" i="4" s="1"/>
  <c r="AV122" i="2"/>
  <c r="BH21" i="11"/>
  <c r="BI19" i="11" s="1"/>
  <c r="BO24" i="11"/>
  <c r="BP22" i="11" s="1"/>
  <c r="BR26" i="11"/>
  <c r="BR27" i="11"/>
  <c r="BS25" i="11" s="1"/>
  <c r="X42" i="3"/>
  <c r="BT146" i="2"/>
  <c r="G42" i="1"/>
  <c r="AS152" i="2"/>
  <c r="AT130" i="2"/>
  <c r="AU126" i="2" s="1"/>
  <c r="AR156" i="2"/>
  <c r="AR161" i="2"/>
  <c r="O45" i="3" s="1"/>
  <c r="P34" i="3" l="1"/>
  <c r="AV99" i="2"/>
  <c r="E34" i="1"/>
  <c r="AV124" i="2"/>
  <c r="AV84" i="2" s="1"/>
  <c r="BT148" i="2"/>
  <c r="BU146" i="2" s="1"/>
  <c r="BS26" i="11"/>
  <c r="E71" i="5"/>
  <c r="G52" i="5"/>
  <c r="AU127" i="2"/>
  <c r="P38" i="3" s="1"/>
  <c r="BP23" i="11"/>
  <c r="AT94" i="2"/>
  <c r="AT95" i="2" s="1"/>
  <c r="AT96" i="2" s="1"/>
  <c r="AT87" i="2"/>
  <c r="O43" i="3"/>
  <c r="AS151" i="2"/>
  <c r="BI20" i="11"/>
  <c r="BI82" i="2" s="1"/>
  <c r="AT45" i="4"/>
  <c r="AT46" i="4" s="1"/>
  <c r="AT36" i="4"/>
  <c r="AU129" i="2" l="1"/>
  <c r="AU83" i="2" s="1"/>
  <c r="AV40" i="4"/>
  <c r="AV41" i="4" s="1"/>
  <c r="AV42" i="4" s="1"/>
  <c r="BU148" i="2"/>
  <c r="BV146" i="2" s="1"/>
  <c r="AT152" i="2"/>
  <c r="AU130" i="2"/>
  <c r="AV100" i="2"/>
  <c r="AS156" i="2"/>
  <c r="AT151" i="2" s="1"/>
  <c r="AS159" i="2"/>
  <c r="AS161" i="2" s="1"/>
  <c r="BI27" i="4"/>
  <c r="BI28" i="4" s="1"/>
  <c r="BI21" i="11"/>
  <c r="BJ19" i="11" s="1"/>
  <c r="BP24" i="11"/>
  <c r="BQ22" i="11" s="1"/>
  <c r="BS27" i="11"/>
  <c r="BT25" i="11" s="1"/>
  <c r="AV125" i="2"/>
  <c r="AW121" i="2" s="1"/>
  <c r="AV102" i="2" l="1"/>
  <c r="AW99" i="2" s="1"/>
  <c r="AV101" i="2"/>
  <c r="AW100" i="2"/>
  <c r="AW101" i="2" s="1"/>
  <c r="BV148" i="2"/>
  <c r="BT26" i="11"/>
  <c r="BT27" i="11" s="1"/>
  <c r="BU25" i="11" s="1"/>
  <c r="AW122" i="2"/>
  <c r="BJ20" i="11"/>
  <c r="BJ82" i="2" s="1"/>
  <c r="AV153" i="2"/>
  <c r="AT156" i="2"/>
  <c r="AU151" i="2" s="1"/>
  <c r="AT159" i="2"/>
  <c r="AT161" i="2" s="1"/>
  <c r="AV126" i="2"/>
  <c r="E38" i="1"/>
  <c r="BI29" i="4"/>
  <c r="BQ23" i="11"/>
  <c r="BQ24" i="11" s="1"/>
  <c r="BR22" i="11" s="1"/>
  <c r="AU33" i="4"/>
  <c r="AU35" i="4" s="1"/>
  <c r="AU85" i="2"/>
  <c r="E29" i="1"/>
  <c r="P29" i="3"/>
  <c r="BU26" i="11" l="1"/>
  <c r="BR23" i="11"/>
  <c r="AW153" i="2"/>
  <c r="AU159" i="2"/>
  <c r="BW146" i="2"/>
  <c r="Y42" i="3"/>
  <c r="BJ21" i="11"/>
  <c r="BK19" i="11" s="1"/>
  <c r="BJ27" i="4"/>
  <c r="BJ28" i="4" s="1"/>
  <c r="BJ29" i="4" s="1"/>
  <c r="U28" i="3"/>
  <c r="AV127" i="2"/>
  <c r="AV129" i="2" s="1"/>
  <c r="AV83" i="2" s="1"/>
  <c r="AW124" i="2"/>
  <c r="AW84" i="2" s="1"/>
  <c r="AW102" i="2"/>
  <c r="AX99" i="2" s="1"/>
  <c r="AU94" i="2"/>
  <c r="AU95" i="2" s="1"/>
  <c r="AU96" i="2" s="1"/>
  <c r="AU87" i="2"/>
  <c r="E20" i="1"/>
  <c r="E46" i="5" s="1"/>
  <c r="P20" i="3"/>
  <c r="AU45" i="4"/>
  <c r="AU46" i="4" s="1"/>
  <c r="AU36" i="4"/>
  <c r="AV33" i="4" l="1"/>
  <c r="AV35" i="4" s="1"/>
  <c r="AV45" i="4" s="1"/>
  <c r="AV85" i="2"/>
  <c r="AX100" i="2"/>
  <c r="AX101" i="2"/>
  <c r="AW40" i="4"/>
  <c r="AW41" i="4" s="1"/>
  <c r="AW42" i="4" s="1"/>
  <c r="AV36" i="4"/>
  <c r="AW125" i="2"/>
  <c r="AX121" i="2" s="1"/>
  <c r="AV46" i="4"/>
  <c r="BK20" i="11"/>
  <c r="BK82" i="2" s="1"/>
  <c r="BK21" i="11"/>
  <c r="BL19" i="11" s="1"/>
  <c r="BW148" i="2"/>
  <c r="BX146" i="2" s="1"/>
  <c r="BR24" i="11"/>
  <c r="BS22" i="11" s="1"/>
  <c r="AV130" i="2"/>
  <c r="AW126" i="2" s="1"/>
  <c r="AW107" i="2"/>
  <c r="E23" i="1"/>
  <c r="AX160" i="2"/>
  <c r="P23" i="3"/>
  <c r="AU152" i="2"/>
  <c r="AU156" i="2" s="1"/>
  <c r="E21" i="1"/>
  <c r="P21" i="3"/>
  <c r="BU27" i="11"/>
  <c r="BV25" i="11" s="1"/>
  <c r="AX102" i="2" l="1"/>
  <c r="Q34" i="3" s="1"/>
  <c r="AY99" i="2"/>
  <c r="AW127" i="2"/>
  <c r="BS23" i="11"/>
  <c r="AV94" i="2"/>
  <c r="AV95" i="2" s="1"/>
  <c r="AV96" i="2" s="1"/>
  <c r="AV87" i="2"/>
  <c r="Q35" i="3"/>
  <c r="AW154" i="2"/>
  <c r="F35" i="1"/>
  <c r="AW108" i="2"/>
  <c r="AX106" i="2" s="1"/>
  <c r="AX108" i="2" s="1"/>
  <c r="BX148" i="2"/>
  <c r="BY146" i="2" s="1"/>
  <c r="AU161" i="2"/>
  <c r="AX153" i="2"/>
  <c r="Q33" i="3"/>
  <c r="AX122" i="2"/>
  <c r="AX124" i="2" s="1"/>
  <c r="BL20" i="11"/>
  <c r="BL82" i="2" s="1"/>
  <c r="AV151" i="2"/>
  <c r="P43" i="3"/>
  <c r="E43" i="1"/>
  <c r="BV26" i="11"/>
  <c r="Q44" i="3"/>
  <c r="F44" i="1"/>
  <c r="BK27" i="4"/>
  <c r="BK28" i="4" s="1"/>
  <c r="BL21" i="11" l="1"/>
  <c r="BM19" i="11" s="1"/>
  <c r="AX84" i="2"/>
  <c r="AX125" i="2"/>
  <c r="AY121" i="2" s="1"/>
  <c r="BS24" i="11"/>
  <c r="BT22" i="11" s="1"/>
  <c r="BM20" i="11"/>
  <c r="BM82" i="2" s="1"/>
  <c r="AW129" i="2"/>
  <c r="AW83" i="2" s="1"/>
  <c r="AV159" i="2"/>
  <c r="BL27" i="4"/>
  <c r="BL28" i="4" s="1"/>
  <c r="AV152" i="2"/>
  <c r="AV156" i="2" s="1"/>
  <c r="AW151" i="2" s="1"/>
  <c r="D72" i="5"/>
  <c r="E100" i="5"/>
  <c r="E102" i="5" s="1"/>
  <c r="E103" i="5" s="1"/>
  <c r="E50" i="5"/>
  <c r="Q36" i="3"/>
  <c r="AY106" i="2"/>
  <c r="AY108" i="2" s="1"/>
  <c r="AZ106" i="2" s="1"/>
  <c r="AZ108" i="2" s="1"/>
  <c r="BA106" i="2" s="1"/>
  <c r="BA108" i="2" s="1"/>
  <c r="BK29" i="4"/>
  <c r="BL29" i="4" s="1"/>
  <c r="P45" i="3"/>
  <c r="E45" i="1"/>
  <c r="AY100" i="2"/>
  <c r="BV27" i="11"/>
  <c r="BW25" i="11" s="1"/>
  <c r="BY148" i="2"/>
  <c r="BM21" i="11" l="1"/>
  <c r="BN19" i="11" s="1"/>
  <c r="AW159" i="2"/>
  <c r="BT23" i="11"/>
  <c r="Z42" i="3"/>
  <c r="BZ146" i="2"/>
  <c r="BW26" i="11"/>
  <c r="BW27" i="11"/>
  <c r="BX25" i="11" s="1"/>
  <c r="R36" i="3"/>
  <c r="BB106" i="2"/>
  <c r="BB108" i="2" s="1"/>
  <c r="BC106" i="2" s="1"/>
  <c r="BC108" i="2" s="1"/>
  <c r="BD106" i="2" s="1"/>
  <c r="BD108" i="2" s="1"/>
  <c r="AW130" i="2"/>
  <c r="AX126" i="2" s="1"/>
  <c r="AW33" i="4"/>
  <c r="AW35" i="4" s="1"/>
  <c r="AW85" i="2"/>
  <c r="BM27" i="4"/>
  <c r="BM28" i="4" s="1"/>
  <c r="BM29" i="4" s="1"/>
  <c r="V28" i="3"/>
  <c r="AY101" i="2"/>
  <c r="AV161" i="2"/>
  <c r="AY122" i="2"/>
  <c r="AY124" i="2" s="1"/>
  <c r="AY84" i="2" s="1"/>
  <c r="BN20" i="11"/>
  <c r="BN82" i="2" s="1"/>
  <c r="BN21" i="11"/>
  <c r="BO19" i="11" s="1"/>
  <c r="AX40" i="4"/>
  <c r="AX41" i="4" s="1"/>
  <c r="AX42" i="4" s="1"/>
  <c r="Q30" i="3"/>
  <c r="AY40" i="4" l="1"/>
  <c r="AY41" i="4" s="1"/>
  <c r="BZ148" i="2"/>
  <c r="CA146" i="2" s="1"/>
  <c r="AX127" i="2"/>
  <c r="Q38" i="3" s="1"/>
  <c r="AX129" i="2"/>
  <c r="AX83" i="2" s="1"/>
  <c r="BT24" i="11"/>
  <c r="BU22" i="11" s="1"/>
  <c r="AY42" i="4"/>
  <c r="BO20" i="11"/>
  <c r="BO82" i="2" s="1"/>
  <c r="AY153" i="2"/>
  <c r="AW45" i="4"/>
  <c r="AW46" i="4" s="1"/>
  <c r="AW36" i="4"/>
  <c r="S36" i="3"/>
  <c r="BE106" i="2"/>
  <c r="BE108" i="2" s="1"/>
  <c r="BF106" i="2" s="1"/>
  <c r="BF108" i="2" s="1"/>
  <c r="BG106" i="2" s="1"/>
  <c r="BG108" i="2" s="1"/>
  <c r="BX26" i="11"/>
  <c r="BX27" i="11"/>
  <c r="BY25" i="11" s="1"/>
  <c r="AW94" i="2"/>
  <c r="AW95" i="2" s="1"/>
  <c r="AW96" i="2" s="1"/>
  <c r="AW87" i="2"/>
  <c r="BN27" i="4"/>
  <c r="BN28" i="4" s="1"/>
  <c r="AY125" i="2"/>
  <c r="AZ121" i="2" s="1"/>
  <c r="AY102" i="2"/>
  <c r="AZ99" i="2" s="1"/>
  <c r="BO27" i="4" l="1"/>
  <c r="BO28" i="4" s="1"/>
  <c r="BO21" i="11"/>
  <c r="BP19" i="11" s="1"/>
  <c r="CA148" i="2"/>
  <c r="CB146" i="2" s="1"/>
  <c r="T36" i="3"/>
  <c r="BH106" i="2"/>
  <c r="BH108" i="2" s="1"/>
  <c r="BI106" i="2" s="1"/>
  <c r="F36" i="1"/>
  <c r="AW152" i="2"/>
  <c r="BU23" i="11"/>
  <c r="AZ100" i="2"/>
  <c r="AZ101" i="2" s="1"/>
  <c r="AZ122" i="2"/>
  <c r="AZ124" i="2" s="1"/>
  <c r="AZ84" i="2" s="1"/>
  <c r="AX33" i="4"/>
  <c r="AX35" i="4" s="1"/>
  <c r="AX45" i="4" s="1"/>
  <c r="AX46" i="4" s="1"/>
  <c r="AX85" i="2"/>
  <c r="Q29" i="3"/>
  <c r="BN29" i="4"/>
  <c r="BO29" i="4" s="1"/>
  <c r="BY26" i="11"/>
  <c r="AX130" i="2"/>
  <c r="AY126" i="2" s="1"/>
  <c r="AZ40" i="4" l="1"/>
  <c r="AZ41" i="4" s="1"/>
  <c r="AZ42" i="4" s="1"/>
  <c r="AZ153" i="2"/>
  <c r="AZ102" i="2"/>
  <c r="BA99" i="2" s="1"/>
  <c r="CB148" i="2"/>
  <c r="AY127" i="2"/>
  <c r="BP20" i="11"/>
  <c r="BP82" i="2" s="1"/>
  <c r="BU24" i="11"/>
  <c r="BV22" i="11" s="1"/>
  <c r="AX36" i="4"/>
  <c r="AZ125" i="2"/>
  <c r="BA121" i="2" s="1"/>
  <c r="AW156" i="2"/>
  <c r="AX151" i="2" s="1"/>
  <c r="AW161" i="2"/>
  <c r="AX94" i="2"/>
  <c r="AX95" i="2" s="1"/>
  <c r="AX96" i="2" s="1"/>
  <c r="AX87" i="2"/>
  <c r="Q20" i="3"/>
  <c r="BY27" i="11"/>
  <c r="BZ25" i="11" s="1"/>
  <c r="BP21" i="11" l="1"/>
  <c r="BQ19" i="11" s="1"/>
  <c r="BQ20" i="11"/>
  <c r="BQ82" i="2" s="1"/>
  <c r="BV23" i="11"/>
  <c r="BV24" i="11" s="1"/>
  <c r="BW22" i="11" s="1"/>
  <c r="BZ26" i="11"/>
  <c r="BZ27" i="11" s="1"/>
  <c r="CA25" i="11" s="1"/>
  <c r="AY129" i="2"/>
  <c r="AY83" i="2" s="1"/>
  <c r="AA42" i="3"/>
  <c r="CC146" i="2"/>
  <c r="AX159" i="2"/>
  <c r="AX152" i="2"/>
  <c r="AX156" i="2" s="1"/>
  <c r="Q21" i="3"/>
  <c r="BA100" i="2"/>
  <c r="BA101" i="2"/>
  <c r="BA122" i="2"/>
  <c r="BA124" i="2"/>
  <c r="BA84" i="2" s="1"/>
  <c r="Q23" i="3"/>
  <c r="BP27" i="4"/>
  <c r="BP28" i="4" s="1"/>
  <c r="W28" i="3"/>
  <c r="BA102" i="2" l="1"/>
  <c r="BA125" i="2"/>
  <c r="BB121" i="2" s="1"/>
  <c r="CA26" i="11"/>
  <c r="Q43" i="3"/>
  <c r="AY151" i="2"/>
  <c r="BW23" i="11"/>
  <c r="BW24" i="11" s="1"/>
  <c r="BX22" i="11" s="1"/>
  <c r="BB122" i="2"/>
  <c r="BB124" i="2" s="1"/>
  <c r="BB84" i="2" s="1"/>
  <c r="R34" i="3"/>
  <c r="BB99" i="2"/>
  <c r="AX161" i="2"/>
  <c r="Q45" i="3" s="1"/>
  <c r="BA40" i="4"/>
  <c r="BA41" i="4" s="1"/>
  <c r="BA42" i="4" s="1"/>
  <c r="R30" i="3"/>
  <c r="BA153" i="2"/>
  <c r="R33" i="3"/>
  <c r="BQ27" i="4"/>
  <c r="BQ28" i="4" s="1"/>
  <c r="BQ21" i="11"/>
  <c r="BR19" i="11" s="1"/>
  <c r="CC148" i="2"/>
  <c r="CD146" i="2" s="1"/>
  <c r="BP29" i="4"/>
  <c r="AY33" i="4"/>
  <c r="AY35" i="4" s="1"/>
  <c r="AY85" i="2"/>
  <c r="AY130" i="2"/>
  <c r="AZ126" i="2" s="1"/>
  <c r="BX23" i="11" l="1"/>
  <c r="BB125" i="2"/>
  <c r="BC121" i="2" s="1"/>
  <c r="BB40" i="4"/>
  <c r="BB41" i="4" s="1"/>
  <c r="BB42" i="4" s="1"/>
  <c r="BR20" i="11"/>
  <c r="BR82" i="2" s="1"/>
  <c r="AY159" i="2"/>
  <c r="BB100" i="2"/>
  <c r="BB101" i="2" s="1"/>
  <c r="BQ29" i="4"/>
  <c r="CD148" i="2"/>
  <c r="CE146" i="2" s="1"/>
  <c r="AY94" i="2"/>
  <c r="AY95" i="2" s="1"/>
  <c r="AY96" i="2" s="1"/>
  <c r="AY87" i="2"/>
  <c r="AY45" i="4"/>
  <c r="AY46" i="4" s="1"/>
  <c r="AY36" i="4"/>
  <c r="AZ127" i="2"/>
  <c r="AZ129" i="2"/>
  <c r="AZ83" i="2" s="1"/>
  <c r="CA27" i="11"/>
  <c r="CB25" i="11" s="1"/>
  <c r="BB153" i="2" l="1"/>
  <c r="CB26" i="11"/>
  <c r="CB27" i="11" s="1"/>
  <c r="CC25" i="11" s="1"/>
  <c r="BB102" i="2"/>
  <c r="BC99" i="2" s="1"/>
  <c r="AZ130" i="2"/>
  <c r="BA126" i="2" s="1"/>
  <c r="AZ33" i="4"/>
  <c r="AZ35" i="4" s="1"/>
  <c r="AZ45" i="4" s="1"/>
  <c r="AZ46" i="4" s="1"/>
  <c r="AZ85" i="2"/>
  <c r="BR29" i="4"/>
  <c r="AY152" i="2"/>
  <c r="AY156" i="2" s="1"/>
  <c r="AZ151" i="2" s="1"/>
  <c r="BR21" i="11"/>
  <c r="BS19" i="11" s="1"/>
  <c r="BR27" i="4"/>
  <c r="BR28" i="4" s="1"/>
  <c r="BC122" i="2"/>
  <c r="BC124" i="2" s="1"/>
  <c r="CE148" i="2"/>
  <c r="BX24" i="11"/>
  <c r="BY22" i="11" s="1"/>
  <c r="BC84" i="2" l="1"/>
  <c r="BC125" i="2"/>
  <c r="BD121" i="2" s="1"/>
  <c r="CC26" i="11"/>
  <c r="BC100" i="2"/>
  <c r="AB42" i="3"/>
  <c r="CF146" i="2"/>
  <c r="H42" i="1"/>
  <c r="H52" i="5" s="1"/>
  <c r="BY23" i="11"/>
  <c r="BY24" i="11" s="1"/>
  <c r="BZ22" i="11" s="1"/>
  <c r="AZ94" i="2"/>
  <c r="AZ95" i="2" s="1"/>
  <c r="AZ96" i="2" s="1"/>
  <c r="AZ87" i="2"/>
  <c r="AZ159" i="2"/>
  <c r="BA127" i="2"/>
  <c r="R38" i="3" s="1"/>
  <c r="AY161" i="2"/>
  <c r="BS20" i="11"/>
  <c r="BS82" i="2" s="1"/>
  <c r="AZ36" i="4"/>
  <c r="BS21" i="11" l="1"/>
  <c r="BT19" i="11" s="1"/>
  <c r="BT20" i="11" s="1"/>
  <c r="BZ23" i="11"/>
  <c r="BZ24" i="11"/>
  <c r="CA22" i="11" s="1"/>
  <c r="BC101" i="2"/>
  <c r="CC27" i="11"/>
  <c r="CD25" i="11" s="1"/>
  <c r="BA129" i="2"/>
  <c r="BA83" i="2" s="1"/>
  <c r="CF148" i="2"/>
  <c r="CG146" i="2" s="1"/>
  <c r="BD122" i="2"/>
  <c r="BD124" i="2" s="1"/>
  <c r="BD84" i="2" s="1"/>
  <c r="BS27" i="4"/>
  <c r="BS28" i="4" s="1"/>
  <c r="X28" i="3"/>
  <c r="G28" i="1"/>
  <c r="AZ152" i="2"/>
  <c r="AZ156" i="2" s="1"/>
  <c r="BA151" i="2" s="1"/>
  <c r="BC40" i="4"/>
  <c r="BC41" i="4" s="1"/>
  <c r="BC42" i="4" s="1"/>
  <c r="BT82" i="2" l="1"/>
  <c r="BT21" i="11"/>
  <c r="BU19" i="11" s="1"/>
  <c r="AZ161" i="2"/>
  <c r="BA130" i="2"/>
  <c r="BB126" i="2" s="1"/>
  <c r="BB127" i="2" s="1"/>
  <c r="BD40" i="4"/>
  <c r="BD41" i="4" s="1"/>
  <c r="BD42" i="4" s="1"/>
  <c r="S30" i="3"/>
  <c r="CD26" i="11"/>
  <c r="BU20" i="11"/>
  <c r="BU82" i="2" s="1"/>
  <c r="CG148" i="2"/>
  <c r="CH146" i="2" s="1"/>
  <c r="BA33" i="4"/>
  <c r="BA35" i="4" s="1"/>
  <c r="BA85" i="2"/>
  <c r="R29" i="3"/>
  <c r="BC153" i="2"/>
  <c r="BA159" i="2"/>
  <c r="BD125" i="2"/>
  <c r="BE121" i="2" s="1"/>
  <c r="CA23" i="11"/>
  <c r="CA24" i="11" s="1"/>
  <c r="CB22" i="11" s="1"/>
  <c r="BS29" i="4"/>
  <c r="BT27" i="4"/>
  <c r="BT28" i="4" s="1"/>
  <c r="BC102" i="2"/>
  <c r="BD99" i="2" s="1"/>
  <c r="BB129" i="2" l="1"/>
  <c r="BB83" i="2" s="1"/>
  <c r="CB23" i="11"/>
  <c r="BE122" i="2"/>
  <c r="BE124" i="2" s="1"/>
  <c r="BE84" i="2" s="1"/>
  <c r="BU27" i="4"/>
  <c r="BU28" i="4" s="1"/>
  <c r="CD27" i="11"/>
  <c r="CE25" i="11" s="1"/>
  <c r="BU21" i="11"/>
  <c r="BV19" i="11" s="1"/>
  <c r="BA94" i="2"/>
  <c r="BA95" i="2" s="1"/>
  <c r="BA96" i="2" s="1"/>
  <c r="BA87" i="2"/>
  <c r="R20" i="3"/>
  <c r="BB130" i="2"/>
  <c r="BC126" i="2" s="1"/>
  <c r="CH148" i="2"/>
  <c r="BB33" i="4"/>
  <c r="BB35" i="4" s="1"/>
  <c r="BB45" i="4" s="1"/>
  <c r="BB85" i="2"/>
  <c r="BA45" i="4"/>
  <c r="BA46" i="4" s="1"/>
  <c r="BA36" i="4"/>
  <c r="BD100" i="2"/>
  <c r="BD101" i="2" s="1"/>
  <c r="BT29" i="4"/>
  <c r="BE125" i="2" l="1"/>
  <c r="BF121" i="2" s="1"/>
  <c r="BU29" i="4"/>
  <c r="BD153" i="2"/>
  <c r="S33" i="3"/>
  <c r="BD102" i="2"/>
  <c r="BF122" i="2"/>
  <c r="BF124" i="2" s="1"/>
  <c r="AC42" i="3"/>
  <c r="I42" i="1"/>
  <c r="BA152" i="2"/>
  <c r="R21" i="3"/>
  <c r="CE26" i="11"/>
  <c r="BV20" i="11"/>
  <c r="BV82" i="2" s="1"/>
  <c r="R23" i="3"/>
  <c r="BB36" i="4"/>
  <c r="BB46" i="4"/>
  <c r="CB24" i="11"/>
  <c r="CC22" i="11" s="1"/>
  <c r="BE40" i="4"/>
  <c r="BE41" i="4" s="1"/>
  <c r="BE42" i="4" s="1"/>
  <c r="BC127" i="2"/>
  <c r="BC129" i="2" s="1"/>
  <c r="BC83" i="2" s="1"/>
  <c r="BB94" i="2"/>
  <c r="BB95" i="2" s="1"/>
  <c r="BB96" i="2" s="1"/>
  <c r="BB87" i="2"/>
  <c r="BV21" i="11" l="1"/>
  <c r="BW19" i="11" s="1"/>
  <c r="BF84" i="2"/>
  <c r="BF125" i="2"/>
  <c r="BG121" i="2" s="1"/>
  <c r="BC33" i="4"/>
  <c r="BC35" i="4" s="1"/>
  <c r="BC45" i="4" s="1"/>
  <c r="BC46" i="4" s="1"/>
  <c r="BC85" i="2"/>
  <c r="BC36" i="4"/>
  <c r="S34" i="3"/>
  <c r="BE99" i="2"/>
  <c r="BB152" i="2"/>
  <c r="BA156" i="2"/>
  <c r="BA161" i="2"/>
  <c r="R45" i="3" s="1"/>
  <c r="BC130" i="2"/>
  <c r="BD126" i="2" s="1"/>
  <c r="BW20" i="11"/>
  <c r="BW82" i="2" s="1"/>
  <c r="F71" i="5"/>
  <c r="I52" i="5"/>
  <c r="CE27" i="11"/>
  <c r="CF25" i="11" s="1"/>
  <c r="CC23" i="11"/>
  <c r="BV27" i="4"/>
  <c r="BV28" i="4" s="1"/>
  <c r="Y28" i="3"/>
  <c r="R43" i="3" l="1"/>
  <c r="BB151" i="2"/>
  <c r="BD127" i="2"/>
  <c r="S38" i="3" s="1"/>
  <c r="BD129" i="2"/>
  <c r="BD83" i="2" s="1"/>
  <c r="BC94" i="2"/>
  <c r="BC95" i="2" s="1"/>
  <c r="BC96" i="2" s="1"/>
  <c r="BC87" i="2"/>
  <c r="CF26" i="11"/>
  <c r="CF27" i="11"/>
  <c r="CG25" i="11" s="1"/>
  <c r="BG122" i="2"/>
  <c r="BV29" i="4"/>
  <c r="BW27" i="4"/>
  <c r="BW28" i="4" s="1"/>
  <c r="CC24" i="11"/>
  <c r="CD22" i="11" s="1"/>
  <c r="BW21" i="11"/>
  <c r="BX19" i="11" s="1"/>
  <c r="BE100" i="2"/>
  <c r="BE101" i="2" s="1"/>
  <c r="BF40" i="4"/>
  <c r="BF41" i="4" s="1"/>
  <c r="BF42" i="4" s="1"/>
  <c r="BE153" i="2" l="1"/>
  <c r="BX20" i="11"/>
  <c r="BX82" i="2" s="1"/>
  <c r="BD33" i="4"/>
  <c r="BD35" i="4" s="1"/>
  <c r="BD85" i="2"/>
  <c r="S29" i="3"/>
  <c r="BB156" i="2"/>
  <c r="BC151" i="2" s="1"/>
  <c r="BB159" i="2"/>
  <c r="BB161" i="2" s="1"/>
  <c r="CD23" i="11"/>
  <c r="BG124" i="2"/>
  <c r="BG84" i="2" s="1"/>
  <c r="CG26" i="11"/>
  <c r="CG27" i="11" s="1"/>
  <c r="CH25" i="11" s="1"/>
  <c r="BW29" i="4"/>
  <c r="BD130" i="2"/>
  <c r="BE126" i="2" s="1"/>
  <c r="BE102" i="2"/>
  <c r="BF99" i="2" s="1"/>
  <c r="BC152" i="2"/>
  <c r="BD94" i="2" l="1"/>
  <c r="BD95" i="2" s="1"/>
  <c r="BD96" i="2" s="1"/>
  <c r="BD87" i="2"/>
  <c r="S20" i="3"/>
  <c r="BX21" i="11"/>
  <c r="BY19" i="11" s="1"/>
  <c r="BX27" i="4"/>
  <c r="BX28" i="4" s="1"/>
  <c r="BC156" i="2"/>
  <c r="BD151" i="2" s="1"/>
  <c r="BC159" i="2"/>
  <c r="BC161" i="2" s="1"/>
  <c r="BG125" i="2"/>
  <c r="BE127" i="2"/>
  <c r="BD45" i="4"/>
  <c r="BD46" i="4" s="1"/>
  <c r="BD36" i="4"/>
  <c r="BG40" i="4"/>
  <c r="BG41" i="4" s="1"/>
  <c r="BG42" i="4" s="1"/>
  <c r="T30" i="3"/>
  <c r="F30" i="1"/>
  <c r="CH26" i="11"/>
  <c r="CH27" i="11" s="1"/>
  <c r="C53" i="11" s="1"/>
  <c r="CD24" i="11"/>
  <c r="CE22" i="11" s="1"/>
  <c r="BF100" i="2"/>
  <c r="BH121" i="2" l="1"/>
  <c r="D53" i="11"/>
  <c r="BY20" i="11"/>
  <c r="BY82" i="2" s="1"/>
  <c r="BF101" i="2"/>
  <c r="BE129" i="2"/>
  <c r="BE83" i="2" s="1"/>
  <c r="BX29" i="4"/>
  <c r="BD159" i="2"/>
  <c r="BD152" i="2"/>
  <c r="BD156" i="2" s="1"/>
  <c r="S21" i="3"/>
  <c r="CE23" i="11"/>
  <c r="S23" i="3"/>
  <c r="BY21" i="11" l="1"/>
  <c r="BZ19" i="11" s="1"/>
  <c r="S43" i="3"/>
  <c r="BE151" i="2"/>
  <c r="BZ20" i="11"/>
  <c r="BZ82" i="2" s="1"/>
  <c r="C54" i="11"/>
  <c r="BH122" i="2"/>
  <c r="BH124" i="2" s="1"/>
  <c r="BE33" i="4"/>
  <c r="BE35" i="4" s="1"/>
  <c r="BE85" i="2"/>
  <c r="BF153" i="2"/>
  <c r="BE130" i="2"/>
  <c r="BF126" i="2" s="1"/>
  <c r="BD161" i="2"/>
  <c r="S45" i="3" s="1"/>
  <c r="CE24" i="11"/>
  <c r="CF22" i="11" s="1"/>
  <c r="BY27" i="4"/>
  <c r="BY28" i="4" s="1"/>
  <c r="Z28" i="3"/>
  <c r="BF102" i="2"/>
  <c r="BG99" i="2" s="1"/>
  <c r="BH84" i="2" l="1"/>
  <c r="BH125" i="2"/>
  <c r="BI121" i="2" s="1"/>
  <c r="BE94" i="2"/>
  <c r="BE95" i="2" s="1"/>
  <c r="BE96" i="2" s="1"/>
  <c r="BE87" i="2"/>
  <c r="BY29" i="4"/>
  <c r="D54" i="11"/>
  <c r="CF23" i="11"/>
  <c r="BE45" i="4"/>
  <c r="BE46" i="4" s="1"/>
  <c r="BE36" i="4"/>
  <c r="BZ27" i="4"/>
  <c r="BZ28" i="4" s="1"/>
  <c r="BZ21" i="11"/>
  <c r="CA19" i="11" s="1"/>
  <c r="BG100" i="2"/>
  <c r="BG101" i="2" s="1"/>
  <c r="BE159" i="2"/>
  <c r="BF127" i="2"/>
  <c r="BF129" i="2" s="1"/>
  <c r="BF83" i="2" l="1"/>
  <c r="BF130" i="2"/>
  <c r="BG126" i="2" s="1"/>
  <c r="BG153" i="2"/>
  <c r="T33" i="3"/>
  <c r="F33" i="1"/>
  <c r="BG102" i="2"/>
  <c r="CF24" i="11"/>
  <c r="CG22" i="11" s="1"/>
  <c r="BE152" i="2"/>
  <c r="BE156" i="2" s="1"/>
  <c r="BF151" i="2" s="1"/>
  <c r="CA20" i="11"/>
  <c r="CA82" i="2" s="1"/>
  <c r="CA21" i="11"/>
  <c r="CB19" i="11" s="1"/>
  <c r="BI122" i="2"/>
  <c r="BI124" i="2" s="1"/>
  <c r="BZ29" i="4"/>
  <c r="C55" i="11"/>
  <c r="BH40" i="4"/>
  <c r="BH41" i="4" s="1"/>
  <c r="BH42" i="4" s="1"/>
  <c r="BI84" i="2" l="1"/>
  <c r="BI125" i="2"/>
  <c r="BJ121" i="2" s="1"/>
  <c r="CB20" i="11"/>
  <c r="CB82" i="2" s="1"/>
  <c r="BF159" i="2"/>
  <c r="D55" i="11"/>
  <c r="C56" i="11"/>
  <c r="BG127" i="2"/>
  <c r="T38" i="3" s="1"/>
  <c r="CG23" i="11"/>
  <c r="T34" i="3"/>
  <c r="BH99" i="2"/>
  <c r="F34" i="1"/>
  <c r="CA27" i="4"/>
  <c r="CA28" i="4" s="1"/>
  <c r="BE161" i="2"/>
  <c r="BF33" i="4"/>
  <c r="BF35" i="4" s="1"/>
  <c r="BF85" i="2"/>
  <c r="CG24" i="11" l="1"/>
  <c r="CH22" i="11" s="1"/>
  <c r="CB27" i="4"/>
  <c r="CB28" i="4" s="1"/>
  <c r="BF45" i="4"/>
  <c r="BF46" i="4" s="1"/>
  <c r="BF36" i="4"/>
  <c r="CA29" i="4"/>
  <c r="CB21" i="11"/>
  <c r="CC19" i="11" s="1"/>
  <c r="BG129" i="2"/>
  <c r="BG83" i="2" s="1"/>
  <c r="D56" i="11"/>
  <c r="C57" i="11" s="1"/>
  <c r="BJ122" i="2"/>
  <c r="BJ124" i="2" s="1"/>
  <c r="BJ84" i="2" s="1"/>
  <c r="AA28" i="3"/>
  <c r="BF94" i="2"/>
  <c r="BF95" i="2" s="1"/>
  <c r="BF96" i="2" s="1"/>
  <c r="BF87" i="2"/>
  <c r="BH100" i="2"/>
  <c r="BH102" i="2" s="1"/>
  <c r="BI99" i="2" s="1"/>
  <c r="BH101" i="2"/>
  <c r="BI40" i="4"/>
  <c r="BI41" i="4" s="1"/>
  <c r="BI42" i="4" s="1"/>
  <c r="BJ40" i="4" l="1"/>
  <c r="BJ41" i="4" s="1"/>
  <c r="U30" i="3"/>
  <c r="BI100" i="2"/>
  <c r="BI101" i="2" s="1"/>
  <c r="D57" i="11"/>
  <c r="C58" i="11" s="1"/>
  <c r="BF152" i="2"/>
  <c r="BJ42" i="4"/>
  <c r="BJ125" i="2"/>
  <c r="BK121" i="2" s="1"/>
  <c r="BG33" i="4"/>
  <c r="BG35" i="4" s="1"/>
  <c r="BG45" i="4" s="1"/>
  <c r="BG46" i="4" s="1"/>
  <c r="BG85" i="2"/>
  <c r="F29" i="1"/>
  <c r="T29" i="3"/>
  <c r="CB29" i="4"/>
  <c r="CH23" i="11"/>
  <c r="CC20" i="11"/>
  <c r="CC82" i="2" s="1"/>
  <c r="BH153" i="2"/>
  <c r="BG130" i="2"/>
  <c r="BG36" i="4" l="1"/>
  <c r="BI153" i="2"/>
  <c r="BI102" i="2"/>
  <c r="BJ99" i="2" s="1"/>
  <c r="CH24" i="11"/>
  <c r="BF156" i="2"/>
  <c r="BG151" i="2" s="1"/>
  <c r="BF161" i="2"/>
  <c r="BG94" i="2"/>
  <c r="BG95" i="2" s="1"/>
  <c r="BG96" i="2" s="1"/>
  <c r="BG87" i="2"/>
  <c r="F20" i="1"/>
  <c r="F46" i="5" s="1"/>
  <c r="T20" i="3"/>
  <c r="D58" i="11"/>
  <c r="C59" i="11" s="1"/>
  <c r="CC27" i="4"/>
  <c r="CC28" i="4" s="1"/>
  <c r="CC21" i="11"/>
  <c r="CD19" i="11" s="1"/>
  <c r="BH126" i="2"/>
  <c r="F38" i="1"/>
  <c r="BK122" i="2"/>
  <c r="BK124" i="2" s="1"/>
  <c r="BK84" i="2" s="1"/>
  <c r="D59" i="11" l="1"/>
  <c r="C60" i="11"/>
  <c r="BG152" i="2"/>
  <c r="T21" i="3"/>
  <c r="F21" i="1"/>
  <c r="BH127" i="2"/>
  <c r="BH129" i="2" s="1"/>
  <c r="BK40" i="4"/>
  <c r="BK41" i="4" s="1"/>
  <c r="BK42" i="4" s="1"/>
  <c r="BK125" i="2"/>
  <c r="BL121" i="2" s="1"/>
  <c r="BI107" i="2"/>
  <c r="BJ160" i="2"/>
  <c r="T23" i="3"/>
  <c r="F23" i="1"/>
  <c r="BG156" i="2"/>
  <c r="BG159" i="2"/>
  <c r="BG161" i="2" s="1"/>
  <c r="CD20" i="11"/>
  <c r="CD82" i="2" s="1"/>
  <c r="BJ100" i="2"/>
  <c r="CC29" i="4"/>
  <c r="BH83" i="2" l="1"/>
  <c r="BH130" i="2"/>
  <c r="BI126" i="2" s="1"/>
  <c r="BJ101" i="2"/>
  <c r="U35" i="3"/>
  <c r="BI154" i="2"/>
  <c r="G35" i="1"/>
  <c r="BI108" i="2"/>
  <c r="BJ106" i="2" s="1"/>
  <c r="BJ108" i="2" s="1"/>
  <c r="CD21" i="11"/>
  <c r="CE19" i="11" s="1"/>
  <c r="T45" i="3"/>
  <c r="F45" i="1"/>
  <c r="BH151" i="2"/>
  <c r="T43" i="3"/>
  <c r="F43" i="1"/>
  <c r="F50" i="5" s="1"/>
  <c r="U44" i="3"/>
  <c r="G44" i="1"/>
  <c r="BL122" i="2"/>
  <c r="BL124" i="2" s="1"/>
  <c r="D60" i="11"/>
  <c r="C61" i="11"/>
  <c r="CD27" i="4"/>
  <c r="CD28" i="4" s="1"/>
  <c r="BL84" i="2" l="1"/>
  <c r="BL125" i="2"/>
  <c r="BM121" i="2" s="1"/>
  <c r="D61" i="11"/>
  <c r="C62" i="11" s="1"/>
  <c r="CD29" i="4"/>
  <c r="U36" i="3"/>
  <c r="BK106" i="2"/>
  <c r="BK108" i="2" s="1"/>
  <c r="BL106" i="2" s="1"/>
  <c r="BL108" i="2" s="1"/>
  <c r="BM106" i="2" s="1"/>
  <c r="BM108" i="2" s="1"/>
  <c r="BJ153" i="2"/>
  <c r="U33" i="3"/>
  <c r="BH33" i="4"/>
  <c r="BH35" i="4" s="1"/>
  <c r="BH85" i="2"/>
  <c r="BH159" i="2"/>
  <c r="BI127" i="2"/>
  <c r="BI129" i="2"/>
  <c r="BI83" i="2" s="1"/>
  <c r="CE20" i="11"/>
  <c r="CE82" i="2" s="1"/>
  <c r="BJ102" i="2"/>
  <c r="BI130" i="2" l="1"/>
  <c r="BJ126" i="2" s="1"/>
  <c r="BJ127" i="2"/>
  <c r="U38" i="3" s="1"/>
  <c r="D62" i="11"/>
  <c r="C63" i="11" s="1"/>
  <c r="V36" i="3"/>
  <c r="BN106" i="2"/>
  <c r="BN108" i="2" s="1"/>
  <c r="BO106" i="2" s="1"/>
  <c r="BO108" i="2" s="1"/>
  <c r="BP106" i="2" s="1"/>
  <c r="BP108" i="2" s="1"/>
  <c r="BI33" i="4"/>
  <c r="BI35" i="4" s="1"/>
  <c r="BI45" i="4" s="1"/>
  <c r="BI85" i="2"/>
  <c r="CE27" i="4"/>
  <c r="CE28" i="4" s="1"/>
  <c r="CE29" i="4" s="1"/>
  <c r="H28" i="1"/>
  <c r="AB28" i="3"/>
  <c r="U34" i="3"/>
  <c r="BK99" i="2"/>
  <c r="BH45" i="4"/>
  <c r="BH46" i="4" s="1"/>
  <c r="BI46" i="4" s="1"/>
  <c r="BH36" i="4"/>
  <c r="BI36" i="4" s="1"/>
  <c r="BM122" i="2"/>
  <c r="BM124" i="2" s="1"/>
  <c r="BM84" i="2" s="1"/>
  <c r="BH94" i="2"/>
  <c r="BH95" i="2" s="1"/>
  <c r="BH96" i="2" s="1"/>
  <c r="BH87" i="2"/>
  <c r="CE21" i="11"/>
  <c r="CF19" i="11" s="1"/>
  <c r="BL40" i="4"/>
  <c r="BL41" i="4" s="1"/>
  <c r="BL42" i="4" s="1"/>
  <c r="BM40" i="4" l="1"/>
  <c r="BM41" i="4" s="1"/>
  <c r="V30" i="3"/>
  <c r="D63" i="11"/>
  <c r="C64" i="11"/>
  <c r="W36" i="3"/>
  <c r="BQ106" i="2"/>
  <c r="BQ108" i="2" s="1"/>
  <c r="BR106" i="2" s="1"/>
  <c r="BR108" i="2" s="1"/>
  <c r="BS106" i="2" s="1"/>
  <c r="BS108" i="2" s="1"/>
  <c r="CF20" i="11"/>
  <c r="CF82" i="2" s="1"/>
  <c r="BM125" i="2"/>
  <c r="BN121" i="2" s="1"/>
  <c r="BI94" i="2"/>
  <c r="BI95" i="2" s="1"/>
  <c r="BI96" i="2" s="1"/>
  <c r="BI87" i="2"/>
  <c r="BI152" i="2" s="1"/>
  <c r="BJ129" i="2"/>
  <c r="BJ83" i="2" s="1"/>
  <c r="BK100" i="2"/>
  <c r="BK101" i="2" s="1"/>
  <c r="BM42" i="4"/>
  <c r="BH152" i="2"/>
  <c r="BK153" i="2" l="1"/>
  <c r="BK102" i="2"/>
  <c r="BL99" i="2" s="1"/>
  <c r="X36" i="3"/>
  <c r="BT106" i="2"/>
  <c r="BT108" i="2" s="1"/>
  <c r="BU106" i="2" s="1"/>
  <c r="G36" i="1"/>
  <c r="BN122" i="2"/>
  <c r="BN124" i="2" s="1"/>
  <c r="D64" i="11"/>
  <c r="C65" i="11"/>
  <c r="BJ130" i="2"/>
  <c r="BK126" i="2" s="1"/>
  <c r="CF27" i="4"/>
  <c r="CF28" i="4" s="1"/>
  <c r="BJ33" i="4"/>
  <c r="BJ35" i="4" s="1"/>
  <c r="BJ85" i="2"/>
  <c r="U29" i="3"/>
  <c r="BH156" i="2"/>
  <c r="BI151" i="2" s="1"/>
  <c r="BH161" i="2"/>
  <c r="CF21" i="11"/>
  <c r="CG19" i="11" s="1"/>
  <c r="BN84" i="2" l="1"/>
  <c r="BN125" i="2"/>
  <c r="BO121" i="2" s="1"/>
  <c r="BI156" i="2"/>
  <c r="BJ151" i="2" s="1"/>
  <c r="BI159" i="2"/>
  <c r="BI161" i="2" s="1"/>
  <c r="D65" i="11"/>
  <c r="C66" i="11" s="1"/>
  <c r="CF29" i="4"/>
  <c r="BJ94" i="2"/>
  <c r="BJ95" i="2" s="1"/>
  <c r="BJ96" i="2" s="1"/>
  <c r="BJ87" i="2"/>
  <c r="U20" i="3"/>
  <c r="BJ45" i="4"/>
  <c r="BJ46" i="4" s="1"/>
  <c r="BJ36" i="4"/>
  <c r="BK127" i="2"/>
  <c r="BK129" i="2" s="1"/>
  <c r="BL100" i="2"/>
  <c r="BL101" i="2" s="1"/>
  <c r="CG20" i="11"/>
  <c r="CG82" i="2" s="1"/>
  <c r="BL153" i="2" l="1"/>
  <c r="BL102" i="2"/>
  <c r="BM99" i="2" s="1"/>
  <c r="BK83" i="2"/>
  <c r="BK130" i="2"/>
  <c r="BL126" i="2" s="1"/>
  <c r="D66" i="11"/>
  <c r="C67" i="11" s="1"/>
  <c r="CG27" i="4"/>
  <c r="CG28" i="4" s="1"/>
  <c r="CG29" i="4" s="1"/>
  <c r="BJ156" i="2"/>
  <c r="BJ159" i="2"/>
  <c r="CG21" i="11"/>
  <c r="CH19" i="11" s="1"/>
  <c r="BJ152" i="2"/>
  <c r="U21" i="3"/>
  <c r="BO122" i="2"/>
  <c r="BO124" i="2" s="1"/>
  <c r="BO84" i="2" s="1"/>
  <c r="U23" i="3"/>
  <c r="BN40" i="4"/>
  <c r="BN41" i="4" s="1"/>
  <c r="BN42" i="4" s="1"/>
  <c r="BJ161" i="2" l="1"/>
  <c r="U45" i="3" s="1"/>
  <c r="BO40" i="4"/>
  <c r="BO41" i="4" s="1"/>
  <c r="D67" i="11"/>
  <c r="C68" i="11" s="1"/>
  <c r="BK33" i="4"/>
  <c r="BK35" i="4" s="1"/>
  <c r="BK85" i="2"/>
  <c r="BM100" i="2"/>
  <c r="BM101" i="2" s="1"/>
  <c r="BO125" i="2"/>
  <c r="BP121" i="2" s="1"/>
  <c r="BO42" i="4"/>
  <c r="BL127" i="2"/>
  <c r="BL129" i="2" s="1"/>
  <c r="BL83" i="2" s="1"/>
  <c r="BK151" i="2"/>
  <c r="U43" i="3"/>
  <c r="CH20" i="11"/>
  <c r="CH82" i="2" s="1"/>
  <c r="BM153" i="2" l="1"/>
  <c r="V33" i="3"/>
  <c r="BM102" i="2"/>
  <c r="BL33" i="4"/>
  <c r="BL35" i="4" s="1"/>
  <c r="BL45" i="4" s="1"/>
  <c r="BL85" i="2"/>
  <c r="D68" i="11"/>
  <c r="C69" i="11"/>
  <c r="BP122" i="2"/>
  <c r="BK45" i="4"/>
  <c r="BK46" i="4" s="1"/>
  <c r="BK36" i="4"/>
  <c r="CH21" i="11"/>
  <c r="BK159" i="2"/>
  <c r="CH27" i="4"/>
  <c r="CH28" i="4" s="1"/>
  <c r="AC28" i="3"/>
  <c r="I28" i="1"/>
  <c r="BK94" i="2"/>
  <c r="BK95" i="2" s="1"/>
  <c r="BK96" i="2" s="1"/>
  <c r="BK87" i="2"/>
  <c r="BL130" i="2"/>
  <c r="BM126" i="2" s="1"/>
  <c r="BL36" i="4" l="1"/>
  <c r="BL46" i="4"/>
  <c r="V34" i="3"/>
  <c r="BN99" i="2"/>
  <c r="BL94" i="2"/>
  <c r="BL95" i="2" s="1"/>
  <c r="BL96" i="2" s="1"/>
  <c r="BL87" i="2"/>
  <c r="BL152" i="2" s="1"/>
  <c r="BP124" i="2"/>
  <c r="BP84" i="2" s="1"/>
  <c r="BM127" i="2"/>
  <c r="V38" i="3" s="1"/>
  <c r="D69" i="11"/>
  <c r="C70" i="11" s="1"/>
  <c r="CH29" i="4"/>
  <c r="BK152" i="2"/>
  <c r="BK156" i="2" s="1"/>
  <c r="BL151" i="2" s="1"/>
  <c r="BM129" i="2" l="1"/>
  <c r="BM83" i="2" s="1"/>
  <c r="D70" i="11"/>
  <c r="C71" i="11" s="1"/>
  <c r="BM33" i="4"/>
  <c r="BM35" i="4" s="1"/>
  <c r="BM85" i="2"/>
  <c r="V29" i="3"/>
  <c r="BN100" i="2"/>
  <c r="BL156" i="2"/>
  <c r="BM151" i="2" s="1"/>
  <c r="BL159" i="2"/>
  <c r="BL161" i="2" s="1"/>
  <c r="BP40" i="4"/>
  <c r="BP41" i="4" s="1"/>
  <c r="BP42" i="4" s="1"/>
  <c r="W30" i="3"/>
  <c r="BM130" i="2"/>
  <c r="BN126" i="2" s="1"/>
  <c r="BK161" i="2"/>
  <c r="BP125" i="2"/>
  <c r="BQ121" i="2" s="1"/>
  <c r="D71" i="11" l="1"/>
  <c r="C72" i="11"/>
  <c r="BM94" i="2"/>
  <c r="BM95" i="2" s="1"/>
  <c r="BM96" i="2" s="1"/>
  <c r="BM87" i="2"/>
  <c r="V20" i="3"/>
  <c r="BM159" i="2"/>
  <c r="BM45" i="4"/>
  <c r="BM46" i="4" s="1"/>
  <c r="BM36" i="4"/>
  <c r="BQ122" i="2"/>
  <c r="BN127" i="2"/>
  <c r="BN129" i="2" s="1"/>
  <c r="BN101" i="2"/>
  <c r="BN83" i="2" l="1"/>
  <c r="BN130" i="2"/>
  <c r="BO126" i="2" s="1"/>
  <c r="BQ124" i="2"/>
  <c r="BQ84" i="2" s="1"/>
  <c r="BM152" i="2"/>
  <c r="BM156" i="2" s="1"/>
  <c r="V21" i="3"/>
  <c r="BN153" i="2"/>
  <c r="V23" i="3"/>
  <c r="D72" i="11"/>
  <c r="C73" i="11" s="1"/>
  <c r="BN102" i="2"/>
  <c r="BO99" i="2" s="1"/>
  <c r="BN151" i="2" l="1"/>
  <c r="V43" i="3"/>
  <c r="BO100" i="2"/>
  <c r="BO101" i="2"/>
  <c r="BQ40" i="4"/>
  <c r="BQ41" i="4" s="1"/>
  <c r="BQ42" i="4" s="1"/>
  <c r="BO127" i="2"/>
  <c r="BM161" i="2"/>
  <c r="V45" i="3" s="1"/>
  <c r="BQ125" i="2"/>
  <c r="BR121" i="2" s="1"/>
  <c r="D73" i="11"/>
  <c r="C74" i="11" s="1"/>
  <c r="BN33" i="4"/>
  <c r="BN35" i="4" s="1"/>
  <c r="BN85" i="2"/>
  <c r="D74" i="11" l="1"/>
  <c r="C75" i="11" s="1"/>
  <c r="BO153" i="2"/>
  <c r="BO102" i="2"/>
  <c r="BP99" i="2" s="1"/>
  <c r="BN94" i="2"/>
  <c r="BN95" i="2" s="1"/>
  <c r="BN96" i="2" s="1"/>
  <c r="BN87" i="2"/>
  <c r="BO129" i="2"/>
  <c r="BO83" i="2" s="1"/>
  <c r="BR122" i="2"/>
  <c r="BR124" i="2" s="1"/>
  <c r="BR84" i="2" s="1"/>
  <c r="BN45" i="4"/>
  <c r="BN46" i="4" s="1"/>
  <c r="BN36" i="4"/>
  <c r="BN159" i="2"/>
  <c r="BR40" i="4" l="1"/>
  <c r="BR41" i="4" s="1"/>
  <c r="BR42" i="4" s="1"/>
  <c r="D75" i="11"/>
  <c r="C76" i="11"/>
  <c r="BO33" i="4"/>
  <c r="BO35" i="4" s="1"/>
  <c r="BO45" i="4" s="1"/>
  <c r="BO46" i="4" s="1"/>
  <c r="BO85" i="2"/>
  <c r="BR125" i="2"/>
  <c r="BS121" i="2" s="1"/>
  <c r="BP100" i="2"/>
  <c r="BN152" i="2"/>
  <c r="BN156" i="2" s="1"/>
  <c r="BO151" i="2" s="1"/>
  <c r="BO130" i="2"/>
  <c r="BP126" i="2" s="1"/>
  <c r="BP101" i="2" l="1"/>
  <c r="BP102" i="2" s="1"/>
  <c r="BO94" i="2"/>
  <c r="BO95" i="2" s="1"/>
  <c r="BO96" i="2" s="1"/>
  <c r="BO87" i="2"/>
  <c r="D76" i="11"/>
  <c r="C77" i="11" s="1"/>
  <c r="BO36" i="4"/>
  <c r="BS122" i="2"/>
  <c r="BS124" i="2"/>
  <c r="BS84" i="2" s="1"/>
  <c r="BO159" i="2"/>
  <c r="BP153" i="2"/>
  <c r="W33" i="3"/>
  <c r="BN161" i="2"/>
  <c r="BP127" i="2"/>
  <c r="W38" i="3" s="1"/>
  <c r="BQ99" i="2" l="1"/>
  <c r="W34" i="3"/>
  <c r="BP129" i="2"/>
  <c r="BP83" i="2" s="1"/>
  <c r="BP33" i="4" s="1"/>
  <c r="BP35" i="4" s="1"/>
  <c r="BP45" i="4" s="1"/>
  <c r="BP46" i="4" s="1"/>
  <c r="D77" i="11"/>
  <c r="C78" i="11"/>
  <c r="BS40" i="4"/>
  <c r="BS41" i="4" s="1"/>
  <c r="BS42" i="4" s="1"/>
  <c r="G30" i="1"/>
  <c r="X30" i="3"/>
  <c r="BS125" i="2"/>
  <c r="BQ100" i="2"/>
  <c r="BQ101" i="2"/>
  <c r="BP130" i="2"/>
  <c r="BQ126" i="2" s="1"/>
  <c r="BO152" i="2"/>
  <c r="BO156" i="2" s="1"/>
  <c r="BP151" i="2" s="1"/>
  <c r="W29" i="3" l="1"/>
  <c r="BQ102" i="2"/>
  <c r="BR99" i="2" s="1"/>
  <c r="BP85" i="2"/>
  <c r="BR100" i="2"/>
  <c r="BQ127" i="2"/>
  <c r="BQ129" i="2" s="1"/>
  <c r="BQ153" i="2"/>
  <c r="BP36" i="4"/>
  <c r="BT121" i="2"/>
  <c r="D78" i="11"/>
  <c r="C79" i="11" s="1"/>
  <c r="BP159" i="2"/>
  <c r="BO161" i="2"/>
  <c r="BP94" i="2"/>
  <c r="BP95" i="2" s="1"/>
  <c r="BP96" i="2" s="1"/>
  <c r="BP87" i="2"/>
  <c r="W20" i="3"/>
  <c r="D79" i="11" l="1"/>
  <c r="C80" i="11" s="1"/>
  <c r="BQ83" i="2"/>
  <c r="BQ130" i="2"/>
  <c r="BR126" i="2" s="1"/>
  <c r="BP152" i="2"/>
  <c r="BP156" i="2" s="1"/>
  <c r="W21" i="3"/>
  <c r="W23" i="3"/>
  <c r="BR101" i="2"/>
  <c r="BT122" i="2"/>
  <c r="BT124" i="2" s="1"/>
  <c r="BT84" i="2" l="1"/>
  <c r="BT125" i="2"/>
  <c r="BU121" i="2" s="1"/>
  <c r="W43" i="3"/>
  <c r="BQ151" i="2"/>
  <c r="BR127" i="2"/>
  <c r="BR129" i="2"/>
  <c r="BR83" i="2" s="1"/>
  <c r="D80" i="11"/>
  <c r="C81" i="11" s="1"/>
  <c r="BR153" i="2"/>
  <c r="BR102" i="2"/>
  <c r="BS99" i="2" s="1"/>
  <c r="BQ33" i="4"/>
  <c r="BQ35" i="4" s="1"/>
  <c r="BQ85" i="2"/>
  <c r="BP161" i="2"/>
  <c r="W45" i="3" s="1"/>
  <c r="BR130" i="2" l="1"/>
  <c r="BS126" i="2" s="1"/>
  <c r="D81" i="11"/>
  <c r="C82" i="11" s="1"/>
  <c r="BS127" i="2"/>
  <c r="X38" i="3" s="1"/>
  <c r="BR33" i="4"/>
  <c r="BR35" i="4" s="1"/>
  <c r="BR45" i="4" s="1"/>
  <c r="BR85" i="2"/>
  <c r="BQ45" i="4"/>
  <c r="BQ46" i="4" s="1"/>
  <c r="BR46" i="4" s="1"/>
  <c r="BQ36" i="4"/>
  <c r="BQ94" i="2"/>
  <c r="BQ95" i="2" s="1"/>
  <c r="BQ96" i="2" s="1"/>
  <c r="BQ87" i="2"/>
  <c r="BU122" i="2"/>
  <c r="BU124" i="2" s="1"/>
  <c r="BU84" i="2" s="1"/>
  <c r="BS100" i="2"/>
  <c r="BQ159" i="2"/>
  <c r="BT40" i="4"/>
  <c r="BT41" i="4" s="1"/>
  <c r="BT42" i="4" s="1"/>
  <c r="BS101" i="2" l="1"/>
  <c r="BS102" i="2" s="1"/>
  <c r="BU40" i="4"/>
  <c r="BU41" i="4" s="1"/>
  <c r="BU42" i="4" s="1"/>
  <c r="D82" i="11"/>
  <c r="C83" i="11" s="1"/>
  <c r="BU125" i="2"/>
  <c r="BV121" i="2" s="1"/>
  <c r="BR94" i="2"/>
  <c r="BR95" i="2" s="1"/>
  <c r="BR96" i="2" s="1"/>
  <c r="BR87" i="2"/>
  <c r="BR152" i="2" s="1"/>
  <c r="BS153" i="2"/>
  <c r="X33" i="3"/>
  <c r="G33" i="1"/>
  <c r="BQ152" i="2"/>
  <c r="BQ156" i="2" s="1"/>
  <c r="BR151" i="2" s="1"/>
  <c r="BS129" i="2"/>
  <c r="BS83" i="2" s="1"/>
  <c r="BR36" i="4"/>
  <c r="BT99" i="2" l="1"/>
  <c r="X34" i="3"/>
  <c r="G34" i="1"/>
  <c r="D83" i="11"/>
  <c r="C84" i="11"/>
  <c r="BR156" i="2"/>
  <c r="BS151" i="2" s="1"/>
  <c r="BR159" i="2"/>
  <c r="BR161" i="2" s="1"/>
  <c r="BS33" i="4"/>
  <c r="BS35" i="4" s="1"/>
  <c r="BS45" i="4" s="1"/>
  <c r="BS46" i="4" s="1"/>
  <c r="BS85" i="2"/>
  <c r="X29" i="3"/>
  <c r="G29" i="1"/>
  <c r="BV122" i="2"/>
  <c r="BV124" i="2" s="1"/>
  <c r="BV84" i="2" s="1"/>
  <c r="BT100" i="2"/>
  <c r="BS130" i="2"/>
  <c r="BQ161" i="2"/>
  <c r="BV40" i="4" l="1"/>
  <c r="BV41" i="4" s="1"/>
  <c r="BV42" i="4" s="1"/>
  <c r="Y30" i="3"/>
  <c r="D84" i="11"/>
  <c r="C85" i="11" s="1"/>
  <c r="BT126" i="2"/>
  <c r="G38" i="1"/>
  <c r="BS36" i="4"/>
  <c r="BT101" i="2"/>
  <c r="BS159" i="2"/>
  <c r="BV125" i="2"/>
  <c r="BW121" i="2" s="1"/>
  <c r="BS94" i="2"/>
  <c r="BS95" i="2" s="1"/>
  <c r="BS96" i="2" s="1"/>
  <c r="BS87" i="2"/>
  <c r="G20" i="1"/>
  <c r="G46" i="5" s="1"/>
  <c r="X20" i="3"/>
  <c r="D85" i="11" l="1"/>
  <c r="C86" i="11"/>
  <c r="BU107" i="2"/>
  <c r="G23" i="1"/>
  <c r="X23" i="3"/>
  <c r="BV160" i="2"/>
  <c r="BT153" i="2"/>
  <c r="BW122" i="2"/>
  <c r="BS152" i="2"/>
  <c r="BS156" i="2" s="1"/>
  <c r="G21" i="1"/>
  <c r="X21" i="3"/>
  <c r="BT127" i="2"/>
  <c r="BT129" i="2" s="1"/>
  <c r="BT102" i="2"/>
  <c r="BU99" i="2" s="1"/>
  <c r="BT83" i="2" l="1"/>
  <c r="BT130" i="2"/>
  <c r="BU126" i="2" s="1"/>
  <c r="X43" i="3"/>
  <c r="BT151" i="2"/>
  <c r="G43" i="1"/>
  <c r="Y44" i="3"/>
  <c r="H44" i="1"/>
  <c r="BW124" i="2"/>
  <c r="BW84" i="2" s="1"/>
  <c r="BS161" i="2"/>
  <c r="D86" i="11"/>
  <c r="C87" i="11" s="1"/>
  <c r="BU100" i="2"/>
  <c r="Y35" i="3"/>
  <c r="BU154" i="2"/>
  <c r="H35" i="1"/>
  <c r="BU108" i="2"/>
  <c r="BV106" i="2" s="1"/>
  <c r="BV108" i="2" s="1"/>
  <c r="D87" i="11" l="1"/>
  <c r="C88" i="11"/>
  <c r="BU101" i="2"/>
  <c r="Y36" i="3"/>
  <c r="BW106" i="2"/>
  <c r="BW108" i="2" s="1"/>
  <c r="BX106" i="2" s="1"/>
  <c r="BX108" i="2" s="1"/>
  <c r="BY106" i="2" s="1"/>
  <c r="BY108" i="2" s="1"/>
  <c r="E72" i="5"/>
  <c r="G50" i="5"/>
  <c r="BT159" i="2"/>
  <c r="BT33" i="4"/>
  <c r="BT35" i="4" s="1"/>
  <c r="BT85" i="2"/>
  <c r="BU127" i="2"/>
  <c r="X45" i="3"/>
  <c r="G45" i="1"/>
  <c r="BW40" i="4"/>
  <c r="BW41" i="4" s="1"/>
  <c r="BW42" i="4" s="1"/>
  <c r="BW125" i="2"/>
  <c r="BX121" i="2" s="1"/>
  <c r="BU129" i="2" l="1"/>
  <c r="BU83" i="2" s="1"/>
  <c r="BT94" i="2"/>
  <c r="BT95" i="2" s="1"/>
  <c r="BT96" i="2" s="1"/>
  <c r="BT87" i="2"/>
  <c r="BU153" i="2"/>
  <c r="BX122" i="2"/>
  <c r="BX124" i="2"/>
  <c r="BX84" i="2" s="1"/>
  <c r="Z36" i="3"/>
  <c r="BZ106" i="2"/>
  <c r="BZ108" i="2" s="1"/>
  <c r="CA106" i="2" s="1"/>
  <c r="CA108" i="2" s="1"/>
  <c r="CB106" i="2" s="1"/>
  <c r="CB108" i="2" s="1"/>
  <c r="BT45" i="4"/>
  <c r="BT46" i="4" s="1"/>
  <c r="BT36" i="4"/>
  <c r="D88" i="11"/>
  <c r="C89" i="11"/>
  <c r="BU102" i="2"/>
  <c r="BV99" i="2" s="1"/>
  <c r="BX125" i="2" l="1"/>
  <c r="BY121" i="2" s="1"/>
  <c r="BY122" i="2"/>
  <c r="BY124" i="2"/>
  <c r="BY84" i="2" s="1"/>
  <c r="Z30" i="3" s="1"/>
  <c r="AA36" i="3"/>
  <c r="CC106" i="2"/>
  <c r="CC108" i="2" s="1"/>
  <c r="CD106" i="2" s="1"/>
  <c r="CD108" i="2" s="1"/>
  <c r="CE106" i="2" s="1"/>
  <c r="CE108" i="2" s="1"/>
  <c r="BV100" i="2"/>
  <c r="BV101" i="2"/>
  <c r="BX40" i="4"/>
  <c r="BX41" i="4" s="1"/>
  <c r="BX42" i="4" s="1"/>
  <c r="BT152" i="2"/>
  <c r="D89" i="11"/>
  <c r="C90" i="11" s="1"/>
  <c r="BU33" i="4"/>
  <c r="BU35" i="4" s="1"/>
  <c r="BU45" i="4" s="1"/>
  <c r="BU46" i="4" s="1"/>
  <c r="BU85" i="2"/>
  <c r="BU130" i="2"/>
  <c r="BV126" i="2" s="1"/>
  <c r="BY125" i="2" l="1"/>
  <c r="BZ121" i="2" s="1"/>
  <c r="D90" i="11"/>
  <c r="C91" i="11" s="1"/>
  <c r="BV153" i="2"/>
  <c r="Y33" i="3"/>
  <c r="BV102" i="2"/>
  <c r="BT156" i="2"/>
  <c r="BU151" i="2" s="1"/>
  <c r="BT161" i="2"/>
  <c r="BU94" i="2"/>
  <c r="BU95" i="2" s="1"/>
  <c r="BU96" i="2" s="1"/>
  <c r="BU87" i="2"/>
  <c r="BV127" i="2"/>
  <c r="Y38" i="3" s="1"/>
  <c r="BV129" i="2"/>
  <c r="BV83" i="2" s="1"/>
  <c r="BY40" i="4"/>
  <c r="BY41" i="4" s="1"/>
  <c r="BY42" i="4" s="1"/>
  <c r="AB36" i="3"/>
  <c r="H36" i="1"/>
  <c r="CF106" i="2"/>
  <c r="CF108" i="2" s="1"/>
  <c r="CG106" i="2" s="1"/>
  <c r="BZ122" i="2"/>
  <c r="BU36" i="4"/>
  <c r="D91" i="11" l="1"/>
  <c r="C92" i="11"/>
  <c r="D92" i="11" s="1"/>
  <c r="D93" i="11" s="1"/>
  <c r="BZ124" i="2"/>
  <c r="BZ84" i="2" s="1"/>
  <c r="BV33" i="4"/>
  <c r="BV35" i="4" s="1"/>
  <c r="BV45" i="4" s="1"/>
  <c r="BV46" i="4" s="1"/>
  <c r="BV85" i="2"/>
  <c r="Y29" i="3"/>
  <c r="BV130" i="2"/>
  <c r="BW126" i="2" s="1"/>
  <c r="Y34" i="3"/>
  <c r="BW99" i="2"/>
  <c r="BU159" i="2"/>
  <c r="BU152" i="2"/>
  <c r="BU156" i="2" s="1"/>
  <c r="BV151" i="2" s="1"/>
  <c r="BV36" i="4" l="1"/>
  <c r="BV159" i="2"/>
  <c r="BU161" i="2"/>
  <c r="BZ40" i="4"/>
  <c r="BZ41" i="4" s="1"/>
  <c r="BZ42" i="4" s="1"/>
  <c r="BW100" i="2"/>
  <c r="BW101" i="2"/>
  <c r="BV94" i="2"/>
  <c r="BV95" i="2" s="1"/>
  <c r="BV96" i="2" s="1"/>
  <c r="BV87" i="2"/>
  <c r="Y20" i="3"/>
  <c r="BW127" i="2"/>
  <c r="BZ125" i="2"/>
  <c r="CA121" i="2" s="1"/>
  <c r="BW129" i="2" l="1"/>
  <c r="BW83" i="2" s="1"/>
  <c r="BW33" i="4" s="1"/>
  <c r="BW35" i="4" s="1"/>
  <c r="CA122" i="2"/>
  <c r="CA124" i="2" s="1"/>
  <c r="BV152" i="2"/>
  <c r="BV156" i="2" s="1"/>
  <c r="Y21" i="3"/>
  <c r="Y23" i="3"/>
  <c r="BW153" i="2"/>
  <c r="BW102" i="2"/>
  <c r="BX99" i="2" s="1"/>
  <c r="BV161" i="2" l="1"/>
  <c r="Y45" i="3" s="1"/>
  <c r="BW85" i="2"/>
  <c r="BW130" i="2"/>
  <c r="BX126" i="2" s="1"/>
  <c r="CA84" i="2"/>
  <c r="CA125" i="2"/>
  <c r="CB121" i="2" s="1"/>
  <c r="BX100" i="2"/>
  <c r="BX101" i="2"/>
  <c r="BW45" i="4"/>
  <c r="BW46" i="4" s="1"/>
  <c r="BW36" i="4"/>
  <c r="Y43" i="3"/>
  <c r="BW151" i="2"/>
  <c r="BW94" i="2"/>
  <c r="BW95" i="2" s="1"/>
  <c r="BW96" i="2" s="1"/>
  <c r="BW87" i="2"/>
  <c r="BX127" i="2" l="1"/>
  <c r="BX129" i="2"/>
  <c r="BX83" i="2" s="1"/>
  <c r="BX102" i="2"/>
  <c r="BY99" i="2" s="1"/>
  <c r="BY100" i="2"/>
  <c r="BY101" i="2"/>
  <c r="BY153" i="2" s="1"/>
  <c r="BW152" i="2"/>
  <c r="BW156" i="2" s="1"/>
  <c r="BX151" i="2" s="1"/>
  <c r="BX153" i="2"/>
  <c r="CB122" i="2"/>
  <c r="BW159" i="2"/>
  <c r="CA40" i="4"/>
  <c r="CA41" i="4" s="1"/>
  <c r="CA42" i="4" s="1"/>
  <c r="BX130" i="2" l="1"/>
  <c r="BY126" i="2" s="1"/>
  <c r="BX33" i="4"/>
  <c r="BX35" i="4" s="1"/>
  <c r="BX85" i="2"/>
  <c r="BY102" i="2"/>
  <c r="BZ99" i="2" s="1"/>
  <c r="Z33" i="3"/>
  <c r="BX159" i="2"/>
  <c r="Z34" i="3"/>
  <c r="CB124" i="2"/>
  <c r="CB84" i="2" s="1"/>
  <c r="BW161" i="2"/>
  <c r="BX94" i="2" l="1"/>
  <c r="BX95" i="2" s="1"/>
  <c r="BX96" i="2" s="1"/>
  <c r="BX87" i="2"/>
  <c r="BX152" i="2" s="1"/>
  <c r="BX156" i="2" s="1"/>
  <c r="BY151" i="2" s="1"/>
  <c r="BX45" i="4"/>
  <c r="BX46" i="4" s="1"/>
  <c r="BX36" i="4"/>
  <c r="BX161" i="2"/>
  <c r="BY127" i="2"/>
  <c r="BY129" i="2" s="1"/>
  <c r="BY83" i="2" s="1"/>
  <c r="CB40" i="4"/>
  <c r="CB41" i="4" s="1"/>
  <c r="CB42" i="4" s="1"/>
  <c r="AA30" i="3"/>
  <c r="BZ100" i="2"/>
  <c r="BZ101" i="2" s="1"/>
  <c r="BY159" i="2"/>
  <c r="CB125" i="2"/>
  <c r="CC121" i="2" s="1"/>
  <c r="BY85" i="2" l="1"/>
  <c r="BY33" i="4"/>
  <c r="BY35" i="4" s="1"/>
  <c r="Z29" i="3"/>
  <c r="Z38" i="3"/>
  <c r="BY130" i="2"/>
  <c r="BZ126" i="2" s="1"/>
  <c r="BZ153" i="2"/>
  <c r="BZ102" i="2"/>
  <c r="CA99" i="2" s="1"/>
  <c r="CC122" i="2"/>
  <c r="BY94" i="2"/>
  <c r="BY95" i="2" s="1"/>
  <c r="BY96" i="2" s="1"/>
  <c r="BY87" i="2"/>
  <c r="Z20" i="3"/>
  <c r="BY45" i="4"/>
  <c r="BY46" i="4" s="1"/>
  <c r="BY36" i="4"/>
  <c r="BZ127" i="2" l="1"/>
  <c r="BZ129" i="2" s="1"/>
  <c r="BY152" i="2"/>
  <c r="Z21" i="3"/>
  <c r="CC124" i="2"/>
  <c r="CC84" i="2" s="1"/>
  <c r="CA100" i="2"/>
  <c r="CA101" i="2" s="1"/>
  <c r="Z23" i="3"/>
  <c r="BZ83" i="2" l="1"/>
  <c r="BZ130" i="2"/>
  <c r="CA126" i="2" s="1"/>
  <c r="CA127" i="2" s="1"/>
  <c r="CA153" i="2"/>
  <c r="CA102" i="2"/>
  <c r="CB99" i="2" s="1"/>
  <c r="BY156" i="2"/>
  <c r="BY161" i="2"/>
  <c r="Z45" i="3" s="1"/>
  <c r="CC40" i="4"/>
  <c r="CC41" i="4" s="1"/>
  <c r="CC42" i="4" s="1"/>
  <c r="CC125" i="2"/>
  <c r="CD121" i="2" s="1"/>
  <c r="CA129" i="2" l="1"/>
  <c r="BZ85" i="2"/>
  <c r="BZ33" i="4"/>
  <c r="BZ35" i="4" s="1"/>
  <c r="CB100" i="2"/>
  <c r="CB101" i="2" s="1"/>
  <c r="Z43" i="3"/>
  <c r="BZ151" i="2"/>
  <c r="CD122" i="2"/>
  <c r="CD124" i="2"/>
  <c r="CD84" i="2" s="1"/>
  <c r="BZ45" i="4" l="1"/>
  <c r="BZ46" i="4" s="1"/>
  <c r="BZ36" i="4"/>
  <c r="BZ87" i="2"/>
  <c r="BZ152" i="2" s="1"/>
  <c r="BZ156" i="2" s="1"/>
  <c r="CA151" i="2" s="1"/>
  <c r="BZ94" i="2"/>
  <c r="BZ95" i="2" s="1"/>
  <c r="BZ96" i="2" s="1"/>
  <c r="CD125" i="2"/>
  <c r="CE121" i="2" s="1"/>
  <c r="CA83" i="2"/>
  <c r="CA130" i="2"/>
  <c r="CB126" i="2" s="1"/>
  <c r="CB127" i="2" s="1"/>
  <c r="AA38" i="3" s="1"/>
  <c r="CE122" i="2"/>
  <c r="CB153" i="2"/>
  <c r="AA33" i="3"/>
  <c r="CD40" i="4"/>
  <c r="CD41" i="4" s="1"/>
  <c r="CD42" i="4" s="1"/>
  <c r="CB102" i="2"/>
  <c r="BZ159" i="2"/>
  <c r="BZ161" i="2" s="1"/>
  <c r="CA85" i="2" l="1"/>
  <c r="CA33" i="4"/>
  <c r="CA35" i="4" s="1"/>
  <c r="CB129" i="2"/>
  <c r="CB83" i="2" s="1"/>
  <c r="CA159" i="2"/>
  <c r="AA34" i="3"/>
  <c r="CC99" i="2"/>
  <c r="CE124" i="2"/>
  <c r="CE84" i="2" s="1"/>
  <c r="CB33" i="4"/>
  <c r="CB35" i="4" s="1"/>
  <c r="CB45" i="4" s="1"/>
  <c r="CB85" i="2"/>
  <c r="AA29" i="3"/>
  <c r="CB130" i="2" l="1"/>
  <c r="CC126" i="2" s="1"/>
  <c r="CA36" i="4"/>
  <c r="CB36" i="4" s="1"/>
  <c r="CA45" i="4"/>
  <c r="CA46" i="4" s="1"/>
  <c r="CB46" i="4" s="1"/>
  <c r="CA94" i="2"/>
  <c r="CA95" i="2" s="1"/>
  <c r="CA96" i="2" s="1"/>
  <c r="CA87" i="2"/>
  <c r="CA152" i="2" s="1"/>
  <c r="CA156" i="2" s="1"/>
  <c r="CB151" i="2" s="1"/>
  <c r="CB159" i="2"/>
  <c r="CB94" i="2"/>
  <c r="CB95" i="2" s="1"/>
  <c r="CB96" i="2" s="1"/>
  <c r="CB87" i="2"/>
  <c r="AA20" i="3"/>
  <c r="CA161" i="2"/>
  <c r="CE40" i="4"/>
  <c r="CE41" i="4" s="1"/>
  <c r="CE42" i="4" s="1"/>
  <c r="AB30" i="3"/>
  <c r="H30" i="1"/>
  <c r="CC100" i="2"/>
  <c r="CC101" i="2" s="1"/>
  <c r="CE125" i="2"/>
  <c r="CC129" i="2" l="1"/>
  <c r="CC83" i="2" s="1"/>
  <c r="CC127" i="2"/>
  <c r="CC153" i="2"/>
  <c r="CC102" i="2"/>
  <c r="CD99" i="2" s="1"/>
  <c r="CB152" i="2"/>
  <c r="CB156" i="2" s="1"/>
  <c r="AA21" i="3"/>
  <c r="CF121" i="2"/>
  <c r="AA23" i="3"/>
  <c r="CC85" i="2" l="1"/>
  <c r="CC33" i="4"/>
  <c r="CC35" i="4" s="1"/>
  <c r="CC130" i="2"/>
  <c r="CD126" i="2" s="1"/>
  <c r="AA43" i="3"/>
  <c r="CC151" i="2"/>
  <c r="CB161" i="2"/>
  <c r="AA45" i="3" s="1"/>
  <c r="CF122" i="2"/>
  <c r="CF124" i="2" s="1"/>
  <c r="CF84" i="2" s="1"/>
  <c r="CD100" i="2"/>
  <c r="CD101" i="2"/>
  <c r="CD127" i="2" l="1"/>
  <c r="CD129" i="2" s="1"/>
  <c r="CC45" i="4"/>
  <c r="CC46" i="4" s="1"/>
  <c r="CC36" i="4"/>
  <c r="CC94" i="2"/>
  <c r="CC95" i="2" s="1"/>
  <c r="CC96" i="2" s="1"/>
  <c r="CC87" i="2"/>
  <c r="CC152" i="2" s="1"/>
  <c r="CF40" i="4"/>
  <c r="CF41" i="4" s="1"/>
  <c r="CF42" i="4" s="1"/>
  <c r="CF125" i="2"/>
  <c r="CG121" i="2" s="1"/>
  <c r="CD153" i="2"/>
  <c r="CC156" i="2"/>
  <c r="CD151" i="2" s="1"/>
  <c r="CC159" i="2"/>
  <c r="CD102" i="2"/>
  <c r="CE99" i="2" s="1"/>
  <c r="CD83" i="2" l="1"/>
  <c r="CD130" i="2"/>
  <c r="CE126" i="2" s="1"/>
  <c r="CE127" i="2" s="1"/>
  <c r="AB38" i="3" s="1"/>
  <c r="CC161" i="2"/>
  <c r="CG122" i="2"/>
  <c r="CE129" i="2"/>
  <c r="CE83" i="2" s="1"/>
  <c r="CE100" i="2"/>
  <c r="CE101" i="2" s="1"/>
  <c r="CD159" i="2"/>
  <c r="CG124" i="2" l="1"/>
  <c r="CG84" i="2" s="1"/>
  <c r="CD33" i="4"/>
  <c r="CD35" i="4" s="1"/>
  <c r="CD85" i="2"/>
  <c r="CG40" i="4"/>
  <c r="CG41" i="4" s="1"/>
  <c r="CG42" i="4" s="1"/>
  <c r="CE153" i="2"/>
  <c r="AB33" i="3"/>
  <c r="H33" i="1"/>
  <c r="CE102" i="2"/>
  <c r="CE33" i="4"/>
  <c r="CE35" i="4" s="1"/>
  <c r="CE85" i="2"/>
  <c r="AB29" i="3"/>
  <c r="H29" i="1"/>
  <c r="CE130" i="2"/>
  <c r="CD36" i="4" l="1"/>
  <c r="CD45" i="4"/>
  <c r="CD46" i="4" s="1"/>
  <c r="CD94" i="2"/>
  <c r="CD95" i="2" s="1"/>
  <c r="CD96" i="2" s="1"/>
  <c r="CD87" i="2"/>
  <c r="CD152" i="2" s="1"/>
  <c r="CG125" i="2"/>
  <c r="CH121" i="2" s="1"/>
  <c r="CH122" i="2" s="1"/>
  <c r="B16" i="13" s="1"/>
  <c r="B17" i="13" s="1"/>
  <c r="CE94" i="2"/>
  <c r="CE95" i="2" s="1"/>
  <c r="CE96" i="2" s="1"/>
  <c r="CE87" i="2"/>
  <c r="AB20" i="3"/>
  <c r="H20" i="1"/>
  <c r="H46" i="5" s="1"/>
  <c r="CE45" i="4"/>
  <c r="CE36" i="4"/>
  <c r="AB34" i="3"/>
  <c r="CF99" i="2"/>
  <c r="H34" i="1"/>
  <c r="CF126" i="2"/>
  <c r="H38" i="1"/>
  <c r="CD156" i="2" l="1"/>
  <c r="CE151" i="2" s="1"/>
  <c r="CE159" i="2" s="1"/>
  <c r="CD161" i="2"/>
  <c r="CH124" i="2"/>
  <c r="CH84" i="2" s="1"/>
  <c r="CE46" i="4"/>
  <c r="CE152" i="2"/>
  <c r="AB21" i="3"/>
  <c r="H21" i="1"/>
  <c r="CF100" i="2"/>
  <c r="CF101" i="2"/>
  <c r="CF127" i="2"/>
  <c r="CF129" i="2"/>
  <c r="CF83" i="2" s="1"/>
  <c r="CH40" i="4"/>
  <c r="CH41" i="4" s="1"/>
  <c r="CH42" i="4" s="1"/>
  <c r="AC30" i="3"/>
  <c r="I30" i="1"/>
  <c r="CG107" i="2"/>
  <c r="CH160" i="2"/>
  <c r="H23" i="1"/>
  <c r="AB23" i="3"/>
  <c r="CF130" i="2" l="1"/>
  <c r="CG126" i="2" s="1"/>
  <c r="CH125" i="2"/>
  <c r="E53" i="11" s="1"/>
  <c r="CF102" i="2"/>
  <c r="CG99" i="2" s="1"/>
  <c r="CG127" i="2"/>
  <c r="CG129" i="2" s="1"/>
  <c r="CG83" i="2" s="1"/>
  <c r="CG100" i="2"/>
  <c r="CG101" i="2"/>
  <c r="CG153" i="2" s="1"/>
  <c r="CF33" i="4"/>
  <c r="CF35" i="4" s="1"/>
  <c r="CF85" i="2"/>
  <c r="CE156" i="2"/>
  <c r="CE161" i="2"/>
  <c r="AC44" i="3"/>
  <c r="I44" i="1"/>
  <c r="CF153" i="2"/>
  <c r="AC35" i="3"/>
  <c r="CG154" i="2"/>
  <c r="I35" i="1"/>
  <c r="CG108" i="2"/>
  <c r="CH106" i="2" s="1"/>
  <c r="CH108" i="2" s="1"/>
  <c r="F53" i="11"/>
  <c r="CG102" i="2" l="1"/>
  <c r="CH99" i="2" s="1"/>
  <c r="CH100" i="2"/>
  <c r="CH101" i="2" s="1"/>
  <c r="G53" i="11"/>
  <c r="AB45" i="3"/>
  <c r="H45" i="1"/>
  <c r="CF151" i="2"/>
  <c r="AB43" i="3"/>
  <c r="H43" i="1"/>
  <c r="H50" i="5" s="1"/>
  <c r="CG130" i="2"/>
  <c r="CH126" i="2" s="1"/>
  <c r="AC36" i="3"/>
  <c r="I36" i="1"/>
  <c r="CF94" i="2"/>
  <c r="CF95" i="2" s="1"/>
  <c r="CF96" i="2" s="1"/>
  <c r="CF87" i="2"/>
  <c r="CF45" i="4"/>
  <c r="CF46" i="4" s="1"/>
  <c r="CF36" i="4"/>
  <c r="CG33" i="4"/>
  <c r="CG35" i="4" s="1"/>
  <c r="CG45" i="4" s="1"/>
  <c r="CG85" i="2"/>
  <c r="CH153" i="2" l="1"/>
  <c r="AC33" i="3"/>
  <c r="I33" i="1"/>
  <c r="CH102" i="2"/>
  <c r="CF159" i="2"/>
  <c r="CF161" i="2" s="1"/>
  <c r="CG94" i="2"/>
  <c r="CG95" i="2" s="1"/>
  <c r="CG96" i="2" s="1"/>
  <c r="CG87" i="2"/>
  <c r="CG152" i="2" s="1"/>
  <c r="CH127" i="2"/>
  <c r="E54" i="11"/>
  <c r="CG36" i="4"/>
  <c r="CG46" i="4"/>
  <c r="CF152" i="2"/>
  <c r="CF156" i="2" s="1"/>
  <c r="CG151" i="2" s="1"/>
  <c r="F54" i="11" l="1"/>
  <c r="CG156" i="2"/>
  <c r="CH151" i="2" s="1"/>
  <c r="CG159" i="2"/>
  <c r="CG161" i="2" s="1"/>
  <c r="AC34" i="3"/>
  <c r="I34" i="1"/>
  <c r="AC38" i="3"/>
  <c r="B23" i="13"/>
  <c r="CH129" i="2"/>
  <c r="CH83" i="2" s="1"/>
  <c r="CH130" i="2" l="1"/>
  <c r="I38" i="1" s="1"/>
  <c r="D23" i="13"/>
  <c r="D24" i="13" s="1"/>
  <c r="B24" i="13"/>
  <c r="B31" i="13" s="1"/>
  <c r="B30" i="13"/>
  <c r="CH33" i="4"/>
  <c r="CH35" i="4" s="1"/>
  <c r="CH85" i="2"/>
  <c r="I29" i="1"/>
  <c r="AC29" i="3"/>
  <c r="CH159" i="2"/>
  <c r="G54" i="11"/>
  <c r="E55" i="11"/>
  <c r="F55" i="11" l="1"/>
  <c r="CH45" i="4"/>
  <c r="CH46" i="4" s="1"/>
  <c r="CH36" i="4"/>
  <c r="CH94" i="2"/>
  <c r="CH95" i="2" s="1"/>
  <c r="CH96" i="2" s="1"/>
  <c r="CH87" i="2"/>
  <c r="I20" i="1"/>
  <c r="I46" i="5" s="1"/>
  <c r="AC20" i="3"/>
  <c r="CH152" i="2" l="1"/>
  <c r="I21" i="1"/>
  <c r="AC21" i="3"/>
  <c r="I23" i="1"/>
  <c r="AC23" i="3"/>
  <c r="G55" i="11"/>
  <c r="E56" i="11"/>
  <c r="F56" i="11" l="1"/>
  <c r="G56" i="11"/>
  <c r="E57" i="11" s="1"/>
  <c r="CH156" i="2"/>
  <c r="CH161" i="2"/>
  <c r="F57" i="11" l="1"/>
  <c r="G57" i="11" s="1"/>
  <c r="E58" i="11" s="1"/>
  <c r="AC43" i="3"/>
  <c r="I43" i="1"/>
  <c r="AC45" i="3"/>
  <c r="I45" i="1"/>
  <c r="F58" i="11" l="1"/>
  <c r="F72" i="5"/>
  <c r="I50" i="5"/>
  <c r="G58" i="11" l="1"/>
  <c r="E59" i="11" s="1"/>
  <c r="F59" i="11" l="1"/>
  <c r="G59" i="11" l="1"/>
  <c r="E60" i="11" s="1"/>
  <c r="F60" i="11" l="1"/>
  <c r="G60" i="11"/>
  <c r="E61" i="11"/>
  <c r="F61" i="11" l="1"/>
  <c r="G61" i="11" s="1"/>
  <c r="E62" i="11" s="1"/>
  <c r="F62" i="11" l="1"/>
  <c r="G62" i="11"/>
  <c r="E63" i="11"/>
  <c r="F63" i="11" l="1"/>
  <c r="G63" i="11" l="1"/>
  <c r="E64" i="11" s="1"/>
  <c r="F64" i="11" l="1"/>
  <c r="G64" i="11"/>
  <c r="E65" i="11"/>
  <c r="F65" i="11" l="1"/>
  <c r="G65" i="11" s="1"/>
  <c r="E66" i="11" s="1"/>
  <c r="F66" i="11" l="1"/>
  <c r="G66" i="11" s="1"/>
  <c r="E67" i="11" s="1"/>
  <c r="F67" i="11" l="1"/>
  <c r="G67" i="11" l="1"/>
  <c r="E68" i="11" s="1"/>
  <c r="F68" i="11" l="1"/>
  <c r="G68" i="11"/>
  <c r="E69" i="11" s="1"/>
  <c r="F69" i="11" l="1"/>
  <c r="G69" i="11" s="1"/>
  <c r="E70" i="11" s="1"/>
  <c r="F70" i="11" l="1"/>
  <c r="G70" i="11" l="1"/>
  <c r="E71" i="11" s="1"/>
  <c r="F71" i="11" l="1"/>
  <c r="G71" i="11"/>
  <c r="E72" i="11" l="1"/>
  <c r="F72" i="11"/>
  <c r="G72" i="11"/>
  <c r="E73" i="11" s="1"/>
  <c r="F73" i="11" l="1"/>
  <c r="G73" i="11" s="1"/>
  <c r="E74" i="11" s="1"/>
  <c r="F74" i="11" l="1"/>
  <c r="G74" i="11"/>
  <c r="E75" i="11" l="1"/>
  <c r="F75" i="11"/>
  <c r="G75" i="11"/>
  <c r="E76" i="11" l="1"/>
  <c r="F76" i="11"/>
  <c r="G76" i="11"/>
  <c r="E77" i="11" s="1"/>
  <c r="F77" i="11" l="1"/>
  <c r="G77" i="11" s="1"/>
  <c r="E78" i="11" s="1"/>
  <c r="F78" i="11" l="1"/>
  <c r="G78" i="11" s="1"/>
  <c r="E79" i="11" s="1"/>
  <c r="F79" i="11" l="1"/>
  <c r="G79" i="11" l="1"/>
  <c r="E80" i="11" s="1"/>
  <c r="F80" i="11" l="1"/>
  <c r="G80" i="11"/>
  <c r="E81" i="11" s="1"/>
  <c r="F81" i="11" l="1"/>
  <c r="G81" i="11" s="1"/>
  <c r="E82" i="11" s="1"/>
  <c r="F82" i="11" l="1"/>
  <c r="G82" i="11" l="1"/>
  <c r="E83" i="11" s="1"/>
  <c r="F83" i="11" l="1"/>
  <c r="G83" i="11"/>
  <c r="E84" i="11" l="1"/>
  <c r="F84" i="11"/>
  <c r="G84" i="11" s="1"/>
  <c r="E85" i="11" s="1"/>
  <c r="F85" i="11" l="1"/>
  <c r="G85" i="11" s="1"/>
  <c r="E86" i="11" s="1"/>
  <c r="F86" i="11" l="1"/>
  <c r="G86" i="11" s="1"/>
  <c r="E87" i="11" s="1"/>
  <c r="F87" i="11" l="1"/>
  <c r="G87" i="11"/>
  <c r="E88" i="11" l="1"/>
  <c r="F88" i="11"/>
  <c r="G88" i="11"/>
  <c r="E89" i="11"/>
  <c r="F89" i="11" l="1"/>
  <c r="G89" i="11" s="1"/>
  <c r="E90" i="11" l="1"/>
  <c r="F90" i="11" l="1"/>
  <c r="G90" i="11"/>
  <c r="E91" i="11" s="1"/>
  <c r="F91" i="11" l="1"/>
  <c r="G91" i="11" l="1"/>
  <c r="E92" i="11" s="1"/>
  <c r="F92" i="11" l="1"/>
  <c r="F93" i="11" s="1"/>
  <c r="C16" i="13" s="1"/>
  <c r="G92" i="11"/>
  <c r="G93" i="11" s="1"/>
  <c r="C30" i="13" l="1"/>
  <c r="C17" i="13"/>
  <c r="C31" i="13" s="1"/>
  <c r="D16" i="13"/>
  <c r="D30" i="13" l="1"/>
  <c r="D17" i="13"/>
  <c r="D3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Scenario H</author>
  </authors>
  <commentList>
    <comment ref="A3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<sst xmlns="http://schemas.openxmlformats.org/spreadsheetml/2006/main" count="1428" uniqueCount="757">
  <si>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</si>
  <si>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</si>
  <si>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</si>
  <si>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</si>
  <si>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</si>
  <si>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</si>
  <si>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</si>
  <si>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</si>
  <si>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</si>
  <si>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</si>
  <si>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Kim Moreno</t>
  </si>
  <si>
    <t>Project Coordinator/Admin</t>
  </si>
  <si>
    <t>GC</t>
  </si>
  <si>
    <t>Yes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</si>
  <si>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</si>
  <si>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</si>
  <si>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</si>
  <si>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</si>
  <si>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</si>
  <si>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</si>
  <si>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</si>
  <si>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</si>
  <si>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</si>
  <si>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</si>
  <si>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</si>
  <si>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</si>
  <si>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</si>
  <si>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</si>
  <si>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</si>
  <si>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</si>
  <si>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</si>
  <si>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</si>
  <si>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</si>
  <si>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</si>
  <si>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</si>
  <si>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</si>
  <si>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</si>
  <si>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</si>
  <si>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</si>
  <si>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</si>
  <si>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</si>
  <si>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</si>
  <si>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</si>
  <si>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</si>
  <si>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</si>
  <si>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</si>
  <si>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</si>
  <si>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</si>
  <si>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</si>
  <si>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</si>
  <si>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</si>
  <si>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</si>
  <si>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</si>
  <si>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</si>
  <si>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</si>
  <si>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</si>
  <si>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</si>
  <si>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</si>
  <si>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</si>
  <si>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</si>
  <si>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</si>
  <si>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</si>
  <si>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</si>
  <si>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</si>
  <si>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</si>
  <si>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</si>
  <si>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</si>
  <si>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</si>
  <si>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</si>
  <si>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</si>
  <si>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</si>
  <si>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</si>
  <si>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</si>
  <si>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</si>
  <si>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</si>
  <si>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</si>
  <si>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</si>
  <si>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</si>
  <si>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</si>
  <si>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</si>
  <si>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</si>
  <si>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</si>
  <si>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</si>
  <si>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</si>
  <si>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</si>
  <si>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</si>
  <si>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</si>
  <si>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</si>
  <si>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</si>
  <si>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</si>
  <si>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</si>
  <si>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</si>
  <si>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</si>
  <si>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</si>
  <si>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</si>
  <si>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</si>
  <si>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</si>
  <si>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</si>
  <si>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</si>
  <si>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</si>
  <si>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</si>
  <si>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</si>
  <si>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</si>
  <si>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</si>
  <si>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</si>
  <si>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</si>
  <si>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</si>
  <si>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</si>
  <si>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</si>
  <si>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</si>
  <si>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</si>
  <si>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</si>
  <si>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</si>
  <si>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</si>
  <si>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</si>
  <si>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</si>
  <si>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</si>
  <si>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</si>
  <si>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</si>
  <si>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</si>
  <si>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</si>
  <si>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</si>
  <si>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</si>
  <si>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</si>
  <si>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</si>
  <si>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</si>
  <si>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</si>
  <si>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</si>
  <si>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</si>
  <si>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</si>
  <si>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</si>
  <si>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</si>
  <si>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</si>
  <si>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</si>
  <si>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</si>
  <si>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</si>
  <si>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</si>
  <si>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</si>
  <si>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</si>
  <si>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</si>
  <si>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</si>
  <si>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</si>
  <si>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</si>
  <si>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</si>
  <si>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</si>
  <si>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</si>
  <si>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</si>
  <si>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</si>
  <si>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</si>
  <si>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</si>
  <si>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</si>
  <si>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</si>
  <si>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</si>
  <si>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</si>
  <si>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</si>
  <si>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</si>
  <si>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</si>
  <si>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</si>
  <si>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</si>
  <si>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</si>
  <si>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</si>
  <si>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</si>
  <si>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</si>
  <si>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</si>
  <si>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</si>
  <si>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</si>
  <si>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</si>
  <si>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</si>
  <si>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</si>
  <si>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</si>
  <si>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</si>
  <si>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</si>
  <si>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</si>
  <si>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</si>
  <si>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</si>
  <si>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</si>
  <si>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</si>
  <si>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</si>
  <si>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</si>
  <si>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</si>
  <si>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</si>
  <si>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</si>
  <si>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</si>
  <si>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</si>
  <si>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</si>
  <si>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</si>
  <si>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</si>
  <si>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</si>
  <si>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</si>
  <si>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</si>
  <si>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</si>
  <si>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</si>
  <si>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</si>
  <si>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</si>
  <si>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</si>
  <si>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</si>
  <si>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</si>
  <si>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</si>
  <si>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</si>
  <si>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</si>
  <si>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</si>
  <si>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</si>
  <si>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</si>
  <si>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</si>
  <si>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</si>
  <si>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</si>
  <si>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</si>
  <si>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</si>
  <si>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</si>
  <si>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</si>
  <si>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</si>
  <si>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</si>
  <si>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</si>
  <si>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</si>
  <si>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</si>
  <si>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</si>
  <si>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</si>
  <si>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</si>
  <si>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</si>
  <si>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</si>
  <si>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</si>
  <si>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</si>
  <si>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</si>
  <si>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</si>
  <si>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</si>
  <si>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</si>
  <si>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</si>
  <si>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</si>
  <si>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</si>
  <si>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</si>
  <si>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</si>
  <si>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</si>
  <si>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</si>
  <si>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</si>
  <si>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</si>
  <si>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</si>
  <si>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</si>
  <si>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SP April 2026 Receivable (loan repayment)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</si>
  <si>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</si>
  <si>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</si>
  <si>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</si>
  <si>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</si>
  <si>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</si>
  <si>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</si>
  <si>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</si>
  <si>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</si>
  <si>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</si>
  <si>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</si>
  <si>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</si>
  <si>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</si>
  <si>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</si>
  <si>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</si>
  <si>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</si>
  <si>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</si>
  <si>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</si>
  <si>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</si>
  <si>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</si>
  <si>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</si>
  <si>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</si>
  <si>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</si>
  <si>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</si>
  <si>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</si>
  <si>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</si>
  <si>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</si>
  <si>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</si>
  <si>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</si>
  <si>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</si>
  <si>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</si>
  <si>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</si>
  <si>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</si>
  <si>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</si>
  <si>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</si>
  <si>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</si>
  <si>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</si>
  <si>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</si>
  <si>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</si>
  <si>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</si>
  <si>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</si>
  <si>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</si>
  <si>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</si>
  <si>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</si>
  <si>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</si>
  <si>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</si>
  <si>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</si>
  <si>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</si>
  <si>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</si>
  <si>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</si>
  <si>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</si>
  <si>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</si>
  <si>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</si>
  <si>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</si>
  <si>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</si>
  <si>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</si>
  <si>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</si>
  <si>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</si>
  <si>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</si>
  <si>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</si>
  <si>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</si>
  <si>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</si>
  <si>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</si>
  <si>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</si>
  <si>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</si>
  <si>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</si>
  <si>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</si>
  <si>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</si>
  <si>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</si>
  <si>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</si>
  <si>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</si>
  <si>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</si>
  <si>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</si>
  <si>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</si>
  <si>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</si>
  <si>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</si>
  <si>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</si>
  <si>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</si>
  <si>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</si>
  <si>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</si>
  <si>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</si>
  <si>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</si>
  <si>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</si>
  <si>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</si>
  <si>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</si>
  <si>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</si>
  <si>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</si>
  <si>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</si>
  <si>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</si>
  <si>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</si>
  <si>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</si>
  <si>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</si>
  <si>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</si>
  <si>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</si>
  <si>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</si>
  <si>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</si>
  <si>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</si>
  <si>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</si>
  <si>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</si>
  <si>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</si>
  <si>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</si>
  <si>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</si>
  <si>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</si>
  <si>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</si>
  <si>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</si>
  <si>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</si>
  <si>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</si>
  <si>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</si>
  <si>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</si>
  <si>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</si>
  <si>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</si>
  <si>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</si>
  <si>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</si>
  <si>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</si>
  <si>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</si>
  <si>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</si>
  <si>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</si>
  <si>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</si>
  <si>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</si>
  <si>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</si>
  <si>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</si>
  <si>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</si>
  <si>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</si>
  <si>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</si>
  <si>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</si>
  <si>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</si>
  <si>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</si>
  <si>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</si>
  <si>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</si>
  <si>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</si>
  <si>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</si>
  <si>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</si>
  <si>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</si>
  <si>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</si>
  <si>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</si>
  <si>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</si>
  <si>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</si>
  <si>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</si>
  <si>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</si>
  <si>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</si>
  <si>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</si>
  <si>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</si>
  <si>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</si>
  <si>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</si>
  <si>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</si>
  <si>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</si>
  <si>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</si>
  <si>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</si>
  <si>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</si>
  <si>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</si>
  <si>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</si>
  <si>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</si>
  <si>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</si>
  <si>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</si>
  <si>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</si>
  <si>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</si>
  <si>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</si>
  <si>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</si>
  <si>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</si>
  <si>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</si>
  <si>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</si>
  <si>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</si>
  <si>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</si>
  <si>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</si>
  <si>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</si>
  <si>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</si>
  <si>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</si>
  <si>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</si>
  <si>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</si>
  <si>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</si>
  <si>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</si>
  <si>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</si>
  <si>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</si>
  <si>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</si>
  <si>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</si>
  <si>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</si>
  <si>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</si>
  <si>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</si>
  <si>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</si>
  <si>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</si>
  <si>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</si>
  <si>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</si>
  <si>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</si>
  <si>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</si>
  <si>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</si>
  <si>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</si>
  <si>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</si>
  <si>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</si>
  <si>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</si>
  <si>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</si>
  <si>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</si>
  <si>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</si>
  <si>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</si>
  <si>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</si>
  <si>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</si>
  <si>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</si>
  <si>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</si>
  <si>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</si>
  <si>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</si>
  <si>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</si>
  <si>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</si>
  <si>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</si>
  <si>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</si>
  <si>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</si>
  <si>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</si>
  <si>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</si>
  <si>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</si>
  <si>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</si>
  <si>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</si>
  <si>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</si>
  <si>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</si>
  <si>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</si>
  <si>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</si>
  <si>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</si>
  <si>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</si>
  <si>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</si>
  <si>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</si>
  <si>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</si>
  <si>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</si>
  <si>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</si>
  <si>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</si>
  <si>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</si>
  <si>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</si>
  <si>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</si>
  <si>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</si>
  <si>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</si>
  <si>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</si>
  <si>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</si>
  <si>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</si>
  <si>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</si>
  <si>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</si>
  <si>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</si>
  <si>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</si>
  <si>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</si>
  <si>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</si>
  <si>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</si>
  <si>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</si>
  <si>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</si>
  <si>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</si>
  <si>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</si>
  <si>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</si>
  <si>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</si>
  <si>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</si>
  <si>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</si>
  <si>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</si>
  <si>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</si>
  <si>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</si>
  <si>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</si>
  <si>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</si>
  <si>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</si>
  <si>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</si>
  <si>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</si>
  <si>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</si>
  <si>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</si>
  <si>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</si>
  <si>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</si>
  <si>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</si>
  <si>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</si>
  <si>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</si>
  <si>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</si>
  <si>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</si>
  <si>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</si>
  <si>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</si>
  <si>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</si>
  <si>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</si>
  <si>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</si>
  <si>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</si>
  <si>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</si>
  <si>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</si>
  <si>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</si>
  <si>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</si>
  <si>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</si>
  <si>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</si>
  <si>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</si>
  <si>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</si>
  <si>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</si>
  <si>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</si>
  <si>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</si>
  <si>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</si>
  <si>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</si>
  <si>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</si>
  <si>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</si>
  <si>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</si>
  <si>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</si>
  <si>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</si>
  <si>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</si>
  <si>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</si>
  <si>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</si>
  <si>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</si>
  <si>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</si>
  <si>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</si>
  <si>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</si>
  <si>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</si>
  <si>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</si>
  <si>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</si>
  <si>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</si>
  <si>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</si>
  <si>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</si>
  <si>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</si>
  <si>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BE-01</t>
  </si>
  <si>
    <t>BE-02</t>
  </si>
  <si>
    <t>BE-03</t>
  </si>
  <si>
    <t>BE-04</t>
  </si>
  <si>
    <t>BE-05</t>
  </si>
  <si>
    <t>BE-06</t>
  </si>
  <si>
    <t>BE-07</t>
  </si>
  <si>
    <t>BE-08</t>
  </si>
  <si>
    <t>BE-09</t>
  </si>
  <si>
    <t>BE-10</t>
  </si>
  <si>
    <t>BE-11</t>
  </si>
  <si>
    <t>BE-12</t>
  </si>
  <si>
    <t>BE-13</t>
  </si>
  <si>
    <t>(dropped) BD-14</t>
  </si>
  <si>
    <t>(dropped) BD-15</t>
  </si>
  <si>
    <t>(dropped) BD-16</t>
  </si>
  <si>
    <t>(dropped) BD-17</t>
  </si>
  <si>
    <t>(dropped) BD-18</t>
  </si>
  <si>
    <t>(dropped) BD-19</t>
  </si>
  <si>
    <t>(dropped) BD-20</t>
  </si>
  <si>
    <t>(dropped) BD-21</t>
  </si>
  <si>
    <t>(dropped) BD-22</t>
  </si>
  <si>
    <t>(dropped) BD-23</t>
  </si>
  <si>
    <t>(dropped) BD-24</t>
  </si>
  <si>
    <t>(dropped) BD-25</t>
  </si>
  <si>
    <t>(dropped) BD-26</t>
  </si>
  <si>
    <t>(dropped) BD-27</t>
  </si>
  <si>
    <t>(dropped) BD-28</t>
  </si>
  <si>
    <t>(dropped) BD-29</t>
  </si>
  <si>
    <t>(dropped) BD-30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</si>
  <si>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</si>
  <si>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</si>
  <si>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</si>
  <si>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</si>
  <si>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</si>
  <si>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</si>
  <si>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</si>
  <si>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</si>
  <si>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</si>
  <si>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</si>
  <si>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</si>
  <si>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</si>
  <si>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</si>
  <si>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</si>
  <si>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</si>
  <si>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</si>
  <si>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</si>
  <si>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</si>
  <si>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</si>
  <si>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</si>
  <si>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</si>
  <si>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</si>
  <si>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</si>
  <si>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</si>
  <si>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</si>
  <si>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</si>
  <si>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</si>
  <si>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</si>
  <si>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</si>
  <si>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</si>
  <si>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</si>
  <si>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BD PIPELINE (Scenario H)</t>
  </si>
  <si>
    <t>BD Construction Billing</t>
  </si>
  <si>
    <t>BD Supervision Revenue</t>
  </si>
  <si>
    <t>BD GC-CM Fee Revenue</t>
  </si>
  <si>
    <t>BD Admin Revenue</t>
  </si>
  <si>
    <t>Taggart BD Bonus (allocated to LV)</t>
  </si>
  <si>
    <t>Monthly Bonus Cost</t>
  </si>
  <si>
    <t>FY2027: $60K | FY2028: $90K | FY2029: $150K | FY2030: $150K | FY2031: $150K | FY2032: $150K | Total: $750K</t>
  </si>
  <si>
    <t>BD PIPELINE PHASE 2 (Scenario I Extension)</t>
  </si>
  <si>
    <t>BD Phase 2 Billing</t>
  </si>
  <si>
    <t>BD Phase 2 Supervision</t>
  </si>
  <si>
    <t>BD Phase 2 GC-CM Fee</t>
  </si>
  <si>
    <t>BD Phase 2 Admin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</si>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</sst>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#,##0;\(#,##0\);\-"/>
    <numFmt numFmtId="169" formatCode="&quot;$&quot;#,##0"/>
  </numFmts>
  <fonts count="44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1"/>
      <name val="Cambria"/>
      <charset val="1"/>
    </font>
    <font>
      <i/>
      <sz val="11"/>
      <name val="Cambria"/>
      <charset val="1"/>
    </font>
    <font>
      <i/>
      <sz val="9"/>
      <color rgb="FF666666"/>
      <name val="Cambria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7" xfId="0" applyNumberFormat="1" applyFont="1" applyBorder="1"/>
    <xf numFmtId="0" fontId="30" fillId="0" borderId="0" xfId="0" applyFont="1"/>
    <xf numFmtId="0" fontId="31" fillId="0" borderId="0" xfId="0" applyFont="1"/>
    <xf numFmtId="168" fontId="0" fillId="0" borderId="0" xfId="0" applyNumberFormat="1"/>
    <xf numFmtId="0" fontId="32" fillId="0" borderId="0" xfId="0" applyFont="1"/>
    <xf numFmtId="0" fontId="33" fillId="0" borderId="0" xfId="0" applyFont="1"/>
    <xf numFmtId="0" fontId="34" fillId="4" borderId="0" xfId="0" applyFont="1" applyFill="1"/>
    <xf numFmtId="3" fontId="18" fillId="0" borderId="0" xfId="0" applyNumberFormat="1" applyFont="1"/>
    <xf numFmtId="0" fontId="34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4" fillId="17" borderId="0" xfId="0" applyFont="1" applyFill="1"/>
    <xf numFmtId="0" fontId="3" fillId="15" borderId="0" xfId="0" applyFont="1" applyFill="1"/>
    <xf numFmtId="0" fontId="35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4" fillId="18" borderId="0" xfId="0" applyFont="1" applyFill="1"/>
    <xf numFmtId="0" fontId="3" fillId="19" borderId="0" xfId="0" applyFont="1" applyFill="1"/>
    <xf numFmtId="0" fontId="36" fillId="0" borderId="0" xfId="0" applyFont="1"/>
    <xf numFmtId="164" fontId="3" fillId="19" borderId="0" xfId="0" applyNumberFormat="1" applyFont="1" applyFill="1"/>
    <xf numFmtId="0" fontId="34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4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4" fillId="3" borderId="0" xfId="0" applyFont="1" applyFill="1"/>
    <xf numFmtId="0" fontId="34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7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7" fillId="0" borderId="0" xfId="0" applyNumberFormat="1" applyFont="1"/>
    <xf numFmtId="0" fontId="38" fillId="0" borderId="0" xfId="0" applyFont="1"/>
    <xf numFmtId="0" fontId="18" fillId="0" borderId="0" xfId="0" applyFont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9" fillId="0" borderId="0" xfId="0" applyFont="1"/>
    <xf numFmtId="0" fontId="40" fillId="0" borderId="0" xfId="0" applyFont="1"/>
    <xf numFmtId="0" fontId="41" fillId="27" borderId="10" xfId="0" applyFont="1" applyFill="1" applyBorder="1" applyAlignment="1">
      <alignment horizontal="left" vertical="center"/>
    </xf>
    <xf numFmtId="0" fontId="41" fillId="27" borderId="10" xfId="0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left" vertical="center"/>
    </xf>
    <xf numFmtId="169" fontId="42" fillId="28" borderId="10" xfId="0" applyNumberFormat="1" applyFont="1" applyFill="1" applyBorder="1" applyAlignment="1">
      <alignment horizontal="right" vertical="center"/>
    </xf>
    <xf numFmtId="1" fontId="42" fillId="28" borderId="10" xfId="0" applyNumberFormat="1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center" vertical="center"/>
    </xf>
    <xf numFmtId="10" fontId="42" fillId="28" borderId="10" xfId="0" applyNumberFormat="1" applyFont="1" applyFill="1" applyBorder="1" applyAlignment="1">
      <alignment horizontal="right" vertical="center"/>
    </xf>
    <xf numFmtId="0" fontId="42" fillId="0" borderId="10" xfId="0" applyFont="1" applyBorder="1" applyAlignment="1">
      <alignment horizontal="left" vertical="center"/>
    </xf>
    <xf numFmtId="169" fontId="42" fillId="0" borderId="10" xfId="0" applyNumberFormat="1" applyFont="1" applyBorder="1" applyAlignment="1">
      <alignment horizontal="right" vertical="center"/>
    </xf>
    <xf numFmtId="1" fontId="42" fillId="0" borderId="10" xfId="0" applyNumberFormat="1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0" fontId="42" fillId="0" borderId="10" xfId="0" applyNumberFormat="1" applyFont="1" applyBorder="1" applyAlignment="1">
      <alignment horizontal="right" vertical="center"/>
    </xf>
    <xf numFmtId="0" fontId="42" fillId="0" borderId="11" xfId="0" applyFont="1" applyBorder="1"/>
    <xf numFmtId="164" fontId="42" fillId="0" borderId="11" xfId="0" applyNumberFormat="1" applyFont="1" applyBorder="1"/>
    <xf numFmtId="10" fontId="42" fillId="0" borderId="11" xfId="0" applyNumberFormat="1" applyFont="1" applyBorder="1"/>
    <xf numFmtId="0" fontId="43" fillId="29" borderId="10" xfId="0" applyFont="1" applyFill="1" applyBorder="1" applyAlignment="1">
      <alignment horizontal="left" vertical="center"/>
    </xf>
    <xf numFmtId="0" fontId="43" fillId="29" borderId="10" xfId="0" applyFont="1" applyFill="1" applyBorder="1" applyAlignment="1">
      <alignment horizontal="center" vertical="center"/>
    </xf>
    <xf numFmtId="164" fontId="43" fillId="29" borderId="10" xfId="0" applyNumberFormat="1" applyFont="1" applyFill="1" applyBorder="1" applyAlignment="1">
      <alignment horizontal="center" vertical="center"/>
    </xf>
    <xf numFmtId="10" fontId="43" fillId="29" borderId="10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6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8" t="s">
        <v>66</v>
      </c>
      <c r="B1" s="219"/>
      <c r="C1" s="219"/>
      <c r="D1" s="219"/>
      <c r="E1" s="219"/>
      <c r="F1" s="1"/>
      <c r="G1" s="1"/>
      <c r="H1" s="1"/>
      <c r="I1" s="1"/>
    </row>
    <row r="2" spans="1:9" ht="15" customHeight="1" x14ac:dyDescent="0.25">
      <c r="A2" s="2"/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  <c r="I2" s="3" t="s">
        <v>74</v>
      </c>
    </row>
    <row r="3" spans="1:9" ht="15" customHeight="1" x14ac:dyDescent="0.25">
      <c r="A3" s="4" t="s">
        <v>75</v>
      </c>
      <c r="B3" s="5">
        <f>Model!C7+Model!D7+Model!E7+Model!F7+Model!G7+Model!H7+Model!I7+Model!J7+Model!K7</f>
        <v>52369472.49086947</v>
      </c>
      <c r="C3" s="5">
        <f>Model!L7+Model!M7+Model!N7+Model!O7+Model!P7+Model!Q7+Model!R7+Model!S7+Model!T7+Model!U7+Model!V7+Model!W7</f>
        <v>87410002.951298565</v>
      </c>
      <c r="D3" s="5">
        <f>Model!X7+Model!Y7+Model!Z7+Model!AA7+Model!AB7+Model!AC7+Model!AD7+Model!AE7+Model!AF7+Model!AG7+Model!AH7+Model!AI7</f>
        <v>53453480.678054005</v>
      </c>
      <c r="E3" s="5">
        <f>Model!AJ7+Model!AK7+Model!AL7+Model!AM7+Model!AN7+Model!AO7+Model!AP7+Model!AQ7+Model!AR7+Model!AS7+Model!AT7+Model!AU7</f>
        <v>62244170.824766003</v>
      </c>
      <c r="F3" s="5">
        <f>Model!AV7+Model!AW7+Model!AX7+Model!AY7+Model!AZ7+Model!BA7+Model!BB7+Model!BC7+Model!BD7+Model!BE7+Model!BF7+Model!BG7</f>
        <v>61258749.920151994</v>
      </c>
      <c r="G3" s="5">
        <f>Model!BH7+Model!BI7+Model!BJ7+Model!BK7+Model!BL7+Model!BM7+Model!BN7+Model!BO7+Model!BP7+Model!BQ7+Model!BR7+Model!BS7</f>
        <v>48397755</v>
      </c>
      <c r="H3" s="5">
        <f>Model!BT7+Model!BU7+Model!BV7+Model!BW7+Model!BX7+Model!BY7+Model!BZ7+Model!CA7+Model!CB7+Model!CC7+Model!CD7+Model!CE7</f>
        <v>56955885</v>
      </c>
      <c r="I3" s="5">
        <f>Model!CF7+Model!CG7+Model!CH7</f>
        <v>10628505</v>
      </c>
    </row>
    <row r="4" spans="1: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77</v>
      </c>
      <c r="B5" s="8">
        <f>Model!C8+Model!D8+Model!E8+Model!F8+Model!G8+Model!H8+Model!I8+Model!J8+Model!K8</f>
        <v>2163853.8346590907</v>
      </c>
      <c r="C5" s="8">
        <f>Model!L8+Model!M8+Model!N8+Model!O8+Model!P8+Model!Q8+Model!R8+Model!S8+Model!T8+Model!U8+Model!V8+Model!W8</f>
        <v>3706998.7776379869</v>
      </c>
      <c r="D5" s="8">
        <f>Model!X8+Model!Y8+Model!Z8+Model!AA8+Model!AB8+Model!AC8+Model!AD8+Model!AE8+Model!AF8+Model!AG8+Model!AH8+Model!AI8</f>
        <v>3236307.5618100641</v>
      </c>
      <c r="E5" s="8">
        <f>Model!AJ8+Model!AK8+Model!AL8+Model!AM8+Model!AN8+Model!AO8+Model!AP8+Model!AQ8+Model!AR8+Model!AS8+Model!AT8+Model!AU8</f>
        <v>2930680.3317370121</v>
      </c>
      <c r="F5" s="8">
        <f>Model!AV8+Model!AW8+Model!AX8+Model!AY8+Model!AZ8+Model!BA8+Model!BB8+Model!BC8+Model!BD8+Model!BE8+Model!BF8+Model!BG8</f>
        <v>3139915.3448051945</v>
      </c>
      <c r="G5" s="8">
        <f>Model!BH8+Model!BI8+Model!BJ8+Model!BK8+Model!BL8+Model!BM8+Model!BN8+Model!BO8+Model!BP8+Model!BQ8+Model!BR8+Model!BS8</f>
        <v>2374188.3116883109</v>
      </c>
      <c r="H5" s="8">
        <f>Model!BT8+Model!BU8+Model!BV8+Model!BW8+Model!BX8+Model!BY8+Model!BZ8+Model!CA8+Model!CB8+Model!CC8+Model!CD8+Model!CE8</f>
        <v>2644480.519480519</v>
      </c>
      <c r="I5" s="8">
        <f>Model!CF8+Model!CG8+Model!CH8</f>
        <v>460227.27272727265</v>
      </c>
    </row>
    <row r="6" spans="1:9" ht="15" customHeight="1" x14ac:dyDescent="0.25">
      <c r="A6" s="7" t="s">
        <v>78</v>
      </c>
      <c r="B6" s="8">
        <f>Model!C9+Model!D9+Model!E9+Model!F9+Model!G9+Model!H9+Model!I9+Model!J9+Model!K9</f>
        <v>2440290.7118340582</v>
      </c>
      <c r="C6" s="8">
        <f>Model!L9+Model!M9+Model!N9+Model!O9+Model!P9+Model!Q9+Model!R9+Model!S9+Model!T9+Model!U9+Model!V9+Model!W9</f>
        <v>4166268.297259754</v>
      </c>
      <c r="D6" s="8">
        <f>Model!X9+Model!Y9+Model!Z9+Model!AA9+Model!AB9+Model!AC9+Model!AD9+Model!AE9+Model!AF9+Model!AG9+Model!AH9+Model!AI9</f>
        <v>2662679.6052346411</v>
      </c>
      <c r="E6" s="8">
        <f>Model!AJ9+Model!AK9+Model!AL9+Model!AM9+Model!AN9+Model!AO9+Model!AP9+Model!AQ9+Model!AR9+Model!AS9+Model!AT9+Model!AU9</f>
        <v>3028614.2013081666</v>
      </c>
      <c r="F6" s="8">
        <f>Model!AV9+Model!AW9+Model!AX9+Model!AY9+Model!AZ9+Model!BA9+Model!BB9+Model!BC9+Model!BD9+Model!BE9+Model!BF9+Model!BG9</f>
        <v>3051795.9752018373</v>
      </c>
      <c r="G6" s="8">
        <f>Model!BH9+Model!BI9+Model!BJ9+Model!BK9+Model!BL9+Model!BM9+Model!BN9+Model!BO9+Model!BP9+Model!BQ9+Model!BR9+Model!BS9</f>
        <v>2356064.9634740255</v>
      </c>
      <c r="H6" s="8">
        <f>Model!BT9+Model!BU9+Model!BV9+Model!BW9+Model!BX9+Model!BY9+Model!BZ9+Model!CA9+Model!CB9+Model!CC9+Model!CD9+Model!CE9</f>
        <v>2752017.4066558434</v>
      </c>
      <c r="I6" s="8">
        <f>Model!CF9+Model!CG9+Model!CH9</f>
        <v>491740.89691558434</v>
      </c>
    </row>
    <row r="7" spans="1:9" ht="15" customHeight="1" x14ac:dyDescent="0.25">
      <c r="A7" s="7" t="s">
        <v>79</v>
      </c>
      <c r="B7" s="8">
        <f>Model!C10+Model!D10+Model!E10+Model!F10+Model!G10+Model!H10+Model!I10+Model!J10+Model!K10</f>
        <v>602077.86259469704</v>
      </c>
      <c r="C7" s="8">
        <f>Model!L10+Model!M10+Model!N10+Model!O10+Model!P10+Model!Q10+Model!R10+Model!S10+Model!T10+Model!U10+Model!V10+Model!W10</f>
        <v>1135155.6748376624</v>
      </c>
      <c r="D7" s="8">
        <f>Model!X10+Model!Y10+Model!Z10+Model!AA10+Model!AB10+Model!AC10+Model!AD10+Model!AE10+Model!AF10+Model!AG10+Model!AH10+Model!AI10</f>
        <v>1078769.1872700215</v>
      </c>
      <c r="E7" s="8">
        <f>Model!AJ10+Model!AK10+Model!AL10+Model!AM10+Model!AN10+Model!AO10+Model!AP10+Model!AQ10+Model!AR10+Model!AS10+Model!AT10+Model!AU10</f>
        <v>976893.44391233765</v>
      </c>
      <c r="F7" s="8">
        <f>Model!AV10+Model!AW10+Model!AX10+Model!AY10+Model!AZ10+Model!BA10+Model!BB10+Model!BC10+Model!BD10+Model!BE10+Model!BF10+Model!BG10</f>
        <v>1046638.4482683983</v>
      </c>
      <c r="G7" s="8">
        <f>Model!BH10+Model!BI10+Model!BJ10+Model!BK10+Model!BL10+Model!BM10+Model!BN10+Model!BO10+Model!BP10+Model!BQ10+Model!BR10+Model!BS10</f>
        <v>791396.10389610392</v>
      </c>
      <c r="H7" s="8">
        <f>Model!BT10+Model!BU10+Model!BV10+Model!BW10+Model!BX10+Model!BY10+Model!BZ10+Model!CA10+Model!CB10+Model!CC10+Model!CD10+Model!CE10</f>
        <v>881493.50649350672</v>
      </c>
      <c r="I7" s="8">
        <f>Model!CF10+Model!CG10+Model!CH10</f>
        <v>153409.09090909091</v>
      </c>
    </row>
    <row r="8" spans="1:9" ht="15" customHeight="1" x14ac:dyDescent="0.25">
      <c r="A8" s="7" t="s">
        <v>80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81</v>
      </c>
      <c r="B9" s="10">
        <f>Model!C12+Model!D12+Model!E12+Model!F12+Model!G12+Model!H12+Model!I12+Model!J12+Model!K12</f>
        <v>6611760.0290878452</v>
      </c>
      <c r="C9" s="10">
        <f>Model!L12+Model!M12+Model!N12+Model!O12+Model!P12+Model!Q12+Model!R12+Model!S12+Model!T12+Model!U12+Model!V12+Model!W12</f>
        <v>9687424.2997354008</v>
      </c>
      <c r="D9" s="10">
        <f>Model!X12+Model!Y12+Model!Z12+Model!AA12+Model!AB12+Model!AC12+Model!AD12+Model!AE12+Model!AF12+Model!AG12+Model!AH12+Model!AI12</f>
        <v>7598075.8343147272</v>
      </c>
      <c r="E9" s="10">
        <f>Model!AJ12+Model!AK12+Model!AL12+Model!AM12+Model!AN12+Model!AO12+Model!AP12+Model!AQ12+Model!AR12+Model!AS12+Model!AT12+Model!AU12</f>
        <v>6936187.9769575177</v>
      </c>
      <c r="F9" s="10">
        <f>Model!AV12+Model!AW12+Model!AX12+Model!AY12+Model!AZ12+Model!BA12+Model!BB12+Model!BC12+Model!BD12+Model!BE12+Model!BF12+Model!BG12</f>
        <v>7238349.7682754286</v>
      </c>
      <c r="G9" s="10">
        <f>Model!BH12+Model!BI12+Model!BJ12+Model!BK12+Model!BL12+Model!BM12+Model!BN12+Model!BO12+Model!BP12+Model!BQ12+Model!BR12+Model!BS12</f>
        <v>5521649.3790584402</v>
      </c>
      <c r="H9" s="10">
        <f>Model!BT12+Model!BU12+Model!BV12+Model!BW12+Model!BX12+Model!BY12+Model!BZ12+Model!CA12+Model!CB12+Model!CC12+Model!CD12+Model!CE12</f>
        <v>6277991.4326298693</v>
      </c>
      <c r="I9" s="10">
        <f>Model!CF12+Model!CG12+Model!CH12</f>
        <v>1105377.2605519481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82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83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84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85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86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-6347671.407999998</v>
      </c>
      <c r="D15" s="10">
        <f>Model!X39+Model!Y39+Model!Z39+Model!AA39+Model!AB39+Model!AC39+Model!AD39+Model!AE39+Model!AF39+Model!AG39+Model!AH39+Model!AI39</f>
        <v>-6306439.8670599973</v>
      </c>
      <c r="E15" s="10">
        <f>Model!AJ39+Model!AK39+Model!AL39+Model!AM39+Model!AN39+Model!AO39+Model!AP39+Model!AQ39+Model!AR39+Model!AS39+Model!AT39+Model!AU39</f>
        <v>-4940485.5300012007</v>
      </c>
      <c r="F15" s="10">
        <f>Model!AV39+Model!AW39+Model!AX39+Model!AY39+Model!AZ39+Model!BA39+Model!BB39+Model!BC39+Model!BD39+Model!BE39+Model!BF39+Model!BG39</f>
        <v>-4960718.1570012225</v>
      </c>
      <c r="G15" s="10">
        <f>Model!BH39+Model!BI39+Model!BJ39+Model!BK39+Model!BL39+Model!BM39+Model!BN39+Model!BO39+Model!BP39+Model!BQ39+Model!BR39+Model!BS39</f>
        <v>-4969115.43654125</v>
      </c>
      <c r="H15" s="10">
        <f>Model!BT39+Model!BU39+Model!BV39+Model!BW39+Model!BX39+Model!BY39+Model!BZ39+Model!CA39+Model!CB39+Model!CC39+Model!CD39+Model!CE39</f>
        <v>-4881680.6616720725</v>
      </c>
      <c r="I15" s="10">
        <f>Model!CF39+Model!CG39+Model!CH39</f>
        <v>-1207458.1290653977</v>
      </c>
    </row>
    <row r="16" spans="1:9" ht="15" customHeight="1" x14ac:dyDescent="0.25">
      <c r="A16" s="13" t="s">
        <v>87</v>
      </c>
      <c r="B16" s="14">
        <f>Model!C41+Model!D41+Model!E41+Model!F41+Model!G41+Model!H41+Model!I41+Model!J41+Model!K41</f>
        <v>2445001.9348878455</v>
      </c>
      <c r="C16" s="14">
        <f>Model!L41+Model!M41+Model!N41+Model!O41+Model!P41+Model!Q41+Model!R41+Model!S41+Model!T41+Model!U41+Model!V41+Model!W41</f>
        <v>3339752.8917354024</v>
      </c>
      <c r="D16" s="14">
        <f>Model!X41+Model!Y41+Model!Z41+Model!AA41+Model!AB41+Model!AC41+Model!AD41+Model!AE41+Model!AF41+Model!AG41+Model!AH41+Model!AI41</f>
        <v>1291635.9672547276</v>
      </c>
      <c r="E16" s="14">
        <f>Model!AJ41+Model!AK41+Model!AL41+Model!AM41+Model!AN41+Model!AO41+Model!AP41+Model!AQ41+Model!AR41+Model!AS41+Model!AT41+Model!AU41</f>
        <v>1995702.4469563174</v>
      </c>
      <c r="F16" s="14">
        <f>Model!AV41+Model!AW41+Model!AX41+Model!AY41+Model!AZ41+Model!BA41+Model!BB41+Model!BC41+Model!BD41+Model!BE41+Model!BF41+Model!BG41</f>
        <v>2277631.6112742056</v>
      </c>
      <c r="G16" s="14">
        <f>Model!BH41+Model!BI41+Model!BJ41+Model!BK41+Model!BL41+Model!BM41+Model!BN41+Model!BO41+Model!BP41+Model!BQ41+Model!BR41+Model!BS41</f>
        <v>552533.9425171921</v>
      </c>
      <c r="H16" s="14">
        <f>Model!BT41+Model!BU41+Model!BV41+Model!BW41+Model!BX41+Model!BY41+Model!BZ41+Model!CA41+Model!CB41+Model!CC41+Model!CD41+Model!CE41</f>
        <v>1396310.7709577959</v>
      </c>
      <c r="I16" s="14">
        <f>Model!CF41+Model!CG41+Model!CH41</f>
        <v>-102080.86851344979</v>
      </c>
    </row>
    <row r="17" spans="1:9" ht="15" customHeight="1" x14ac:dyDescent="0.25">
      <c r="A17" s="7" t="s">
        <v>88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0.36979592788172572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0.34475137956191548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0.16999514027240828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0.28772323552737827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0.31466172320888858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0.10006682869302559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0.22241361523694803</v>
      </c>
      <c r="I17" s="15">
        <f>IF((Model!CF12+Model!CG12+Model!CH12)&lt;&gt;0,(Model!CF41+Model!CG41+Model!CH41)/(Model!CF12+Model!CG12+Model!CH12),0)</f>
        <v>-9.2349347283006117E-2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89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314812.5</v>
      </c>
      <c r="D19" s="17">
        <f>Model!X64+Model!Y64+Model!Z64+Model!AA64+Model!AB64+Model!AC64+Model!AD64+Model!AE64+Model!AF64+Model!AG64+Model!AH64+Model!AI64</f>
        <v>200250</v>
      </c>
      <c r="E19" s="17">
        <f>Model!AJ64+Model!AK64+Model!AL64+Model!AM64+Model!AN64+Model!AO64+Model!AP64+Model!AQ64+Model!AR64+Model!AS64+Model!AT64+Model!AU64</f>
        <v>163365</v>
      </c>
      <c r="F19" s="17">
        <f>Model!AV64+Model!AW64+Model!AX64+Model!AY64+Model!AZ64+Model!BA64+Model!BB64+Model!BC64+Model!BD64+Model!BE64+Model!BF64+Model!BG64</f>
        <v>1276957</v>
      </c>
      <c r="G19" s="17">
        <f>Model!BH64+Model!BI64+Model!BJ64+Model!BK64+Model!BL64+Model!BM64+Model!BN64+Model!BO64+Model!BP64+Model!BQ64+Model!BR64+Model!BS64</f>
        <v>546560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90</v>
      </c>
      <c r="B20" s="8">
        <f>Model!C85+Model!D85+Model!E85+Model!F85+Model!G85+Model!H85+Model!I85+Model!J85+Model!K85</f>
        <v>-1033924.9999999999</v>
      </c>
      <c r="C20" s="8">
        <f>Model!L85+Model!M85+Model!N85+Model!O85+Model!P85+Model!Q85+Model!R85+Model!S85+Model!T85+Model!U85+Model!V85+Model!W85</f>
        <v>-1368146.0000000002</v>
      </c>
      <c r="D20" s="8">
        <f>Model!X85+Model!Y85+Model!Z85+Model!AA85+Model!AB85+Model!AC85+Model!AD85+Model!AE85+Model!AF85+Model!AG85+Model!AH85+Model!AI85</f>
        <v>-1373598.9200000002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-1927994.2146692672</v>
      </c>
      <c r="I20" s="8">
        <f>Model!CF85+Model!CG85+Model!CH85</f>
        <v>-484961.68511423119</v>
      </c>
    </row>
    <row r="21" spans="1:9" ht="15" customHeight="1" x14ac:dyDescent="0.25">
      <c r="A21" s="13" t="s">
        <v>91</v>
      </c>
      <c r="B21" s="14">
        <f>Model!C87+Model!D87+Model!E87+Model!F87+Model!G87+Model!H87+Model!I87+Model!J87+Model!K87</f>
        <v>-663477.1</v>
      </c>
      <c r="C21" s="14">
        <f>Model!L87+Model!M87+Model!N87+Model!O87+Model!P87+Model!Q87+Model!R87+Model!S87+Model!T87+Model!U87+Model!V87+Model!W87</f>
        <v>-1053333.5</v>
      </c>
      <c r="D21" s="14">
        <f>Model!X87+Model!Y87+Model!Z87+Model!AA87+Model!AB87+Model!AC87+Model!AD87+Model!AE87+Model!AF87+Model!AG87+Model!AH87+Model!AI87</f>
        <v>-1173348.9200000002</v>
      </c>
      <c r="E21" s="14">
        <f>Model!AJ87+Model!AK87+Model!AL87+Model!AM87+Model!AN87+Model!AO87+Model!AP87+Model!AQ87+Model!AR87+Model!AS87+Model!AT87+Model!AU87</f>
        <v>-1379160.8983999998</v>
      </c>
      <c r="F21" s="14">
        <f>Model!AV87+Model!AW87+Model!AX87+Model!AY87+Model!AZ87+Model!BA87+Model!BB87+Model!BC87+Model!BD87+Model!BE87+Model!BF87+Model!BG87</f>
        <v>-1384834.1163679999</v>
      </c>
      <c r="G21" s="14">
        <f>Model!BH87+Model!BI87+Model!BJ87+Model!BK87+Model!BL87+Model!BM87+Model!BN87+Model!BO87+Model!BP87+Model!BQ87+Model!BR87+Model!BS87</f>
        <v>-1271345.2786953603</v>
      </c>
      <c r="H21" s="14">
        <f>Model!BT87+Model!BU87+Model!BV87+Model!BW87+Model!BX87+Model!BY87+Model!BZ87+Model!CA87+Model!CB87+Model!CC87+Model!CD87+Model!CE87</f>
        <v>-1108001.2146692672</v>
      </c>
      <c r="I21" s="14">
        <f>Model!CF87+Model!CG87+Model!CH87</f>
        <v>-253945.68511423119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92</v>
      </c>
      <c r="B23" s="14">
        <f>Model!C96+Model!D96+Model!E96+Model!F96+Model!G96+Model!H96+Model!I96+Model!J96+Model!K96</f>
        <v>1781524.8348878459</v>
      </c>
      <c r="C23" s="14">
        <f>Model!L96+Model!M96+Model!N96+Model!O96+Model!P96+Model!Q96+Model!R96+Model!S96+Model!T96+Model!U96+Model!V96+Model!W96</f>
        <v>2286419.3917354024</v>
      </c>
      <c r="D23" s="14">
        <f>Model!X96+Model!Y96+Model!Z96+Model!AA96+Model!AB96+Model!AC96+Model!AD96+Model!AE96+Model!AF96+Model!AG96+Model!AH96+Model!AI96</f>
        <v>118287.0472547274</v>
      </c>
      <c r="E23" s="14">
        <f>Model!AJ96+Model!AK96+Model!AL96+Model!AM96+Model!AN96+Model!AO96+Model!AP96+Model!AQ96+Model!AR96+Model!AS96+Model!AT96+Model!AU96</f>
        <v>616541.54855631734</v>
      </c>
      <c r="F23" s="14">
        <f>Model!AV96+Model!AW96+Model!AX96+Model!AY96+Model!AZ96+Model!BA96+Model!BB96+Model!BC96+Model!BD96+Model!BE96+Model!BF96+Model!BG96</f>
        <v>892797.49490620592</v>
      </c>
      <c r="G23" s="14">
        <f>Model!BH96+Model!BI96+Model!BJ96+Model!BK96+Model!BL96+Model!BM96+Model!BN96+Model!BO96+Model!BP96+Model!BQ96+Model!BR96+Model!BS96</f>
        <v>-718811.33617816807</v>
      </c>
      <c r="H23" s="14">
        <f>Model!BT96+Model!BU96+Model!BV96+Model!BW96+Model!BX96+Model!BY96+Model!BZ96+Model!CA96+Model!CB96+Model!CC96+Model!CD96+Model!CE96</f>
        <v>288309.55628852866</v>
      </c>
      <c r="I23" s="14">
        <f>Model!CF96+Model!CG96+Model!CH96</f>
        <v>-356026.55362768105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93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94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95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96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97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98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99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100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101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102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0</v>
      </c>
      <c r="F35" s="8">
        <f>Model!AV107+Model!AW107+Model!AX107+Model!AY107+Model!AZ107+Model!BA107+Model!BB107+Model!BC107+Model!BD107+Model!BE107+Model!BF107+Model!BG107</f>
        <v>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103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500000</v>
      </c>
      <c r="F36" s="8">
        <f>Model!BG108</f>
        <v>500000</v>
      </c>
      <c r="G36" s="8">
        <f>Model!BS108</f>
        <v>500000</v>
      </c>
      <c r="H36" s="8">
        <f>Model!CE108</f>
        <v>500000</v>
      </c>
      <c r="I36" s="8">
        <f>Model!CH108</f>
        <v>500000</v>
      </c>
    </row>
    <row r="37" spans="1:9" ht="15" customHeight="1" x14ac:dyDescent="0.25">
      <c r="A37" s="7" t="s">
        <v>104</v>
      </c>
      <c r="B37" s="8">
        <f>Model!C155+Model!D155+Model!E155+Model!F155+Model!G155+Model!H155+Model!I155+Model!J155+Model!K155</f>
        <v>200000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105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106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107</v>
      </c>
      <c r="B42" s="19">
        <f>Model!K148</f>
        <v>3516149.934887846</v>
      </c>
      <c r="C42" s="19">
        <f>Model!W148</f>
        <v>6855902.8266232498</v>
      </c>
      <c r="D42" s="19">
        <f>Model!AI148</f>
        <v>8147538.7938779769</v>
      </c>
      <c r="E42" s="19">
        <f>Model!AU148</f>
        <v>10143241.240834296</v>
      </c>
      <c r="F42" s="19">
        <f>Model!BG148</f>
        <v>12420872.852108503</v>
      </c>
      <c r="G42" s="19">
        <f>Model!BS148</f>
        <v>12973406.794625698</v>
      </c>
      <c r="H42" s="19">
        <f>Model!CE148</f>
        <v>14369717.56558349</v>
      </c>
      <c r="I42" s="19">
        <f>Model!CH148</f>
        <v>14267636.697070042</v>
      </c>
    </row>
    <row r="43" spans="1:9" ht="15" customHeight="1" x14ac:dyDescent="0.25">
      <c r="A43" s="18" t="s">
        <v>108</v>
      </c>
      <c r="B43" s="19">
        <f>Model!K156</f>
        <v>-661096.10000000009</v>
      </c>
      <c r="C43" s="19">
        <f>Model!W156</f>
        <v>-3460398.8432854447</v>
      </c>
      <c r="D43" s="19">
        <f>Model!AI156</f>
        <v>-4883747.7632854432</v>
      </c>
      <c r="E43" s="19">
        <f>Model!AU156</f>
        <v>-6262908.6616854416</v>
      </c>
      <c r="F43" s="19">
        <f>Model!BG156</f>
        <v>-7647742.7780534429</v>
      </c>
      <c r="G43" s="19">
        <f>Model!BS156</f>
        <v>-8919088.0567488018</v>
      </c>
      <c r="H43" s="19">
        <f>Model!CE156</f>
        <v>-10027089.271418072</v>
      </c>
      <c r="I43" s="19">
        <f>Model!CH156</f>
        <v>-10281034.956532305</v>
      </c>
    </row>
    <row r="44" spans="1:9" ht="15" customHeight="1" x14ac:dyDescent="0.25">
      <c r="A44" s="18" t="s">
        <v>109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-534457.4504663538</v>
      </c>
      <c r="D44" s="19">
        <f>Model!X160+Model!Y160+Model!Z160+Model!AA160+Model!AB160+Model!AC160+Model!AD160+Model!AE160+Model!AF160+Model!AG160+Model!AH160+Model!AI160</f>
        <v>-685925.81752062065</v>
      </c>
      <c r="E44" s="19">
        <f>Model!AJ160+Model!AK160+Model!AL160+Model!AM160+Model!AN160+Model!AO160+Model!AP160+Model!AQ160+Model!AR160+Model!AS160+Model!AT160+Model!AU160</f>
        <v>-35486.114176418218</v>
      </c>
      <c r="F44" s="19">
        <f>Model!AV160+Model!AW160+Model!AX160+Model!AY160+Model!AZ160+Model!BA160+Model!BB160+Model!BC160+Model!BD160+Model!BE160+Model!BF160+Model!BG160</f>
        <v>-184962.46456689519</v>
      </c>
      <c r="G44" s="19">
        <f>Model!BH160+Model!BI160+Model!BJ160+Model!BK160+Model!BL160+Model!BM160+Model!BN160+Model!BO160+Model!BP160+Model!BQ160+Model!BR160+Model!BS160</f>
        <v>-267839.24847186176</v>
      </c>
      <c r="H44" s="19">
        <f>Model!BT160+Model!BU160+Model!BV160+Model!BW160+Model!BX160+Model!BY160+Model!BZ160+Model!CA160+Model!CB160+Model!CC160+Model!CD160+Model!CE160</f>
        <v>0</v>
      </c>
      <c r="I44" s="19">
        <f>Model!CF160+Model!CG160+Model!CH160</f>
        <v>-86492.866886558593</v>
      </c>
    </row>
    <row r="45" spans="1:9" ht="15" customHeight="1" x14ac:dyDescent="0.25">
      <c r="A45" s="20" t="s">
        <v>110</v>
      </c>
      <c r="B45" s="21">
        <f>Model!K161</f>
        <v>2855053.8348878459</v>
      </c>
      <c r="C45" s="21">
        <f>Model!W161</f>
        <v>3395503.9833378051</v>
      </c>
      <c r="D45" s="21">
        <f>Model!AI161</f>
        <v>3263791.0305925342</v>
      </c>
      <c r="E45" s="21">
        <f>Model!AU161</f>
        <v>3880332.5791488527</v>
      </c>
      <c r="F45" s="21">
        <f>Model!BG161</f>
        <v>4773130.0740550598</v>
      </c>
      <c r="G45" s="21">
        <f>Model!BS161</f>
        <v>4054318.7378768958</v>
      </c>
      <c r="H45" s="21">
        <f>Model!CE161</f>
        <v>4342628.2941654185</v>
      </c>
      <c r="I45" s="21">
        <f>Model!CH161</f>
        <v>3900108.8736511772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8" t="s">
        <v>111</v>
      </c>
      <c r="B1" s="219"/>
      <c r="C1" s="219"/>
      <c r="D1" s="219"/>
      <c r="E1" s="219"/>
      <c r="F1" s="219"/>
      <c r="G1" s="219"/>
      <c r="H1" s="219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112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113</v>
      </c>
      <c r="B5" s="26"/>
      <c r="C5" s="27" t="s">
        <v>114</v>
      </c>
      <c r="D5" s="26"/>
      <c r="E5" s="26"/>
      <c r="F5" s="27" t="s">
        <v>115</v>
      </c>
      <c r="G5" s="27" t="s">
        <v>116</v>
      </c>
      <c r="H5" s="27" t="s">
        <v>117</v>
      </c>
      <c r="I5" s="27" t="s">
        <v>118</v>
      </c>
      <c r="J5" s="27" t="s">
        <v>119</v>
      </c>
      <c r="K5" s="26"/>
      <c r="L5" s="26"/>
      <c r="M5" s="26"/>
      <c r="N5" s="26"/>
      <c r="O5" s="27" t="s">
        <v>120</v>
      </c>
      <c r="P5" s="26"/>
      <c r="Q5" s="26"/>
      <c r="R5" s="27" t="s">
        <v>121</v>
      </c>
      <c r="S5" s="26"/>
      <c r="T5" s="26"/>
      <c r="U5" s="27" t="s">
        <v>122</v>
      </c>
      <c r="V5" s="26"/>
      <c r="W5" s="26"/>
      <c r="X5" s="26"/>
      <c r="Y5" s="26"/>
      <c r="Z5" s="26"/>
      <c r="AA5" s="26"/>
      <c r="AB5" s="26"/>
      <c r="AC5" s="27" t="s">
        <v>123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75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5892911.4458942935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5985551.5079940278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6624695.0930872438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7264827.1133561721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6982817.0374313621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7170303.4392183255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7301293.3837315356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7372857.5400518728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8110312.2309200931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8161675.8743467145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8150103.6855197214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7426580.2764052832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6953679.6521709999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6952865.2381719993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6855721.4881119998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6596426.2375599993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6358183.9050899995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6061199.8681680001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5722621.2391489996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5359200.3904109998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3999095.4714789996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4105836.2097709998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4205392.3298230004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4293740.4702150002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4763451.1144420002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4906663.4738270007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4808764.8332779994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4931654.5343899997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5408282.1206259998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5528298.7452060003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5596783.4798999997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5606524.6968099996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5402595.3662160002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5488328.1974160001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5509083.79244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5464263.3365679998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5752875.4975039996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5676034.7800079994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5549808.1712640002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4999531.3038240001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5266127.8741359999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5173175.1601200001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5036609.6665359996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4544837.1249839999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4878457.0753760003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4800639.9298320003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4116390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3743952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4116390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4134789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4112652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3672792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4053486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4075830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4053486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3672792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4112652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4134789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4514145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4235367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4708620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4830969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4910922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4565622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5027541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5112390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5129466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4762242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4711326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4581651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4379769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3801366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3558981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3268158</v>
      </c>
      <c r="CI7" s="23"/>
    </row>
    <row r="8" spans="1:87" ht="15" customHeight="1" x14ac:dyDescent="0.25">
      <c r="A8" s="7" t="s">
        <v>124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235691.72650162334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235691.72650162334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293307.46814123372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344044.8042410714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311150.02924107137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311150.02924107137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311150.02924107137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311150.02924107137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380960.79466314928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380960.79466314928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445143.66154626617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344065.84661120124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246933.5184862013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246933.5184862013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259183.5184862013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234683.51848620124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234683.51848620124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234683.51848620124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234683.51848620124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234683.51848620124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267863.15809659089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201503.87887581164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265281.31459009735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265281.31459009735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265281.31459009735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265281.31459009735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360890.25533685053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268121.7473214285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372752.70836038957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201855.47199675321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238381.44602272724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276964.76501623372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213945.34399350648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213945.34399350648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250471.3180194805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250471.3180194805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250471.3180194805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360698.84237012983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224491.72142857139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224491.72142857139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224491.72142857139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224491.72142857139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261017.69545454541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261017.69545454541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304848.86428571423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217186.52662337659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253712.50064935061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253712.50064935061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290238.47467532463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217186.52662337659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261017.69545454541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361718.9097402597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233766.23376623372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160714.28571428568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197240.2597402597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197240.2597402597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241071.42857142852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153409.09090909088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189935.0649350649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189935.0649350649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226461.03896103892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153409.09090909088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197240.2597402597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197240.2597402597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270292.20779220772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197240.2597402597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233766.23376623372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233766.23376623372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277597.40259740257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189935.0649350649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226461.03896103892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226461.03896103892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262987.01298701297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189935.0649350649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189935.0649350649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189935.0649350649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226461.03896103892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153409.09090909088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153409.09090909088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153409.09090909088</v>
      </c>
      <c r="CI8" s="23"/>
    </row>
    <row r="9" spans="1:87" ht="15" customHeight="1" x14ac:dyDescent="0.25">
      <c r="A9" s="7" t="s">
        <v>125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272642.81851945998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276928.92528868472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306499.69180679612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353468.6448549527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323068.64540063927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331742.93509370496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337803.34648757917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341114.35047317913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375233.60159289383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377610.00392675539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441257.46921641566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392730.86262589373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321720.56832284655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321682.88845438632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326011.24985583109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305191.79832866881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294169.22288159898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280428.89000452595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264764.13200608193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247950.01806284656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263847.0328088376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200280.95791792206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196839.7996115649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159028.21582611278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161141.26713844965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162438.23046937009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236800.85785251865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189961.57788713227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299198.6256492784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198655.20032650564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220386.9427948003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265596.15828582708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222483.43790328404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228169.08154239442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250220.84486662498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255773.56207527756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258942.09282004865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369620.30658942368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249957.74015772075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253924.275367461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254884.55857879863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252810.88488991559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266163.88259555842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262608.75199712336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300599.8910406233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231309.48402432463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243643.90326765581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239343.33127178569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269550.93424720125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210272.49685396749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225707.83546788309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322808.74350683764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226975.83603896102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173218.55844155845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190449.86201298697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191301.11444805193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234108.08766233764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169926.25324675321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187539.53084415582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188573.30357142855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224065.50487012984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169926.25324675321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190276.91883116882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191301.11444805193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245378.46185064933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195954.4797077922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217850.11363636359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223510.74107142855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271041.03409090906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211234.1347402597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232605.38717532463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236531.03084415579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273847.04707792203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220331.00162337659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217975.31006493504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211975.73620129869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239161.39042207788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175874.88798701297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164660.6469155844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151205.362012987</v>
      </c>
      <c r="CI9" s="23"/>
    </row>
    <row r="10" spans="1:87" ht="15" customHeight="1" x14ac:dyDescent="0.25">
      <c r="A10" s="7" t="s">
        <v>126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65176.216125541127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65176.216125541127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84381.463338744594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100361.19203869048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92544.185788690476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92544.185788690476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92544.185788690476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92544.185788690476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115814.44092938313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115814.44092938313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137208.72989042208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97546.308245400432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78227.839495400432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78227.839495400432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78227.839495400432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78227.839495400432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78227.839495400432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78227.839495400432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78227.839495400432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78227.839495400432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89287.719365530327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67167.959625270567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88427.104863365807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88427.104863365807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88427.104863365807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88427.104863365807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120296.75177895022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89373.915773809524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124250.90278679655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67285.157332251081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79460.48200757576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92321.588338744594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71315.114664502165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71315.114664502165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83490.439339826844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83490.439339826844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83490.439339826844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120232.94745670995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74830.573809523805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74830.573809523805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74830.573809523805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74830.573809523805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87005.898484848483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87005.898484848483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101616.28809523811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72395.508874458872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84570.833549783565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84570.833549783565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96746.158225108229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72395.508874458872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87005.898484848483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120572.96991341992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77922.077922077922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53571.428571428572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65746.753246753244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65746.753246753244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80357.14285714287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51136.36363636364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63311.688311688318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63311.688311688318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75487.012987012989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51136.36363636364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65746.753246753244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65746.753246753244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90097.402597402601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65746.753246753244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77922.077922077922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77922.077922077922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92532.467532467548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63311.688311688318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75487.012987012989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75487.012987012989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87662.337662337668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63311.688311688318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63311.688311688318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63311.688311688318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75487.012987012989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51136.36363636364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51136.36363636364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51136.36363636364</v>
      </c>
      <c r="CI10" s="23"/>
    </row>
    <row r="11" spans="1:87" ht="15" customHeight="1" x14ac:dyDescent="0.25">
      <c r="A11" s="7" t="s">
        <v>127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81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573510.76114662446</v>
      </c>
      <c r="H12" s="10">
        <f t="shared" si="0"/>
        <v>577796.8679158492</v>
      </c>
      <c r="I12" s="10">
        <f t="shared" si="0"/>
        <v>1126248.4482867743</v>
      </c>
      <c r="J12" s="10">
        <f t="shared" si="0"/>
        <v>1116825.7161347144</v>
      </c>
      <c r="K12" s="10">
        <f t="shared" si="0"/>
        <v>726762.86043040117</v>
      </c>
      <c r="L12" s="10">
        <f t="shared" si="0"/>
        <v>735437.15012346685</v>
      </c>
      <c r="M12" s="10">
        <f t="shared" si="0"/>
        <v>741497.56151734095</v>
      </c>
      <c r="N12" s="10">
        <f t="shared" si="0"/>
        <v>744808.56550294103</v>
      </c>
      <c r="O12" s="10">
        <f t="shared" si="0"/>
        <v>1551010.3871854262</v>
      </c>
      <c r="P12" s="10">
        <f t="shared" si="0"/>
        <v>874385.23951928783</v>
      </c>
      <c r="Q12" s="10">
        <f t="shared" si="0"/>
        <v>1023609.8606531039</v>
      </c>
      <c r="R12" s="10">
        <f t="shared" si="0"/>
        <v>834343.0174824954</v>
      </c>
      <c r="S12" s="10">
        <f t="shared" si="0"/>
        <v>646881.92630444828</v>
      </c>
      <c r="T12" s="10">
        <f t="shared" si="0"/>
        <v>646844.246435988</v>
      </c>
      <c r="U12" s="10">
        <f t="shared" si="0"/>
        <v>663422.60783743276</v>
      </c>
      <c r="V12" s="10">
        <f t="shared" si="0"/>
        <v>618103.15631027054</v>
      </c>
      <c r="W12" s="10">
        <f t="shared" si="0"/>
        <v>607080.58086320059</v>
      </c>
      <c r="X12" s="10">
        <f t="shared" si="0"/>
        <v>593340.24798612762</v>
      </c>
      <c r="Y12" s="10">
        <f t="shared" si="0"/>
        <v>577675.4899876836</v>
      </c>
      <c r="Z12" s="10">
        <f t="shared" si="0"/>
        <v>560861.37604444823</v>
      </c>
      <c r="AA12" s="10">
        <f t="shared" si="0"/>
        <v>620997.91027095879</v>
      </c>
      <c r="AB12" s="10">
        <f t="shared" si="0"/>
        <v>468952.79641900427</v>
      </c>
      <c r="AC12" s="10">
        <f t="shared" si="0"/>
        <v>1170867.699065028</v>
      </c>
      <c r="AD12" s="10">
        <f t="shared" si="0"/>
        <v>512736.63527957594</v>
      </c>
      <c r="AE12" s="10">
        <f t="shared" si="0"/>
        <v>514849.68659191282</v>
      </c>
      <c r="AF12" s="10">
        <f t="shared" si="0"/>
        <v>516146.64992283325</v>
      </c>
      <c r="AG12" s="10">
        <f t="shared" si="0"/>
        <v>717987.86496831942</v>
      </c>
      <c r="AH12" s="10">
        <f t="shared" si="0"/>
        <v>547457.24098237033</v>
      </c>
      <c r="AI12" s="10">
        <f t="shared" ref="AI12:BN12" si="1">AI8+AI9+AI10+AI11</f>
        <v>796202.23679646454</v>
      </c>
      <c r="AJ12" s="10">
        <f t="shared" si="1"/>
        <v>467795.82965550991</v>
      </c>
      <c r="AK12" s="10">
        <f t="shared" si="1"/>
        <v>538228.87082510337</v>
      </c>
      <c r="AL12" s="10">
        <f t="shared" si="1"/>
        <v>634882.5116408054</v>
      </c>
      <c r="AM12" s="10">
        <f t="shared" si="1"/>
        <v>507743.89656129264</v>
      </c>
      <c r="AN12" s="10">
        <f t="shared" si="1"/>
        <v>513429.54020040302</v>
      </c>
      <c r="AO12" s="10">
        <f t="shared" si="1"/>
        <v>584182.60222593229</v>
      </c>
      <c r="AP12" s="10">
        <f t="shared" si="1"/>
        <v>589735.31943458493</v>
      </c>
      <c r="AQ12" s="10">
        <f t="shared" si="1"/>
        <v>592903.85017935594</v>
      </c>
      <c r="AR12" s="10">
        <f t="shared" si="1"/>
        <v>850552.09641626349</v>
      </c>
      <c r="AS12" s="10">
        <f t="shared" si="1"/>
        <v>549280.03539581597</v>
      </c>
      <c r="AT12" s="10">
        <f t="shared" si="1"/>
        <v>553246.57060555625</v>
      </c>
      <c r="AU12" s="10">
        <f t="shared" si="1"/>
        <v>554206.85381689388</v>
      </c>
      <c r="AV12" s="10">
        <f t="shared" si="1"/>
        <v>552133.1801280108</v>
      </c>
      <c r="AW12" s="10">
        <f t="shared" si="1"/>
        <v>614187.47653495229</v>
      </c>
      <c r="AX12" s="10">
        <f t="shared" si="1"/>
        <v>610632.34593651723</v>
      </c>
      <c r="AY12" s="10">
        <f t="shared" si="1"/>
        <v>707065.04342157568</v>
      </c>
      <c r="AZ12" s="10">
        <f t="shared" si="1"/>
        <v>520891.51952216006</v>
      </c>
      <c r="BA12" s="10">
        <f t="shared" si="1"/>
        <v>581927.23746679001</v>
      </c>
      <c r="BB12" s="10">
        <f t="shared" si="1"/>
        <v>577626.6654709198</v>
      </c>
      <c r="BC12" s="10">
        <f t="shared" si="1"/>
        <v>656535.56714763399</v>
      </c>
      <c r="BD12" s="10">
        <f t="shared" si="1"/>
        <v>499854.53235180292</v>
      </c>
      <c r="BE12" s="10">
        <f t="shared" si="1"/>
        <v>573731.42940727691</v>
      </c>
      <c r="BF12" s="10">
        <f t="shared" si="1"/>
        <v>805100.62316051719</v>
      </c>
      <c r="BG12" s="10">
        <f t="shared" si="1"/>
        <v>538664.14772727271</v>
      </c>
      <c r="BH12" s="10">
        <f t="shared" si="1"/>
        <v>387504.27272727271</v>
      </c>
      <c r="BI12" s="10">
        <f t="shared" si="1"/>
        <v>453436.87499999988</v>
      </c>
      <c r="BJ12" s="10">
        <f t="shared" si="1"/>
        <v>454288.12743506487</v>
      </c>
      <c r="BK12" s="10">
        <f t="shared" si="1"/>
        <v>555536.65909090906</v>
      </c>
      <c r="BL12" s="10">
        <f t="shared" si="1"/>
        <v>374471.70779220772</v>
      </c>
      <c r="BM12" s="10">
        <f t="shared" si="1"/>
        <v>440786.284090909</v>
      </c>
      <c r="BN12" s="10">
        <f t="shared" si="1"/>
        <v>441820.05681818177</v>
      </c>
      <c r="BO12" s="10">
        <f t="shared" ref="BO12:CT12" si="2">BO8+BO9+BO10+BO11</f>
        <v>526013.55681818177</v>
      </c>
      <c r="BP12" s="10">
        <f t="shared" si="2"/>
        <v>374471.70779220772</v>
      </c>
      <c r="BQ12" s="10">
        <f t="shared" si="2"/>
        <v>453263.93181818177</v>
      </c>
      <c r="BR12" s="10">
        <f t="shared" si="2"/>
        <v>454288.12743506487</v>
      </c>
      <c r="BS12" s="10">
        <f t="shared" si="2"/>
        <v>605768.07224025961</v>
      </c>
      <c r="BT12" s="10">
        <f t="shared" si="2"/>
        <v>458941.49269480514</v>
      </c>
      <c r="BU12" s="10">
        <f t="shared" si="2"/>
        <v>529538.42532467528</v>
      </c>
      <c r="BV12" s="10">
        <f t="shared" si="2"/>
        <v>535199.05275974027</v>
      </c>
      <c r="BW12" s="10">
        <f t="shared" si="2"/>
        <v>641170.90422077919</v>
      </c>
      <c r="BX12" s="10">
        <f t="shared" si="2"/>
        <v>464480.88798701292</v>
      </c>
      <c r="BY12" s="10">
        <f t="shared" si="2"/>
        <v>534553.43912337651</v>
      </c>
      <c r="BZ12" s="10">
        <f t="shared" si="2"/>
        <v>538479.08279220772</v>
      </c>
      <c r="CA12" s="10">
        <f t="shared" si="2"/>
        <v>624496.39772727271</v>
      </c>
      <c r="CB12" s="10">
        <f t="shared" si="2"/>
        <v>473577.75487012981</v>
      </c>
      <c r="CC12" s="10">
        <f t="shared" si="2"/>
        <v>471222.06331168825</v>
      </c>
      <c r="CD12" s="10">
        <f t="shared" si="2"/>
        <v>465222.4894480519</v>
      </c>
      <c r="CE12" s="10">
        <f t="shared" si="2"/>
        <v>541109.44237012975</v>
      </c>
      <c r="CF12" s="10">
        <f t="shared" si="2"/>
        <v>380420.3425324675</v>
      </c>
      <c r="CG12" s="10">
        <f t="shared" si="2"/>
        <v>369206.10146103892</v>
      </c>
      <c r="CH12" s="10">
        <f t="shared" si="2"/>
        <v>355750.8165584415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128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129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130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131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132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133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134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135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136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137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138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139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140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141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142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143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144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145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146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147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148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149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150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151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86</v>
      </c>
      <c r="B39" s="28"/>
      <c r="C39" s="10">
        <f>C15+C16+C17+C18+C19+C20+C21+C22+C23+SUM(C24:C38)+Helpers!C103</f>
        <v>-321206.61499999999</v>
      </c>
      <c r="D39" s="10">
        <f>D15+D16+D17+D18+D19+D20+D21+D22+D23+SUM(D24:D38)+Helpers!D103</f>
        <v>-363437.86499999993</v>
      </c>
      <c r="E39" s="10">
        <f>E15+E16+E17+E18+E19+E20+E21+E22+E23+SUM(E24:E38)+Helpers!E103</f>
        <v>-398387.86499999993</v>
      </c>
      <c r="F39" s="10">
        <f>F15+F16+F17+F18+F19+F20+F21+F22+F23+SUM(F24:F38)+Helpers!F103</f>
        <v>-716354.38020000013</v>
      </c>
      <c r="G39" s="10">
        <f>G15+G16+G17+G18+G19+G20+G21+G22+G23+SUM(G24:G38)+Helpers!G103</f>
        <v>-398387.86499999993</v>
      </c>
      <c r="H39" s="10">
        <f>H15+H16+H17+H18+H19+H20+H21+H22+H23+SUM(H24:H38)+Helpers!H103</f>
        <v>-398387.86499999993</v>
      </c>
      <c r="I39" s="10">
        <f>I15+I16+I17+I18+I19+I20+I21+I22+I23+SUM(I24:I38)+Helpers!I103</f>
        <v>-616470.71200000017</v>
      </c>
      <c r="J39" s="10">
        <f>J15+J16+J17+J18+J19+J20+J21+J22+J23+SUM(J24:J38)+Helpers!J103</f>
        <v>-555737.06199999992</v>
      </c>
      <c r="K39" s="10">
        <f>K15+K16+K17+K18+K19+K20+K21+K22+K23+SUM(K24:K38)+Helpers!K103</f>
        <v>-398387.86499999993</v>
      </c>
      <c r="L39" s="10">
        <f>L15+L16+L17+L18+L19+L20+L21+L22+L23+SUM(L24:L38)+Helpers!L103</f>
        <v>-398387.86499999993</v>
      </c>
      <c r="M39" s="10">
        <f>M15+M16+M17+M18+M19+M20+M21+M22+M23+SUM(M24:M38)+Helpers!M103</f>
        <v>-398387.86499999993</v>
      </c>
      <c r="N39" s="10">
        <f>N15+N16+N17+N18+N19+N20+N21+N22+N23+SUM(N24:N38)+Helpers!N103</f>
        <v>-428387.86499999993</v>
      </c>
      <c r="O39" s="10">
        <f>O15+O16+O17+O18+O19+O20+O21+O22+O23+SUM(O24:O38)+Helpers!O103</f>
        <v>-1870207.557</v>
      </c>
      <c r="P39" s="10">
        <f>P15+P16+P17+P18+P19+P20+P21+P22+P23+SUM(P24:P38)+Helpers!P103</f>
        <v>-399037.53199999995</v>
      </c>
      <c r="Q39" s="10">
        <f>Q15+Q16+Q17+Q18+Q19+Q20+Q21+Q22+Q23+SUM(Q24:Q38)+Helpers!Q103</f>
        <v>-429037.53199999995</v>
      </c>
      <c r="R39" s="10">
        <f>R15+R16+R17+R18+R19+R20+R21+R22+R23+SUM(R24:R38)+Helpers!R103</f>
        <v>-399037.53199999995</v>
      </c>
      <c r="S39" s="10">
        <f>S15+S16+S17+S18+S19+S20+S21+S22+S23+SUM(S24:S38)+Helpers!S103</f>
        <v>-399037.53199999995</v>
      </c>
      <c r="T39" s="10">
        <f>T15+T16+T17+T18+T19+T20+T21+T22+T23+SUM(T24:T38)+Helpers!T103</f>
        <v>-429037.53199999995</v>
      </c>
      <c r="U39" s="10">
        <f>U15+U16+U17+U18+U19+U20+U21+U22+U23+SUM(U24:U38)+Helpers!U103</f>
        <v>-399037.53199999995</v>
      </c>
      <c r="V39" s="10">
        <f>V15+V16+V17+V18+V19+V20+V21+V22+V23+SUM(V24:V38)+Helpers!V103</f>
        <v>-399037.53199999995</v>
      </c>
      <c r="W39" s="10">
        <f>W15+W16+W17+W18+W19+W20+W21+W22+W23+SUM(W24:W38)+Helpers!W103</f>
        <v>-399037.53199999995</v>
      </c>
      <c r="X39" s="10">
        <f>X15+X16+X17+X18+X19+X20+X21+X22+X23+SUM(X24:X38)+Helpers!X103</f>
        <v>-429037.53199999995</v>
      </c>
      <c r="Y39" s="10">
        <f>Y15+Y16+Y17+Y18+Y19+Y20+Y21+Y22+Y23+SUM(Y24:Y38)+Helpers!Y103</f>
        <v>-399037.53199999995</v>
      </c>
      <c r="Z39" s="10">
        <f>Z15+Z16+Z17+Z18+Z19+Z20+Z21+Z22+Z23+SUM(Z24:Z38)+Helpers!Z103</f>
        <v>-399037.53199999995</v>
      </c>
      <c r="AA39" s="10">
        <f>AA15+AA16+AA17+AA18+AA19+AA20+AA21+AA22+AA23+SUM(AA24:AA38)+Helpers!AA103</f>
        <v>-429700.19233999995</v>
      </c>
      <c r="AB39" s="10">
        <f>AB15+AB16+AB17+AB18+AB19+AB20+AB21+AB22+AB23+SUM(AB24:AB38)+Helpers!AB103</f>
        <v>-399700.19233999995</v>
      </c>
      <c r="AC39" s="10">
        <f>AC15+AC16+AC17+AC18+AC19+AC20+AC21+AC22+AC23+SUM(AC24:AC38)+Helpers!AC103</f>
        <v>-1743725.7323399999</v>
      </c>
      <c r="AD39" s="10">
        <f>AD15+AD16+AD17+AD18+AD19+AD20+AD21+AD22+AD23+SUM(AD24:AD38)+Helpers!AD103</f>
        <v>-435700.19233999995</v>
      </c>
      <c r="AE39" s="10">
        <f>AE15+AE16+AE17+AE18+AE19+AE20+AE21+AE22+AE23+SUM(AE24:AE38)+Helpers!AE103</f>
        <v>-399700.19233999995</v>
      </c>
      <c r="AF39" s="10">
        <f>AF15+AF16+AF17+AF18+AF19+AF20+AF21+AF22+AF23+SUM(AF24:AF38)+Helpers!AF103</f>
        <v>-399700.19233999995</v>
      </c>
      <c r="AG39" s="10">
        <f>AG15+AG16+AG17+AG18+AG19+AG20+AG21+AG22+AG23+SUM(AG24:AG38)+Helpers!AG103</f>
        <v>-435700.19233999995</v>
      </c>
      <c r="AH39" s="10">
        <f>AH15+AH16+AH17+AH18+AH19+AH20+AH21+AH22+AH23+SUM(AH24:AH38)+Helpers!AH103</f>
        <v>-399700.19233999995</v>
      </c>
      <c r="AI39" s="10">
        <f>AI15+AI16+AI17+AI18+AI19+AI20+AI21+AI22+AI23+SUM(AI24:AI38)+Helpers!AI103</f>
        <v>-435700.19233999995</v>
      </c>
      <c r="AJ39" s="10">
        <f>AJ15+AJ16+AJ17+AJ18+AJ19+AJ20+AJ21+AJ22+AJ23+SUM(AJ24:AJ38)+Helpers!AJ103</f>
        <v>-399700.19233999995</v>
      </c>
      <c r="AK39" s="10">
        <f>AK15+AK16+AK17+AK18+AK19+AK20+AK21+AK22+AK23+SUM(AK24:AK38)+Helpers!AK103</f>
        <v>-429700.19233999995</v>
      </c>
      <c r="AL39" s="10">
        <f>AL15+AL16+AL17+AL18+AL19+AL20+AL21+AL22+AL23+SUM(AL24:AL38)+Helpers!AL103</f>
        <v>-399700.19233999995</v>
      </c>
      <c r="AM39" s="10">
        <f>AM15+AM16+AM17+AM18+AM19+AM20+AM21+AM22+AM23+SUM(AM24:AM38)+Helpers!AM103</f>
        <v>-412376.10588679998</v>
      </c>
      <c r="AN39" s="10">
        <f>AN15+AN16+AN17+AN18+AN19+AN20+AN21+AN22+AN23+SUM(AN24:AN38)+Helpers!AN103</f>
        <v>-400376.10588679998</v>
      </c>
      <c r="AO39" s="10">
        <f>AO15+AO16+AO17+AO18+AO19+AO20+AO21+AO22+AO23+SUM(AO24:AO38)+Helpers!AO103</f>
        <v>-400376.10588679998</v>
      </c>
      <c r="AP39" s="10">
        <f>AP15+AP16+AP17+AP18+AP19+AP20+AP21+AP22+AP23+SUM(AP24:AP38)+Helpers!AP103</f>
        <v>-400376.10588679998</v>
      </c>
      <c r="AQ39" s="10">
        <f>AQ15+AQ16+AQ17+AQ18+AQ19+AQ20+AQ21+AQ22+AQ23+SUM(AQ24:AQ38)+Helpers!AQ103</f>
        <v>-430376.10588679998</v>
      </c>
      <c r="AR39" s="10">
        <f>AR15+AR16+AR17+AR18+AR19+AR20+AR21+AR22+AR23+SUM(AR24:AR38)+Helpers!AR103</f>
        <v>-400376.10588679998</v>
      </c>
      <c r="AS39" s="10">
        <f>AS15+AS16+AS17+AS18+AS19+AS20+AS21+AS22+AS23+SUM(AS24:AS38)+Helpers!AS103</f>
        <v>-436376.10588679998</v>
      </c>
      <c r="AT39" s="10">
        <f>AT15+AT16+AT17+AT18+AT19+AT20+AT21+AT22+AT23+SUM(AT24:AT38)+Helpers!AT103</f>
        <v>-400376.10588679998</v>
      </c>
      <c r="AU39" s="10">
        <f>AU15+AU16+AU17+AU18+AU19+AU20+AU21+AU22+AU23+SUM(AU24:AU38)+Helpers!AU103</f>
        <v>-430376.10588679998</v>
      </c>
      <c r="AV39" s="10">
        <f>AV15+AV16+AV17+AV18+AV19+AV20+AV21+AV22+AV23+SUM(AV24:AV38)+Helpers!AV103</f>
        <v>-400376.10588679998</v>
      </c>
      <c r="AW39" s="10">
        <f>AW15+AW16+AW17+AW18+AW19+AW20+AW21+AW22+AW23+SUM(AW24:AW38)+Helpers!AW103</f>
        <v>-430376.10588679998</v>
      </c>
      <c r="AX39" s="10">
        <f>AX15+AX16+AX17+AX18+AX19+AX20+AX21+AX22+AX23+SUM(AX24:AX38)+Helpers!AX103</f>
        <v>-400376.10588679998</v>
      </c>
      <c r="AY39" s="10">
        <f>AY15+AY16+AY17+AY18+AY19+AY20+AY21+AY22+AY23+SUM(AY24:AY38)+Helpers!AY103</f>
        <v>-425065.53770453599</v>
      </c>
      <c r="AZ39" s="10">
        <f>AZ15+AZ16+AZ17+AZ18+AZ19+AZ20+AZ21+AZ22+AZ23+SUM(AZ24:AZ38)+Helpers!AZ103</f>
        <v>-401065.53770453599</v>
      </c>
      <c r="BA39" s="10">
        <f>BA15+BA16+BA17+BA18+BA19+BA20+BA21+BA22+BA23+SUM(BA24:BA38)+Helpers!BA103</f>
        <v>-401065.53770453599</v>
      </c>
      <c r="BB39" s="10">
        <f>BB15+BB16+BB17+BB18+BB19+BB20+BB21+BB22+BB23+SUM(BB24:BB38)+Helpers!BB103</f>
        <v>-401065.53770453599</v>
      </c>
      <c r="BC39" s="10">
        <f>BC15+BC16+BC17+BC18+BC19+BC20+BC21+BC22+BC23+SUM(BC24:BC38)+Helpers!BC103</f>
        <v>-437065.53770453599</v>
      </c>
      <c r="BD39" s="10">
        <f>BD15+BD16+BD17+BD18+BD19+BD20+BD21+BD22+BD23+SUM(BD24:BD38)+Helpers!BD103</f>
        <v>-401065.53770453599</v>
      </c>
      <c r="BE39" s="10">
        <f>BE15+BE16+BE17+BE18+BE19+BE20+BE21+BE22+BE23+SUM(BE24:BE38)+Helpers!BE103</f>
        <v>-431065.53770453599</v>
      </c>
      <c r="BF39" s="10">
        <f>BF15+BF16+BF17+BF18+BF19+BF20+BF21+BF22+BF23+SUM(BF24:BF38)+Helpers!BF103</f>
        <v>-401065.53770453599</v>
      </c>
      <c r="BG39" s="10">
        <f>BG15+BG16+BG17+BG18+BG19+BG20+BG21+BG22+BG23+SUM(BG24:BG38)+Helpers!BG103</f>
        <v>-431065.53770453599</v>
      </c>
      <c r="BH39" s="10">
        <f>BH15+BH16+BH17+BH18+BH19+BH20+BH21+BH22+BH23+SUM(BH24:BH38)+Helpers!BH103</f>
        <v>-401065.53770453599</v>
      </c>
      <c r="BI39" s="10">
        <f>BI15+BI16+BI17+BI18+BI19+BI20+BI21+BI22+BI23+SUM(BI24:BI38)+Helpers!BI103</f>
        <v>-437065.53770453599</v>
      </c>
      <c r="BJ39" s="10">
        <f>BJ15+BJ16+BJ17+BJ18+BJ19+BJ20+BJ21+BJ22+BJ23+SUM(BJ24:BJ38)+Helpers!BJ103</f>
        <v>-401065.53770453599</v>
      </c>
      <c r="BK39" s="10">
        <f>BK15+BK16+BK17+BK18+BK19+BK20+BK21+BK22+BK23+SUM(BK24:BK38)+Helpers!BK103</f>
        <v>-419768.75815862673</v>
      </c>
      <c r="BL39" s="10">
        <f>BL15+BL16+BL17+BL18+BL19+BL20+BL21+BL22+BL23+SUM(BL24:BL38)+Helpers!BL103</f>
        <v>-401768.75815862673</v>
      </c>
      <c r="BM39" s="10">
        <f>BM15+BM16+BM17+BM18+BM19+BM20+BM21+BM22+BM23+SUM(BM24:BM38)+Helpers!BM103</f>
        <v>-401768.75815862673</v>
      </c>
      <c r="BN39" s="10">
        <f>BN15+BN16+BN17+BN18+BN19+BN20+BN21+BN22+BN23+SUM(BN24:BN38)+Helpers!BN103</f>
        <v>-401768.75815862673</v>
      </c>
      <c r="BO39" s="10">
        <f>BO15+BO16+BO17+BO18+BO19+BO20+BO21+BO22+BO23+SUM(BO24:BO38)+Helpers!BO103</f>
        <v>-437768.75815862673</v>
      </c>
      <c r="BP39" s="10">
        <f>BP15+BP16+BP17+BP18+BP19+BP20+BP21+BP22+BP23+SUM(BP24:BP38)+Helpers!BP103</f>
        <v>-401768.75815862673</v>
      </c>
      <c r="BQ39" s="10">
        <f>BQ15+BQ16+BQ17+BQ18+BQ19+BQ20+BQ21+BQ22+BQ23+SUM(BQ24:BQ38)+Helpers!BQ103</f>
        <v>-431768.75815862673</v>
      </c>
      <c r="BR39" s="10">
        <f>BR15+BR16+BR17+BR18+BR19+BR20+BR21+BR22+BR23+SUM(BR24:BR38)+Helpers!BR103</f>
        <v>-401768.75815862673</v>
      </c>
      <c r="BS39" s="10">
        <f>BS15+BS16+BS17+BS18+BS19+BS20+BS21+BS22+BS23+SUM(BS24:BS38)+Helpers!BS103</f>
        <v>-431768.75815862673</v>
      </c>
      <c r="BT39" s="10">
        <f>BT15+BT16+BT17+BT18+BT19+BT20+BT21+BT22+BT23+SUM(BT24:BT38)+Helpers!BT103</f>
        <v>-401768.75815862673</v>
      </c>
      <c r="BU39" s="10">
        <f>BU15+BU16+BU17+BU18+BU19+BU20+BU21+BU22+BU23+SUM(BU24:BU38)+Helpers!BU103</f>
        <v>-437768.75815862673</v>
      </c>
      <c r="BV39" s="10">
        <f>BV15+BV16+BV17+BV18+BV19+BV20+BV21+BV22+BV23+SUM(BV24:BV38)+Helpers!BV103</f>
        <v>-401768.75815862673</v>
      </c>
      <c r="BW39" s="10">
        <f>BW15+BW16+BW17+BW18+BW19+BW20+BW21+BW22+BW23+SUM(BW24:BW38)+Helpers!BW103</f>
        <v>-420486.04302179924</v>
      </c>
      <c r="BX39" s="10">
        <f>BX15+BX16+BX17+BX18+BX19+BX20+BX21+BX22+BX23+SUM(BX24:BX38)+Helpers!BX103</f>
        <v>-402486.04302179924</v>
      </c>
      <c r="BY39" s="10">
        <f>BY15+BY16+BY17+BY18+BY19+BY20+BY21+BY22+BY23+SUM(BY24:BY38)+Helpers!BY103</f>
        <v>-402486.04302179924</v>
      </c>
      <c r="BZ39" s="10">
        <f>BZ15+BZ16+BZ17+BZ18+BZ19+BZ20+BZ21+BZ22+BZ23+SUM(BZ24:BZ38)+Helpers!BZ103</f>
        <v>-402486.04302179924</v>
      </c>
      <c r="CA39" s="10">
        <f>CA15+CA16+CA17+CA18+CA19+CA20+CA21+CA22+CA23+SUM(CA24:CA38)+Helpers!CA103</f>
        <v>-402486.04302179924</v>
      </c>
      <c r="CB39" s="10">
        <f>CB15+CB16+CB17+CB18+CB19+CB20+CB21+CB22+CB23+SUM(CB24:CB38)+Helpers!CB103</f>
        <v>-402486.04302179924</v>
      </c>
      <c r="CC39" s="10">
        <f>CC15+CC16+CC17+CC18+CC19+CC20+CC21+CC22+CC23+SUM(CC24:CC38)+Helpers!CC103</f>
        <v>-402486.04302179924</v>
      </c>
      <c r="CD39" s="10">
        <f>CD15+CD16+CD17+CD18+CD19+CD20+CD21+CD22+CD23+SUM(CD24:CD38)+Helpers!CD103</f>
        <v>-402486.04302179924</v>
      </c>
      <c r="CE39" s="10">
        <f>CE15+CE16+CE17+CE18+CE19+CE20+CE21+CE22+CE23+SUM(CE24:CE38)+Helpers!CE103</f>
        <v>-402486.04302179924</v>
      </c>
      <c r="CF39" s="10">
        <f>CF15+CF16+CF17+CF18+CF19+CF20+CF21+CF22+CF23+SUM(CF24:CF38)+Helpers!CF103</f>
        <v>-402486.04302179924</v>
      </c>
      <c r="CG39" s="10">
        <f>CG15+CG16+CG17+CG18+CG19+CG20+CG21+CG22+CG23+SUM(CG24:CG38)+Helpers!CG103</f>
        <v>-402486.04302179924</v>
      </c>
      <c r="CH39" s="10">
        <f>CH15+CH16+CH17+CH18+CH19+CH20+CH21+CH22+CH23+SUM(CH24:CH38)+Helpers!CH103</f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87</v>
      </c>
      <c r="B41" s="29"/>
      <c r="C41" s="14">
        <f t="shared" ref="C41:AH41" si="3">C12+C39</f>
        <v>97393.108849917888</v>
      </c>
      <c r="D41" s="14">
        <f t="shared" si="3"/>
        <v>64089.361274119176</v>
      </c>
      <c r="E41" s="14">
        <f t="shared" si="3"/>
        <v>35442.305012481462</v>
      </c>
      <c r="F41" s="14">
        <f t="shared" si="3"/>
        <v>494303.87483696348</v>
      </c>
      <c r="G41" s="14">
        <f t="shared" si="3"/>
        <v>175122.89614662452</v>
      </c>
      <c r="H41" s="14">
        <f t="shared" si="3"/>
        <v>179409.00291584927</v>
      </c>
      <c r="I41" s="14">
        <f t="shared" si="3"/>
        <v>509777.73628677416</v>
      </c>
      <c r="J41" s="14">
        <f t="shared" si="3"/>
        <v>561088.65413471451</v>
      </c>
      <c r="K41" s="14">
        <f t="shared" si="3"/>
        <v>328374.99543040124</v>
      </c>
      <c r="L41" s="14">
        <f t="shared" si="3"/>
        <v>337049.28512346692</v>
      </c>
      <c r="M41" s="14">
        <f t="shared" si="3"/>
        <v>343109.69651734101</v>
      </c>
      <c r="N41" s="14">
        <f t="shared" si="3"/>
        <v>316420.70050294109</v>
      </c>
      <c r="O41" s="14">
        <f t="shared" si="3"/>
        <v>-319197.16981457383</v>
      </c>
      <c r="P41" s="14">
        <f t="shared" si="3"/>
        <v>475347.70751928788</v>
      </c>
      <c r="Q41" s="14">
        <f t="shared" si="3"/>
        <v>594572.3286531039</v>
      </c>
      <c r="R41" s="14">
        <f t="shared" si="3"/>
        <v>435305.48548249545</v>
      </c>
      <c r="S41" s="14">
        <f t="shared" si="3"/>
        <v>247844.39430444833</v>
      </c>
      <c r="T41" s="14">
        <f t="shared" si="3"/>
        <v>217806.71443598805</v>
      </c>
      <c r="U41" s="14">
        <f t="shared" si="3"/>
        <v>264385.07583743281</v>
      </c>
      <c r="V41" s="14">
        <f t="shared" si="3"/>
        <v>219065.62431027059</v>
      </c>
      <c r="W41" s="14">
        <f t="shared" si="3"/>
        <v>208043.04886320065</v>
      </c>
      <c r="X41" s="14">
        <f t="shared" si="3"/>
        <v>164302.71598612767</v>
      </c>
      <c r="Y41" s="14">
        <f t="shared" si="3"/>
        <v>178637.95798768365</v>
      </c>
      <c r="Z41" s="14">
        <f t="shared" si="3"/>
        <v>161823.84404444828</v>
      </c>
      <c r="AA41" s="14">
        <f t="shared" si="3"/>
        <v>191297.71793095884</v>
      </c>
      <c r="AB41" s="14">
        <f t="shared" si="3"/>
        <v>69252.604079004319</v>
      </c>
      <c r="AC41" s="14">
        <f t="shared" si="3"/>
        <v>-572858.03327497188</v>
      </c>
      <c r="AD41" s="14">
        <f t="shared" si="3"/>
        <v>77036.442939575994</v>
      </c>
      <c r="AE41" s="14">
        <f t="shared" si="3"/>
        <v>115149.49425191287</v>
      </c>
      <c r="AF41" s="14">
        <f t="shared" si="3"/>
        <v>116446.4575828333</v>
      </c>
      <c r="AG41" s="14">
        <f t="shared" si="3"/>
        <v>282287.67262831947</v>
      </c>
      <c r="AH41" s="14">
        <f t="shared" si="3"/>
        <v>147757.04864237038</v>
      </c>
      <c r="AI41" s="14">
        <f t="shared" ref="AI41:BN41" si="4">AI12+AI39</f>
        <v>360502.04445646459</v>
      </c>
      <c r="AJ41" s="14">
        <f t="shared" si="4"/>
        <v>68095.637315509957</v>
      </c>
      <c r="AK41" s="14">
        <f t="shared" si="4"/>
        <v>108528.67848510342</v>
      </c>
      <c r="AL41" s="14">
        <f t="shared" si="4"/>
        <v>235182.31930080545</v>
      </c>
      <c r="AM41" s="14">
        <f t="shared" si="4"/>
        <v>95367.790674492659</v>
      </c>
      <c r="AN41" s="14">
        <f t="shared" si="4"/>
        <v>113053.43431360304</v>
      </c>
      <c r="AO41" s="14">
        <f t="shared" si="4"/>
        <v>183806.49633913231</v>
      </c>
      <c r="AP41" s="14">
        <f t="shared" si="4"/>
        <v>189359.21354778495</v>
      </c>
      <c r="AQ41" s="14">
        <f t="shared" si="4"/>
        <v>162527.74429255596</v>
      </c>
      <c r="AR41" s="14">
        <f t="shared" si="4"/>
        <v>450175.99052946351</v>
      </c>
      <c r="AS41" s="14">
        <f t="shared" si="4"/>
        <v>112903.92950901599</v>
      </c>
      <c r="AT41" s="14">
        <f t="shared" si="4"/>
        <v>152870.46471875627</v>
      </c>
      <c r="AU41" s="14">
        <f t="shared" si="4"/>
        <v>123830.7479300939</v>
      </c>
      <c r="AV41" s="14">
        <f t="shared" si="4"/>
        <v>151757.07424121082</v>
      </c>
      <c r="AW41" s="14">
        <f t="shared" si="4"/>
        <v>183811.37064815231</v>
      </c>
      <c r="AX41" s="14">
        <f t="shared" si="4"/>
        <v>210256.24004971725</v>
      </c>
      <c r="AY41" s="14">
        <f t="shared" si="4"/>
        <v>281999.50571703969</v>
      </c>
      <c r="AZ41" s="14">
        <f t="shared" si="4"/>
        <v>119825.98181762407</v>
      </c>
      <c r="BA41" s="14">
        <f t="shared" si="4"/>
        <v>180861.69976225402</v>
      </c>
      <c r="BB41" s="14">
        <f t="shared" si="4"/>
        <v>176561.12776638381</v>
      </c>
      <c r="BC41" s="14">
        <f t="shared" si="4"/>
        <v>219470.029443098</v>
      </c>
      <c r="BD41" s="14">
        <f t="shared" si="4"/>
        <v>98788.994647266925</v>
      </c>
      <c r="BE41" s="14">
        <f t="shared" si="4"/>
        <v>142665.89170274092</v>
      </c>
      <c r="BF41" s="14">
        <f t="shared" si="4"/>
        <v>404035.0854559812</v>
      </c>
      <c r="BG41" s="14">
        <f t="shared" si="4"/>
        <v>107598.61002273671</v>
      </c>
      <c r="BH41" s="14">
        <f t="shared" si="4"/>
        <v>-13561.264977263287</v>
      </c>
      <c r="BI41" s="14">
        <f t="shared" si="4"/>
        <v>16371.337295463891</v>
      </c>
      <c r="BJ41" s="14">
        <f t="shared" si="4"/>
        <v>53222.589730528882</v>
      </c>
      <c r="BK41" s="14">
        <f t="shared" si="4"/>
        <v>135767.90093228233</v>
      </c>
      <c r="BL41" s="14">
        <f t="shared" si="4"/>
        <v>-27297.050366419018</v>
      </c>
      <c r="BM41" s="14">
        <f t="shared" si="4"/>
        <v>39017.525932282268</v>
      </c>
      <c r="BN41" s="14">
        <f t="shared" si="4"/>
        <v>40051.298659555032</v>
      </c>
      <c r="BO41" s="14">
        <f t="shared" ref="BO41:CH41" si="5">BO12+BO39</f>
        <v>88244.798659555032</v>
      </c>
      <c r="BP41" s="14">
        <f t="shared" si="5"/>
        <v>-27297.050366419018</v>
      </c>
      <c r="BQ41" s="14">
        <f t="shared" si="5"/>
        <v>21495.173659555032</v>
      </c>
      <c r="BR41" s="14">
        <f t="shared" si="5"/>
        <v>52519.369276438141</v>
      </c>
      <c r="BS41" s="14">
        <f t="shared" si="5"/>
        <v>173999.31408163288</v>
      </c>
      <c r="BT41" s="14">
        <f t="shared" si="5"/>
        <v>57172.73453617841</v>
      </c>
      <c r="BU41" s="14">
        <f t="shared" si="5"/>
        <v>91769.667166048544</v>
      </c>
      <c r="BV41" s="14">
        <f t="shared" si="5"/>
        <v>133430.29460111354</v>
      </c>
      <c r="BW41" s="14">
        <f t="shared" si="5"/>
        <v>220684.86119897995</v>
      </c>
      <c r="BX41" s="14">
        <f t="shared" si="5"/>
        <v>61994.844965213677</v>
      </c>
      <c r="BY41" s="14">
        <f t="shared" si="5"/>
        <v>132067.39610157727</v>
      </c>
      <c r="BZ41" s="14">
        <f t="shared" si="5"/>
        <v>135993.03977040848</v>
      </c>
      <c r="CA41" s="14">
        <f t="shared" si="5"/>
        <v>222010.35470547347</v>
      </c>
      <c r="CB41" s="14">
        <f t="shared" si="5"/>
        <v>71091.711848330568</v>
      </c>
      <c r="CC41" s="14">
        <f t="shared" si="5"/>
        <v>68736.020289889013</v>
      </c>
      <c r="CD41" s="14">
        <f t="shared" si="5"/>
        <v>62736.44642625266</v>
      </c>
      <c r="CE41" s="14">
        <f t="shared" si="5"/>
        <v>138623.39934833051</v>
      </c>
      <c r="CF41" s="14">
        <f t="shared" si="5"/>
        <v>-22065.700489331735</v>
      </c>
      <c r="CG41" s="14">
        <f t="shared" si="5"/>
        <v>-33279.941560760315</v>
      </c>
      <c r="CH41" s="14">
        <f t="shared" si="5"/>
        <v>-46735.226463357743</v>
      </c>
      <c r="CI41" s="23"/>
    </row>
    <row r="42" spans="1:87" ht="15" customHeight="1" x14ac:dyDescent="0.25">
      <c r="A42" s="7" t="s">
        <v>88</v>
      </c>
      <c r="B42" s="22"/>
      <c r="C42" s="30">
        <f t="shared" ref="C42:AH42" si="6">IF(C12&lt;&gt;0,C41/C12,0)</f>
        <v>0.23266405422865641</v>
      </c>
      <c r="D42" s="30">
        <f t="shared" si="6"/>
        <v>0.14990708739804745</v>
      </c>
      <c r="E42" s="30">
        <f t="shared" si="6"/>
        <v>8.169626610215186E-2</v>
      </c>
      <c r="F42" s="30">
        <f t="shared" si="6"/>
        <v>0.40829348231047374</v>
      </c>
      <c r="G42" s="30">
        <f t="shared" si="6"/>
        <v>0.305352415352242</v>
      </c>
      <c r="H42" s="30">
        <f t="shared" si="6"/>
        <v>0.31050532268025127</v>
      </c>
      <c r="I42" s="30">
        <f t="shared" si="6"/>
        <v>0.45263346383494463</v>
      </c>
      <c r="J42" s="30">
        <f t="shared" si="6"/>
        <v>0.50239589403136065</v>
      </c>
      <c r="K42" s="30">
        <f t="shared" si="6"/>
        <v>0.4518323834488901</v>
      </c>
      <c r="L42" s="30">
        <f t="shared" si="6"/>
        <v>0.45829787775458763</v>
      </c>
      <c r="M42" s="30">
        <f t="shared" si="6"/>
        <v>0.46272532011464601</v>
      </c>
      <c r="N42" s="30">
        <f t="shared" si="6"/>
        <v>0.42483493767190256</v>
      </c>
      <c r="O42" s="30">
        <f t="shared" si="6"/>
        <v>-0.2057995049238914</v>
      </c>
      <c r="P42" s="30">
        <f t="shared" si="6"/>
        <v>0.54363647284419003</v>
      </c>
      <c r="Q42" s="30">
        <f t="shared" si="6"/>
        <v>0.58085834408994752</v>
      </c>
      <c r="R42" s="30">
        <f t="shared" si="6"/>
        <v>0.52173443818822185</v>
      </c>
      <c r="S42" s="30">
        <f t="shared" si="6"/>
        <v>0.3831369902701578</v>
      </c>
      <c r="T42" s="30">
        <f t="shared" si="6"/>
        <v>0.33672204033052694</v>
      </c>
      <c r="U42" s="30">
        <f t="shared" si="6"/>
        <v>0.39851683182647674</v>
      </c>
      <c r="V42" s="30">
        <f t="shared" si="6"/>
        <v>0.3544159612741174</v>
      </c>
      <c r="W42" s="30">
        <f t="shared" si="6"/>
        <v>0.34269429038133081</v>
      </c>
      <c r="X42" s="30">
        <f t="shared" si="6"/>
        <v>0.2769114627632156</v>
      </c>
      <c r="Y42" s="30">
        <f t="shared" si="6"/>
        <v>0.30923582717953346</v>
      </c>
      <c r="Z42" s="30">
        <f t="shared" si="6"/>
        <v>0.28852734553720411</v>
      </c>
      <c r="AA42" s="30">
        <f t="shared" si="6"/>
        <v>0.30804889157757437</v>
      </c>
      <c r="AB42" s="30">
        <f t="shared" si="6"/>
        <v>0.1476749997181547</v>
      </c>
      <c r="AC42" s="30">
        <f t="shared" si="6"/>
        <v>-0.4892594045701455</v>
      </c>
      <c r="AD42" s="30">
        <f t="shared" si="6"/>
        <v>0.15024563808975913</v>
      </c>
      <c r="AE42" s="30">
        <f t="shared" si="6"/>
        <v>0.22365652976144129</v>
      </c>
      <c r="AF42" s="30">
        <f t="shared" si="6"/>
        <v>0.22560731063592621</v>
      </c>
      <c r="AG42" s="30">
        <f t="shared" si="6"/>
        <v>0.39316496336713874</v>
      </c>
      <c r="AH42" s="30">
        <f t="shared" si="6"/>
        <v>0.26989696652332446</v>
      </c>
      <c r="AI42" s="30">
        <f t="shared" ref="AI42:BN42" si="7">IF(AI12&lt;&gt;0,AI41/AI12,0)</f>
        <v>0.45277698026440077</v>
      </c>
      <c r="AJ42" s="30">
        <f t="shared" si="7"/>
        <v>0.1455670038051779</v>
      </c>
      <c r="AK42" s="30">
        <f t="shared" si="7"/>
        <v>0.2016403882584917</v>
      </c>
      <c r="AL42" s="30">
        <f t="shared" si="7"/>
        <v>0.37043439532299399</v>
      </c>
      <c r="AM42" s="30">
        <f t="shared" si="7"/>
        <v>0.18782656240749174</v>
      </c>
      <c r="AN42" s="30">
        <f t="shared" si="7"/>
        <v>0.22019269531993768</v>
      </c>
      <c r="AO42" s="30">
        <f t="shared" si="7"/>
        <v>0.3146387715737643</v>
      </c>
      <c r="AP42" s="30">
        <f t="shared" si="7"/>
        <v>0.32109186495618935</v>
      </c>
      <c r="AQ42" s="30">
        <f t="shared" si="7"/>
        <v>0.27412158690383043</v>
      </c>
      <c r="AR42" s="30">
        <f t="shared" si="7"/>
        <v>0.52927503491702133</v>
      </c>
      <c r="AS42" s="30">
        <f t="shared" si="7"/>
        <v>0.20554894085610892</v>
      </c>
      <c r="AT42" s="30">
        <f t="shared" si="7"/>
        <v>0.2763152504523107</v>
      </c>
      <c r="AU42" s="30">
        <f t="shared" si="7"/>
        <v>0.22343777792940597</v>
      </c>
      <c r="AV42" s="30">
        <f t="shared" si="7"/>
        <v>0.27485592191004765</v>
      </c>
      <c r="AW42" s="30">
        <f t="shared" si="7"/>
        <v>0.29927567342329542</v>
      </c>
      <c r="AX42" s="30">
        <f t="shared" si="7"/>
        <v>0.34432542175152964</v>
      </c>
      <c r="AY42" s="30">
        <f t="shared" si="7"/>
        <v>0.39883106701529042</v>
      </c>
      <c r="AZ42" s="30">
        <f t="shared" si="7"/>
        <v>0.23004018557942055</v>
      </c>
      <c r="BA42" s="30">
        <f t="shared" si="7"/>
        <v>0.31079779071619001</v>
      </c>
      <c r="BB42" s="30">
        <f t="shared" si="7"/>
        <v>0.30566651146972135</v>
      </c>
      <c r="BC42" s="30">
        <f t="shared" si="7"/>
        <v>0.33428505693393173</v>
      </c>
      <c r="BD42" s="30">
        <f t="shared" si="7"/>
        <v>0.19763548843393938</v>
      </c>
      <c r="BE42" s="30">
        <f t="shared" si="7"/>
        <v>0.24866319743042373</v>
      </c>
      <c r="BF42" s="30">
        <f t="shared" si="7"/>
        <v>0.50184420907525062</v>
      </c>
      <c r="BG42" s="30">
        <f t="shared" si="7"/>
        <v>0.19975082892877849</v>
      </c>
      <c r="BH42" s="30">
        <f t="shared" si="7"/>
        <v>-3.4996426960194497E-2</v>
      </c>
      <c r="BI42" s="30">
        <f t="shared" si="7"/>
        <v>3.6104997626105938E-2</v>
      </c>
      <c r="BJ42" s="30">
        <f t="shared" si="7"/>
        <v>0.11715602173234524</v>
      </c>
      <c r="BK42" s="30">
        <f t="shared" si="7"/>
        <v>0.24439053428887222</v>
      </c>
      <c r="BL42" s="30">
        <f t="shared" si="7"/>
        <v>-7.2894827028070167E-2</v>
      </c>
      <c r="BM42" s="30">
        <f t="shared" si="7"/>
        <v>8.8518012788789915E-2</v>
      </c>
      <c r="BN42" s="30">
        <f t="shared" si="7"/>
        <v>9.065070279513586E-2</v>
      </c>
      <c r="BO42" s="30">
        <f t="shared" ref="BO42:CT42" si="8">IF(BO12&lt;&gt;0,BO41/BO12,0)</f>
        <v>0.16776145313315019</v>
      </c>
      <c r="BP42" s="30">
        <f t="shared" si="8"/>
        <v>-7.2894827028070167E-2</v>
      </c>
      <c r="BQ42" s="30">
        <f t="shared" si="8"/>
        <v>4.7423084323809407E-2</v>
      </c>
      <c r="BR42" s="30">
        <f t="shared" si="8"/>
        <v>0.11560806040203013</v>
      </c>
      <c r="BS42" s="30">
        <f t="shared" si="8"/>
        <v>0.28723751226793165</v>
      </c>
      <c r="BT42" s="30">
        <f t="shared" si="8"/>
        <v>0.12457521371727033</v>
      </c>
      <c r="BU42" s="30">
        <f t="shared" si="8"/>
        <v>0.17330124269977559</v>
      </c>
      <c r="BV42" s="30">
        <f t="shared" si="8"/>
        <v>0.24930966135512314</v>
      </c>
      <c r="BW42" s="30">
        <f t="shared" si="8"/>
        <v>0.34419038628582227</v>
      </c>
      <c r="BX42" s="30">
        <f t="shared" si="8"/>
        <v>0.13347125052634476</v>
      </c>
      <c r="BY42" s="30">
        <f t="shared" si="8"/>
        <v>0.24706116626647634</v>
      </c>
      <c r="BZ42" s="30">
        <f t="shared" si="8"/>
        <v>0.25255027375480521</v>
      </c>
      <c r="CA42" s="30">
        <f t="shared" si="8"/>
        <v>0.35550301893403208</v>
      </c>
      <c r="CB42" s="30">
        <f t="shared" si="8"/>
        <v>0.15011623987242853</v>
      </c>
      <c r="CC42" s="30">
        <f t="shared" si="8"/>
        <v>0.14586757633295239</v>
      </c>
      <c r="CD42" s="30">
        <f t="shared" si="8"/>
        <v>0.13485256592105915</v>
      </c>
      <c r="CE42" s="30">
        <f t="shared" si="8"/>
        <v>0.25618366358779843</v>
      </c>
      <c r="CF42" s="30">
        <f t="shared" si="8"/>
        <v>-5.8003471482202633E-2</v>
      </c>
      <c r="CG42" s="30">
        <f t="shared" si="8"/>
        <v>-9.0139197128821652E-2</v>
      </c>
      <c r="CH42" s="30">
        <f t="shared" si="8"/>
        <v>-0.13137067938586233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153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154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155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156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157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158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159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160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161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162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163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164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165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166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167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168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169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0</v>
      </c>
      <c r="M63" s="8">
        <f>IF(Uplifters!$B$2="Yes",Uplifters!M107,0)</f>
        <v>0</v>
      </c>
      <c r="N63" s="8">
        <f>IF(Uplifters!$B$2="Yes",Uplifters!N107,0)</f>
        <v>0</v>
      </c>
      <c r="O63" s="8">
        <f>IF(Uplifters!$B$2="Yes",Uplifters!O107,0)</f>
        <v>0</v>
      </c>
      <c r="P63" s="8">
        <f>IF(Uplifters!$B$2="Yes",Uplifters!P107,0)</f>
        <v>0</v>
      </c>
      <c r="Q63" s="8">
        <f>IF(Uplifters!$B$2="Yes",Uplifters!Q107,0)</f>
        <v>0</v>
      </c>
      <c r="R63" s="8">
        <f>IF(Uplifters!$B$2="Yes",Uplifters!R107,0)</f>
        <v>0</v>
      </c>
      <c r="S63" s="8">
        <f>IF(Uplifters!$B$2="Yes",Uplifters!S107,0)</f>
        <v>0</v>
      </c>
      <c r="T63" s="8">
        <f>IF(Uplifters!$B$2="Yes",Uplifters!T107,0)</f>
        <v>0</v>
      </c>
      <c r="U63" s="8">
        <f>IF(Uplifters!$B$2="Yes",Uplifters!U107,0)</f>
        <v>0</v>
      </c>
      <c r="V63" s="8">
        <f>IF(Uplifters!$B$2="Yes",Uplifters!V107,0)</f>
        <v>0</v>
      </c>
      <c r="W63" s="8">
        <f>IF(Uplifters!$B$2="Yes",Uplifters!W107,0)</f>
        <v>0</v>
      </c>
      <c r="X63" s="8">
        <f>IF(Uplifters!$B$2="Yes",Uplifters!X107,0)</f>
        <v>0</v>
      </c>
      <c r="Y63" s="8">
        <f>IF(Uplifters!$B$2="Yes",Uplifters!Y107,0)</f>
        <v>0</v>
      </c>
      <c r="Z63" s="8">
        <f>IF(Uplifters!$B$2="Yes",Uplifters!Z107,0)</f>
        <v>0</v>
      </c>
      <c r="AA63" s="8">
        <f>IF(Uplifters!$B$2="Yes",Uplifters!AA107,0)</f>
        <v>0</v>
      </c>
      <c r="AB63" s="8">
        <f>IF(Uplifters!$B$2="Yes",Uplifters!AB107,0)</f>
        <v>0</v>
      </c>
      <c r="AC63" s="8">
        <f>IF(Uplifters!$B$2="Yes",Uplifters!AC107,0)</f>
        <v>0</v>
      </c>
      <c r="AD63" s="8">
        <f>IF(Uplifters!$B$2="Yes",Uplifters!AD107,0)</f>
        <v>0</v>
      </c>
      <c r="AE63" s="8">
        <f>IF(Uplifters!$B$2="Yes",Uplifters!AE107,0)</f>
        <v>0</v>
      </c>
      <c r="AF63" s="8">
        <f>IF(Uplifters!$B$2="Yes",Uplifters!AF107,0)</f>
        <v>0</v>
      </c>
      <c r="AG63" s="8">
        <f>IF(Uplifters!$B$2="Yes",Uplifters!AG107,0)</f>
        <v>0</v>
      </c>
      <c r="AH63" s="8">
        <f>IF(Uplifters!$B$2="Yes",Uplifters!AH107,0)</f>
        <v>0</v>
      </c>
      <c r="AI63" s="8">
        <f>IF(Uplifters!$B$2="Yes",Uplifters!AI107,0)</f>
        <v>0</v>
      </c>
      <c r="AJ63" s="8">
        <f>IF(Uplifters!$B$2="Yes",Uplifters!AJ107,0)</f>
        <v>0</v>
      </c>
      <c r="AK63" s="8">
        <f>IF(Uplifters!$B$2="Yes",Uplifters!AK107,0)</f>
        <v>0</v>
      </c>
      <c r="AL63" s="8">
        <f>IF(Uplifters!$B$2="Yes",Uplifters!AL107,0)</f>
        <v>0</v>
      </c>
      <c r="AM63" s="8">
        <f>IF(Uplifters!$B$2="Yes",Uplifters!AM107,0)</f>
        <v>0</v>
      </c>
      <c r="AN63" s="8">
        <f>IF(Uplifters!$B$2="Yes",Uplifters!AN107,0)</f>
        <v>0</v>
      </c>
      <c r="AO63" s="8">
        <f>IF(Uplifters!$B$2="Yes",Uplifters!AO107,0)</f>
        <v>0</v>
      </c>
      <c r="AP63" s="8">
        <f>IF(Uplifters!$B$2="Yes",Uplifters!AP107,0)</f>
        <v>0</v>
      </c>
      <c r="AQ63" s="8">
        <f>IF(Uplifters!$B$2="Yes",Uplifters!AQ107,0)</f>
        <v>0</v>
      </c>
      <c r="AR63" s="8">
        <f>IF(Uplifters!$B$2="Yes",Uplifters!AR107,0)</f>
        <v>0</v>
      </c>
      <c r="AS63" s="8">
        <f>IF(Uplifters!$B$2="Yes",Uplifters!AS107,0)</f>
        <v>0</v>
      </c>
      <c r="AT63" s="8">
        <f>IF(Uplifters!$B$2="Yes",Uplifters!AT107,0)</f>
        <v>0</v>
      </c>
      <c r="AU63" s="8">
        <f>IF(Uplifters!$B$2="Yes",Uplifters!AU107,0)</f>
        <v>0</v>
      </c>
      <c r="AV63" s="8">
        <f>IF(Uplifters!$B$2="Yes",Uplifters!AV107,0)</f>
        <v>0</v>
      </c>
      <c r="AW63" s="8">
        <f>IF(Uplifters!$B$2="Yes",Uplifters!AW107,0)</f>
        <v>0</v>
      </c>
      <c r="AX63" s="8">
        <f>IF(Uplifters!$B$2="Yes",Uplifters!AX107,0)</f>
        <v>0</v>
      </c>
      <c r="AY63" s="8">
        <f>IF(Uplifters!$B$2="Yes",Uplifters!AY107,0)</f>
        <v>0</v>
      </c>
      <c r="AZ63" s="8">
        <f>IF(Uplifters!$B$2="Yes",Uplifters!AZ107,0)</f>
        <v>0</v>
      </c>
      <c r="BA63" s="8">
        <f>IF(Uplifters!$B$2="Yes",Uplifters!BA107,0)</f>
        <v>0</v>
      </c>
      <c r="BB63" s="8">
        <f>IF(Uplifters!$B$2="Yes",Uplifters!BB107,0)</f>
        <v>0</v>
      </c>
      <c r="BC63" s="8">
        <f>IF(Uplifters!$B$2="Yes",Uplifters!BC107,0)</f>
        <v>0</v>
      </c>
      <c r="BD63" s="8">
        <f>IF(Uplifters!$B$2="Yes",Uplifters!BD107,0)</f>
        <v>0</v>
      </c>
      <c r="BE63" s="8">
        <f>IF(Uplifters!$B$2="Yes",Uplifters!BE107,0)</f>
        <v>0</v>
      </c>
      <c r="BF63" s="8">
        <f>IF(Uplifters!$B$2="Yes",Uplifters!BF107,0)</f>
        <v>0</v>
      </c>
      <c r="BG63" s="8">
        <f>IF(Uplifters!$B$2="Yes",Uplifters!BG107,0)</f>
        <v>0</v>
      </c>
      <c r="BH63" s="8">
        <f>IF(Uplifters!$B$2="Yes",Uplifters!BH107,0)</f>
        <v>0</v>
      </c>
      <c r="BI63" s="8">
        <f>IF(Uplifters!$B$2="Yes",Uplifters!BI107,0)</f>
        <v>0</v>
      </c>
      <c r="BJ63" s="8">
        <f>IF(Uplifters!$B$2="Yes",Uplifters!BJ107,0)</f>
        <v>0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170</v>
      </c>
      <c r="B64" s="28"/>
      <c r="C64" s="32">
        <f t="shared" ref="C64:AH64" si="9">SUM(C47:C63)</f>
        <v>43614.58</v>
      </c>
      <c r="D64" s="32">
        <f t="shared" si="9"/>
        <v>43614.58</v>
      </c>
      <c r="E64" s="32">
        <f t="shared" si="9"/>
        <v>43614.58</v>
      </c>
      <c r="F64" s="32">
        <f t="shared" si="9"/>
        <v>43614.58</v>
      </c>
      <c r="G64" s="32">
        <f t="shared" si="9"/>
        <v>43614.58</v>
      </c>
      <c r="H64" s="32">
        <f t="shared" si="9"/>
        <v>42781.25</v>
      </c>
      <c r="I64" s="32">
        <f t="shared" si="9"/>
        <v>42781.25</v>
      </c>
      <c r="J64" s="32">
        <f t="shared" si="9"/>
        <v>33406.25</v>
      </c>
      <c r="K64" s="32">
        <f t="shared" si="9"/>
        <v>33406.25</v>
      </c>
      <c r="L64" s="32">
        <f t="shared" si="9"/>
        <v>33406.25</v>
      </c>
      <c r="M64" s="32">
        <f t="shared" si="9"/>
        <v>33406.25</v>
      </c>
      <c r="N64" s="32">
        <f t="shared" si="9"/>
        <v>33406.25</v>
      </c>
      <c r="O64" s="32">
        <f t="shared" si="9"/>
        <v>33406.25</v>
      </c>
      <c r="P64" s="32">
        <f t="shared" si="9"/>
        <v>33406.25</v>
      </c>
      <c r="Q64" s="32">
        <f t="shared" si="9"/>
        <v>33406.25</v>
      </c>
      <c r="R64" s="32">
        <f t="shared" si="9"/>
        <v>9500</v>
      </c>
      <c r="S64" s="32">
        <f t="shared" si="9"/>
        <v>9500</v>
      </c>
      <c r="T64" s="32">
        <f t="shared" si="9"/>
        <v>9500</v>
      </c>
      <c r="U64" s="32">
        <f t="shared" si="9"/>
        <v>9500</v>
      </c>
      <c r="V64" s="32">
        <f t="shared" si="9"/>
        <v>9500</v>
      </c>
      <c r="W64" s="32">
        <f t="shared" si="9"/>
        <v>66875</v>
      </c>
      <c r="X64" s="32">
        <f t="shared" si="9"/>
        <v>9500</v>
      </c>
      <c r="Y64" s="32">
        <f t="shared" si="9"/>
        <v>9500</v>
      </c>
      <c r="Z64" s="32">
        <f t="shared" si="9"/>
        <v>66875</v>
      </c>
      <c r="AA64" s="32">
        <f t="shared" si="9"/>
        <v>9500</v>
      </c>
      <c r="AB64" s="32">
        <f t="shared" si="9"/>
        <v>9500</v>
      </c>
      <c r="AC64" s="32">
        <f t="shared" si="9"/>
        <v>66875</v>
      </c>
      <c r="AD64" s="32">
        <f t="shared" si="9"/>
        <v>9500</v>
      </c>
      <c r="AE64" s="32">
        <f t="shared" si="9"/>
        <v>9500</v>
      </c>
      <c r="AF64" s="32">
        <f t="shared" si="9"/>
        <v>9500</v>
      </c>
      <c r="AG64" s="32">
        <f t="shared" si="9"/>
        <v>0</v>
      </c>
      <c r="AH64" s="32">
        <f t="shared" si="9"/>
        <v>0</v>
      </c>
      <c r="AI64" s="32">
        <f t="shared" ref="AI64:BN64" si="10">SUM(AI47:AI63)</f>
        <v>0</v>
      </c>
      <c r="AJ64" s="32">
        <f t="shared" si="10"/>
        <v>0</v>
      </c>
      <c r="AK64" s="32">
        <f t="shared" si="10"/>
        <v>0</v>
      </c>
      <c r="AL64" s="32">
        <f t="shared" si="10"/>
        <v>0</v>
      </c>
      <c r="AM64" s="32">
        <f t="shared" si="10"/>
        <v>0</v>
      </c>
      <c r="AN64" s="32">
        <f t="shared" si="10"/>
        <v>0</v>
      </c>
      <c r="AO64" s="32">
        <f t="shared" si="10"/>
        <v>0</v>
      </c>
      <c r="AP64" s="32">
        <f t="shared" si="10"/>
        <v>0</v>
      </c>
      <c r="AQ64" s="32">
        <f t="shared" si="10"/>
        <v>0</v>
      </c>
      <c r="AR64" s="32">
        <f t="shared" si="10"/>
        <v>81683</v>
      </c>
      <c r="AS64" s="32">
        <f t="shared" si="10"/>
        <v>0</v>
      </c>
      <c r="AT64" s="32">
        <f t="shared" si="10"/>
        <v>0</v>
      </c>
      <c r="AU64" s="32">
        <f t="shared" si="10"/>
        <v>81682</v>
      </c>
      <c r="AV64" s="32">
        <f t="shared" si="10"/>
        <v>0</v>
      </c>
      <c r="AW64" s="32">
        <f t="shared" si="10"/>
        <v>0</v>
      </c>
      <c r="AX64" s="32">
        <f t="shared" si="10"/>
        <v>81682</v>
      </c>
      <c r="AY64" s="32">
        <f t="shared" si="10"/>
        <v>0</v>
      </c>
      <c r="AZ64" s="32">
        <f t="shared" si="10"/>
        <v>0</v>
      </c>
      <c r="BA64" s="32">
        <f t="shared" si="10"/>
        <v>933521</v>
      </c>
      <c r="BB64" s="32">
        <f t="shared" si="10"/>
        <v>0</v>
      </c>
      <c r="BC64" s="32">
        <f t="shared" si="10"/>
        <v>0</v>
      </c>
      <c r="BD64" s="32">
        <f t="shared" si="10"/>
        <v>130878</v>
      </c>
      <c r="BE64" s="32">
        <f t="shared" si="10"/>
        <v>0</v>
      </c>
      <c r="BF64" s="32">
        <f t="shared" si="10"/>
        <v>0</v>
      </c>
      <c r="BG64" s="32">
        <f t="shared" si="10"/>
        <v>130876</v>
      </c>
      <c r="BH64" s="32">
        <f t="shared" si="10"/>
        <v>0</v>
      </c>
      <c r="BI64" s="32">
        <f t="shared" si="10"/>
        <v>0</v>
      </c>
      <c r="BJ64" s="32">
        <f t="shared" si="10"/>
        <v>130876</v>
      </c>
      <c r="BK64" s="32">
        <f t="shared" si="10"/>
        <v>0</v>
      </c>
      <c r="BL64" s="32">
        <f t="shared" si="10"/>
        <v>0</v>
      </c>
      <c r="BM64" s="32">
        <f t="shared" si="10"/>
        <v>130876</v>
      </c>
      <c r="BN64" s="32">
        <f t="shared" si="10"/>
        <v>0</v>
      </c>
      <c r="BO64" s="32">
        <f t="shared" ref="BO64:CT64" si="11">SUM(BO47:BO63)</f>
        <v>0</v>
      </c>
      <c r="BP64" s="32">
        <f t="shared" si="11"/>
        <v>142406</v>
      </c>
      <c r="BQ64" s="32">
        <f t="shared" si="11"/>
        <v>0</v>
      </c>
      <c r="BR64" s="32">
        <f t="shared" si="11"/>
        <v>0</v>
      </c>
      <c r="BS64" s="32">
        <f t="shared" si="11"/>
        <v>142402</v>
      </c>
      <c r="BT64" s="32">
        <f t="shared" si="11"/>
        <v>0</v>
      </c>
      <c r="BU64" s="32">
        <f t="shared" si="11"/>
        <v>0</v>
      </c>
      <c r="BV64" s="32">
        <f t="shared" si="11"/>
        <v>142402</v>
      </c>
      <c r="BW64" s="32">
        <f t="shared" si="11"/>
        <v>0</v>
      </c>
      <c r="BX64" s="32">
        <f t="shared" si="11"/>
        <v>0</v>
      </c>
      <c r="BY64" s="32">
        <f t="shared" si="11"/>
        <v>215558</v>
      </c>
      <c r="BZ64" s="32">
        <f t="shared" si="11"/>
        <v>0</v>
      </c>
      <c r="CA64" s="32">
        <f t="shared" si="11"/>
        <v>0</v>
      </c>
      <c r="CB64" s="32">
        <f t="shared" si="11"/>
        <v>231017</v>
      </c>
      <c r="CC64" s="32">
        <f t="shared" si="11"/>
        <v>0</v>
      </c>
      <c r="CD64" s="32">
        <f t="shared" si="11"/>
        <v>0</v>
      </c>
      <c r="CE64" s="32">
        <f t="shared" si="11"/>
        <v>231016</v>
      </c>
      <c r="CF64" s="32">
        <f t="shared" si="11"/>
        <v>0</v>
      </c>
      <c r="CG64" s="32">
        <f t="shared" si="11"/>
        <v>0</v>
      </c>
      <c r="CH64" s="32">
        <f t="shared" si="11"/>
        <v>231016</v>
      </c>
      <c r="CI64" s="23"/>
    </row>
    <row r="65" spans="1:87" ht="15" customHeight="1" x14ac:dyDescent="0.25">
      <c r="A65" s="6" t="s">
        <v>90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171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172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173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174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175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176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177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178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179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180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181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182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183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184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185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186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187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188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189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190</v>
      </c>
      <c r="B85" s="28"/>
      <c r="C85" s="10">
        <f t="shared" ref="C85:AH85" si="12">C66+C67+C68+C69+C70+SUM(C71:C84)</f>
        <v>-109991.66666666667</v>
      </c>
      <c r="D85" s="10">
        <f t="shared" si="12"/>
        <v>-109991.66666666667</v>
      </c>
      <c r="E85" s="10">
        <f t="shared" si="12"/>
        <v>-109991.66666666667</v>
      </c>
      <c r="F85" s="10">
        <f t="shared" si="12"/>
        <v>-132991.66666666669</v>
      </c>
      <c r="G85" s="10">
        <f t="shared" si="12"/>
        <v>-109991.66666666667</v>
      </c>
      <c r="H85" s="10">
        <f t="shared" si="12"/>
        <v>-109991.66666666667</v>
      </c>
      <c r="I85" s="10">
        <f t="shared" si="12"/>
        <v>-109991.66666666667</v>
      </c>
      <c r="J85" s="10">
        <f t="shared" si="12"/>
        <v>-109991.66666666667</v>
      </c>
      <c r="K85" s="10">
        <f t="shared" si="12"/>
        <v>-130991.66666666667</v>
      </c>
      <c r="L85" s="10">
        <f t="shared" si="12"/>
        <v>-109991.66666666667</v>
      </c>
      <c r="M85" s="10">
        <f t="shared" si="12"/>
        <v>-109991.66666666667</v>
      </c>
      <c r="N85" s="10">
        <f t="shared" si="12"/>
        <v>-109991.66666666667</v>
      </c>
      <c r="O85" s="10">
        <f t="shared" si="12"/>
        <v>-110365.66666666667</v>
      </c>
      <c r="P85" s="10">
        <f t="shared" si="12"/>
        <v>-110365.66666666667</v>
      </c>
      <c r="Q85" s="10">
        <f t="shared" si="12"/>
        <v>-110365.66666666667</v>
      </c>
      <c r="R85" s="10">
        <f t="shared" si="12"/>
        <v>-133825.66666666669</v>
      </c>
      <c r="S85" s="10">
        <f t="shared" si="12"/>
        <v>-110365.66666666667</v>
      </c>
      <c r="T85" s="10">
        <f t="shared" si="12"/>
        <v>-110365.66666666667</v>
      </c>
      <c r="U85" s="10">
        <f t="shared" si="12"/>
        <v>-110365.66666666667</v>
      </c>
      <c r="V85" s="10">
        <f t="shared" si="12"/>
        <v>-110365.66666666667</v>
      </c>
      <c r="W85" s="10">
        <f t="shared" si="12"/>
        <v>-131785.66666666669</v>
      </c>
      <c r="X85" s="10">
        <f t="shared" si="12"/>
        <v>-110365.66666666667</v>
      </c>
      <c r="Y85" s="10">
        <f t="shared" si="12"/>
        <v>-110365.66666666667</v>
      </c>
      <c r="Z85" s="10">
        <f t="shared" si="12"/>
        <v>-110365.66666666667</v>
      </c>
      <c r="AA85" s="10">
        <f t="shared" si="12"/>
        <v>-110747.14666666667</v>
      </c>
      <c r="AB85" s="10">
        <f t="shared" si="12"/>
        <v>-110747.14666666667</v>
      </c>
      <c r="AC85" s="10">
        <f t="shared" si="12"/>
        <v>-110747.14666666667</v>
      </c>
      <c r="AD85" s="10">
        <f t="shared" si="12"/>
        <v>-134676.34666666668</v>
      </c>
      <c r="AE85" s="10">
        <f t="shared" si="12"/>
        <v>-110747.14666666667</v>
      </c>
      <c r="AF85" s="10">
        <f t="shared" si="12"/>
        <v>-110747.14666666667</v>
      </c>
      <c r="AG85" s="10">
        <f t="shared" si="12"/>
        <v>-110747.14666666667</v>
      </c>
      <c r="AH85" s="10">
        <f t="shared" si="12"/>
        <v>-110747.14666666667</v>
      </c>
      <c r="AI85" s="10">
        <f t="shared" ref="AI85:BN85" si="13">AI66+AI67+AI68+AI69+AI70+SUM(AI71:AI84)</f>
        <v>-132595.54666666669</v>
      </c>
      <c r="AJ85" s="10">
        <f t="shared" si="13"/>
        <v>-110747.14666666667</v>
      </c>
      <c r="AK85" s="10">
        <f t="shared" si="13"/>
        <v>-110747.14666666667</v>
      </c>
      <c r="AL85" s="10">
        <f t="shared" si="13"/>
        <v>-110747.14666666667</v>
      </c>
      <c r="AM85" s="10">
        <f t="shared" si="13"/>
        <v>-111136.25626666668</v>
      </c>
      <c r="AN85" s="10">
        <f t="shared" si="13"/>
        <v>-111136.25626666668</v>
      </c>
      <c r="AO85" s="10">
        <f t="shared" si="13"/>
        <v>-111136.25626666668</v>
      </c>
      <c r="AP85" s="10">
        <f t="shared" si="13"/>
        <v>-135544.04026666668</v>
      </c>
      <c r="AQ85" s="10">
        <f t="shared" si="13"/>
        <v>-111136.25626666668</v>
      </c>
      <c r="AR85" s="10">
        <f t="shared" si="13"/>
        <v>-192819.25626666669</v>
      </c>
      <c r="AS85" s="10">
        <f t="shared" si="13"/>
        <v>-111136.25626666668</v>
      </c>
      <c r="AT85" s="10">
        <f t="shared" si="13"/>
        <v>-111136.25626666668</v>
      </c>
      <c r="AU85" s="10">
        <f t="shared" si="13"/>
        <v>-215103.62426666665</v>
      </c>
      <c r="AV85" s="10">
        <f t="shared" si="13"/>
        <v>-111136.25626666668</v>
      </c>
      <c r="AW85" s="10">
        <f t="shared" si="13"/>
        <v>-111136.25626666668</v>
      </c>
      <c r="AX85" s="10">
        <f t="shared" si="13"/>
        <v>-192818.25626666669</v>
      </c>
      <c r="AY85" s="10">
        <f t="shared" si="13"/>
        <v>-111533.14805866667</v>
      </c>
      <c r="AZ85" s="10">
        <f t="shared" si="13"/>
        <v>-111533.14805866667</v>
      </c>
      <c r="BA85" s="10">
        <f t="shared" si="13"/>
        <v>-1045054.1480586666</v>
      </c>
      <c r="BB85" s="10">
        <f t="shared" si="13"/>
        <v>-136429.08773866668</v>
      </c>
      <c r="BC85" s="10">
        <f t="shared" si="13"/>
        <v>-111533.14805866667</v>
      </c>
      <c r="BD85" s="10">
        <f t="shared" si="13"/>
        <v>-242411.14805866667</v>
      </c>
      <c r="BE85" s="10">
        <f t="shared" si="13"/>
        <v>-111533.14805866667</v>
      </c>
      <c r="BF85" s="10">
        <f t="shared" si="13"/>
        <v>-111533.14805866667</v>
      </c>
      <c r="BG85" s="10">
        <f t="shared" si="13"/>
        <v>-265140.22341866669</v>
      </c>
      <c r="BH85" s="10">
        <f t="shared" si="13"/>
        <v>-111533.14805866667</v>
      </c>
      <c r="BI85" s="10">
        <f t="shared" si="13"/>
        <v>-111533.14805866667</v>
      </c>
      <c r="BJ85" s="10">
        <f t="shared" si="13"/>
        <v>-242409.14805866667</v>
      </c>
      <c r="BK85" s="10">
        <f t="shared" si="13"/>
        <v>-111937.97768650667</v>
      </c>
      <c r="BL85" s="10">
        <f t="shared" si="13"/>
        <v>-111937.97768650667</v>
      </c>
      <c r="BM85" s="10">
        <f t="shared" si="13"/>
        <v>-242813.9776865067</v>
      </c>
      <c r="BN85" s="10">
        <f t="shared" si="13"/>
        <v>-137331.83616010667</v>
      </c>
      <c r="BO85" s="10">
        <f t="shared" ref="BO85:CT85" si="14">BO66+BO67+BO68+BO69+BO70+SUM(BO71:BO84)</f>
        <v>-111937.97768650667</v>
      </c>
      <c r="BP85" s="10">
        <f t="shared" si="14"/>
        <v>-202830.45768650665</v>
      </c>
      <c r="BQ85" s="10">
        <f t="shared" si="14"/>
        <v>-111937.97768650667</v>
      </c>
      <c r="BR85" s="10">
        <f t="shared" si="14"/>
        <v>-111937.97768650667</v>
      </c>
      <c r="BS85" s="10">
        <f t="shared" si="14"/>
        <v>-209763.67455370666</v>
      </c>
      <c r="BT85" s="10">
        <f t="shared" si="14"/>
        <v>-111937.97768650667</v>
      </c>
      <c r="BU85" s="10">
        <f t="shared" si="14"/>
        <v>-111937.97768650667</v>
      </c>
      <c r="BV85" s="10">
        <f t="shared" si="14"/>
        <v>-186577.97768650667</v>
      </c>
      <c r="BW85" s="10">
        <f t="shared" si="14"/>
        <v>-112350.90390690346</v>
      </c>
      <c r="BX85" s="10">
        <f t="shared" si="14"/>
        <v>-112350.90390690346</v>
      </c>
      <c r="BY85" s="10">
        <f t="shared" si="14"/>
        <v>-260146.90390690346</v>
      </c>
      <c r="BZ85" s="10">
        <f t="shared" si="14"/>
        <v>-138252.63954997546</v>
      </c>
      <c r="CA85" s="10">
        <f t="shared" si="14"/>
        <v>-112350.90390690346</v>
      </c>
      <c r="CB85" s="10">
        <f t="shared" si="14"/>
        <v>-266868.90390690346</v>
      </c>
      <c r="CC85" s="10">
        <f t="shared" si="14"/>
        <v>-112350.90390690346</v>
      </c>
      <c r="CD85" s="10">
        <f t="shared" si="14"/>
        <v>-112350.90390690346</v>
      </c>
      <c r="CE85" s="10">
        <f t="shared" si="14"/>
        <v>-290517.31471144746</v>
      </c>
      <c r="CF85" s="10">
        <f t="shared" si="14"/>
        <v>-112350.90390690346</v>
      </c>
      <c r="CG85" s="10">
        <f t="shared" si="14"/>
        <v>-112350.90390690346</v>
      </c>
      <c r="CH85" s="10">
        <f t="shared" si="14"/>
        <v>-260259.87730042427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91</v>
      </c>
      <c r="B87" s="29"/>
      <c r="C87" s="14">
        <f t="shared" ref="C87:AH87" si="15">C64+C85</f>
        <v>-66377.08666666667</v>
      </c>
      <c r="D87" s="14">
        <f t="shared" si="15"/>
        <v>-66377.08666666667</v>
      </c>
      <c r="E87" s="14">
        <f t="shared" si="15"/>
        <v>-66377.08666666667</v>
      </c>
      <c r="F87" s="14">
        <f t="shared" si="15"/>
        <v>-89377.086666666684</v>
      </c>
      <c r="G87" s="14">
        <f t="shared" si="15"/>
        <v>-66377.08666666667</v>
      </c>
      <c r="H87" s="14">
        <f t="shared" si="15"/>
        <v>-67210.416666666672</v>
      </c>
      <c r="I87" s="14">
        <f t="shared" si="15"/>
        <v>-67210.416666666672</v>
      </c>
      <c r="J87" s="14">
        <f t="shared" si="15"/>
        <v>-76585.416666666672</v>
      </c>
      <c r="K87" s="14">
        <f t="shared" si="15"/>
        <v>-97585.416666666672</v>
      </c>
      <c r="L87" s="14">
        <f t="shared" si="15"/>
        <v>-76585.416666666672</v>
      </c>
      <c r="M87" s="14">
        <f t="shared" si="15"/>
        <v>-76585.416666666672</v>
      </c>
      <c r="N87" s="14">
        <f t="shared" si="15"/>
        <v>-76585.416666666672</v>
      </c>
      <c r="O87" s="14">
        <f t="shared" si="15"/>
        <v>-76959.416666666672</v>
      </c>
      <c r="P87" s="14">
        <f t="shared" si="15"/>
        <v>-76959.416666666672</v>
      </c>
      <c r="Q87" s="14">
        <f t="shared" si="15"/>
        <v>-76959.416666666672</v>
      </c>
      <c r="R87" s="14">
        <f t="shared" si="15"/>
        <v>-124325.66666666669</v>
      </c>
      <c r="S87" s="14">
        <f t="shared" si="15"/>
        <v>-100865.66666666667</v>
      </c>
      <c r="T87" s="14">
        <f t="shared" si="15"/>
        <v>-100865.66666666667</v>
      </c>
      <c r="U87" s="14">
        <f t="shared" si="15"/>
        <v>-100865.66666666667</v>
      </c>
      <c r="V87" s="14">
        <f t="shared" si="15"/>
        <v>-100865.66666666667</v>
      </c>
      <c r="W87" s="14">
        <f t="shared" si="15"/>
        <v>-64910.666666666686</v>
      </c>
      <c r="X87" s="14">
        <f t="shared" si="15"/>
        <v>-100865.66666666667</v>
      </c>
      <c r="Y87" s="14">
        <f t="shared" si="15"/>
        <v>-100865.66666666667</v>
      </c>
      <c r="Z87" s="14">
        <f t="shared" si="15"/>
        <v>-43490.666666666672</v>
      </c>
      <c r="AA87" s="14">
        <f t="shared" si="15"/>
        <v>-101247.14666666667</v>
      </c>
      <c r="AB87" s="14">
        <f t="shared" si="15"/>
        <v>-101247.14666666667</v>
      </c>
      <c r="AC87" s="14">
        <f t="shared" si="15"/>
        <v>-43872.146666666667</v>
      </c>
      <c r="AD87" s="14">
        <f t="shared" si="15"/>
        <v>-125176.34666666668</v>
      </c>
      <c r="AE87" s="14">
        <f t="shared" si="15"/>
        <v>-101247.14666666667</v>
      </c>
      <c r="AF87" s="14">
        <f t="shared" si="15"/>
        <v>-101247.14666666667</v>
      </c>
      <c r="AG87" s="14">
        <f t="shared" si="15"/>
        <v>-110747.14666666667</v>
      </c>
      <c r="AH87" s="14">
        <f t="shared" si="15"/>
        <v>-110747.14666666667</v>
      </c>
      <c r="AI87" s="14">
        <f t="shared" ref="AI87:BN87" si="16">AI64+AI85</f>
        <v>-132595.54666666669</v>
      </c>
      <c r="AJ87" s="14">
        <f t="shared" si="16"/>
        <v>-110747.14666666667</v>
      </c>
      <c r="AK87" s="14">
        <f t="shared" si="16"/>
        <v>-110747.14666666667</v>
      </c>
      <c r="AL87" s="14">
        <f t="shared" si="16"/>
        <v>-110747.14666666667</v>
      </c>
      <c r="AM87" s="14">
        <f t="shared" si="16"/>
        <v>-111136.25626666668</v>
      </c>
      <c r="AN87" s="14">
        <f t="shared" si="16"/>
        <v>-111136.25626666668</v>
      </c>
      <c r="AO87" s="14">
        <f t="shared" si="16"/>
        <v>-111136.25626666668</v>
      </c>
      <c r="AP87" s="14">
        <f t="shared" si="16"/>
        <v>-135544.04026666668</v>
      </c>
      <c r="AQ87" s="14">
        <f t="shared" si="16"/>
        <v>-111136.25626666668</v>
      </c>
      <c r="AR87" s="14">
        <f t="shared" si="16"/>
        <v>-111136.25626666669</v>
      </c>
      <c r="AS87" s="14">
        <f t="shared" si="16"/>
        <v>-111136.25626666668</v>
      </c>
      <c r="AT87" s="14">
        <f t="shared" si="16"/>
        <v>-111136.25626666668</v>
      </c>
      <c r="AU87" s="14">
        <f t="shared" si="16"/>
        <v>-133421.62426666665</v>
      </c>
      <c r="AV87" s="14">
        <f t="shared" si="16"/>
        <v>-111136.25626666668</v>
      </c>
      <c r="AW87" s="14">
        <f t="shared" si="16"/>
        <v>-111136.25626666668</v>
      </c>
      <c r="AX87" s="14">
        <f t="shared" si="16"/>
        <v>-111136.25626666669</v>
      </c>
      <c r="AY87" s="14">
        <f t="shared" si="16"/>
        <v>-111533.14805866667</v>
      </c>
      <c r="AZ87" s="14">
        <f t="shared" si="16"/>
        <v>-111533.14805866667</v>
      </c>
      <c r="BA87" s="14">
        <f t="shared" si="16"/>
        <v>-111533.14805866661</v>
      </c>
      <c r="BB87" s="14">
        <f t="shared" si="16"/>
        <v>-136429.08773866668</v>
      </c>
      <c r="BC87" s="14">
        <f t="shared" si="16"/>
        <v>-111533.14805866667</v>
      </c>
      <c r="BD87" s="14">
        <f t="shared" si="16"/>
        <v>-111533.14805866667</v>
      </c>
      <c r="BE87" s="14">
        <f t="shared" si="16"/>
        <v>-111533.14805866667</v>
      </c>
      <c r="BF87" s="14">
        <f t="shared" si="16"/>
        <v>-111533.14805866667</v>
      </c>
      <c r="BG87" s="14">
        <f t="shared" si="16"/>
        <v>-134264.22341866669</v>
      </c>
      <c r="BH87" s="14">
        <f t="shared" si="16"/>
        <v>-111533.14805866667</v>
      </c>
      <c r="BI87" s="14">
        <f t="shared" si="16"/>
        <v>-111533.14805866667</v>
      </c>
      <c r="BJ87" s="14">
        <f t="shared" si="16"/>
        <v>-111533.14805866667</v>
      </c>
      <c r="BK87" s="14">
        <f t="shared" si="16"/>
        <v>-111937.97768650667</v>
      </c>
      <c r="BL87" s="14">
        <f t="shared" si="16"/>
        <v>-111937.97768650667</v>
      </c>
      <c r="BM87" s="14">
        <f t="shared" si="16"/>
        <v>-111937.9776865067</v>
      </c>
      <c r="BN87" s="14">
        <f t="shared" si="16"/>
        <v>-137331.83616010667</v>
      </c>
      <c r="BO87" s="14">
        <f t="shared" ref="BO87:CH87" si="17">BO64+BO85</f>
        <v>-111937.97768650667</v>
      </c>
      <c r="BP87" s="14">
        <f t="shared" si="17"/>
        <v>-60424.457686506648</v>
      </c>
      <c r="BQ87" s="14">
        <f t="shared" si="17"/>
        <v>-111937.97768650667</v>
      </c>
      <c r="BR87" s="14">
        <f t="shared" si="17"/>
        <v>-111937.97768650667</v>
      </c>
      <c r="BS87" s="14">
        <f t="shared" si="17"/>
        <v>-67361.67455370666</v>
      </c>
      <c r="BT87" s="14">
        <f t="shared" si="17"/>
        <v>-111937.97768650667</v>
      </c>
      <c r="BU87" s="14">
        <f t="shared" si="17"/>
        <v>-111937.97768650667</v>
      </c>
      <c r="BV87" s="14">
        <f t="shared" si="17"/>
        <v>-44175.977686506667</v>
      </c>
      <c r="BW87" s="14">
        <f t="shared" si="17"/>
        <v>-112350.90390690346</v>
      </c>
      <c r="BX87" s="14">
        <f t="shared" si="17"/>
        <v>-112350.90390690346</v>
      </c>
      <c r="BY87" s="14">
        <f t="shared" si="17"/>
        <v>-44588.903906903462</v>
      </c>
      <c r="BZ87" s="14">
        <f t="shared" si="17"/>
        <v>-138252.63954997546</v>
      </c>
      <c r="CA87" s="14">
        <f t="shared" si="17"/>
        <v>-112350.90390690346</v>
      </c>
      <c r="CB87" s="14">
        <f t="shared" si="17"/>
        <v>-35851.903906903462</v>
      </c>
      <c r="CC87" s="14">
        <f t="shared" si="17"/>
        <v>-112350.90390690346</v>
      </c>
      <c r="CD87" s="14">
        <f t="shared" si="17"/>
        <v>-112350.90390690346</v>
      </c>
      <c r="CE87" s="14">
        <f t="shared" si="17"/>
        <v>-59501.314711447456</v>
      </c>
      <c r="CF87" s="14">
        <f t="shared" si="17"/>
        <v>-112350.90390690346</v>
      </c>
      <c r="CG87" s="14">
        <f t="shared" si="17"/>
        <v>-112350.90390690346</v>
      </c>
      <c r="CH87" s="14">
        <f t="shared" si="17"/>
        <v>-29243.877300424268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191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76</v>
      </c>
      <c r="B90" s="22"/>
      <c r="C90" s="8">
        <f t="shared" ref="C90:AH90" si="18">C12</f>
        <v>418599.72384991788</v>
      </c>
      <c r="D90" s="8">
        <f t="shared" si="18"/>
        <v>427527.22627411911</v>
      </c>
      <c r="E90" s="8">
        <f t="shared" si="18"/>
        <v>433830.17001248139</v>
      </c>
      <c r="F90" s="8">
        <f t="shared" si="18"/>
        <v>1210658.2550369636</v>
      </c>
      <c r="G90" s="8">
        <f t="shared" si="18"/>
        <v>573510.76114662446</v>
      </c>
      <c r="H90" s="8">
        <f t="shared" si="18"/>
        <v>577796.8679158492</v>
      </c>
      <c r="I90" s="8">
        <f t="shared" si="18"/>
        <v>1126248.4482867743</v>
      </c>
      <c r="J90" s="8">
        <f t="shared" si="18"/>
        <v>1116825.7161347144</v>
      </c>
      <c r="K90" s="8">
        <f t="shared" si="18"/>
        <v>726762.86043040117</v>
      </c>
      <c r="L90" s="8">
        <f t="shared" si="18"/>
        <v>735437.15012346685</v>
      </c>
      <c r="M90" s="8">
        <f t="shared" si="18"/>
        <v>741497.56151734095</v>
      </c>
      <c r="N90" s="8">
        <f t="shared" si="18"/>
        <v>744808.56550294103</v>
      </c>
      <c r="O90" s="8">
        <f t="shared" si="18"/>
        <v>1551010.3871854262</v>
      </c>
      <c r="P90" s="8">
        <f t="shared" si="18"/>
        <v>874385.23951928783</v>
      </c>
      <c r="Q90" s="8">
        <f t="shared" si="18"/>
        <v>1023609.8606531039</v>
      </c>
      <c r="R90" s="8">
        <f t="shared" si="18"/>
        <v>834343.0174824954</v>
      </c>
      <c r="S90" s="8">
        <f t="shared" si="18"/>
        <v>646881.92630444828</v>
      </c>
      <c r="T90" s="8">
        <f t="shared" si="18"/>
        <v>646844.246435988</v>
      </c>
      <c r="U90" s="8">
        <f t="shared" si="18"/>
        <v>663422.60783743276</v>
      </c>
      <c r="V90" s="8">
        <f t="shared" si="18"/>
        <v>618103.15631027054</v>
      </c>
      <c r="W90" s="8">
        <f t="shared" si="18"/>
        <v>607080.58086320059</v>
      </c>
      <c r="X90" s="8">
        <f t="shared" si="18"/>
        <v>593340.24798612762</v>
      </c>
      <c r="Y90" s="8">
        <f t="shared" si="18"/>
        <v>577675.4899876836</v>
      </c>
      <c r="Z90" s="8">
        <f t="shared" si="18"/>
        <v>560861.37604444823</v>
      </c>
      <c r="AA90" s="8">
        <f t="shared" si="18"/>
        <v>620997.91027095879</v>
      </c>
      <c r="AB90" s="8">
        <f t="shared" si="18"/>
        <v>468952.79641900427</v>
      </c>
      <c r="AC90" s="8">
        <f t="shared" si="18"/>
        <v>1170867.699065028</v>
      </c>
      <c r="AD90" s="8">
        <f t="shared" si="18"/>
        <v>512736.63527957594</v>
      </c>
      <c r="AE90" s="8">
        <f t="shared" si="18"/>
        <v>514849.68659191282</v>
      </c>
      <c r="AF90" s="8">
        <f t="shared" si="18"/>
        <v>516146.64992283325</v>
      </c>
      <c r="AG90" s="8">
        <f t="shared" si="18"/>
        <v>717987.86496831942</v>
      </c>
      <c r="AH90" s="8">
        <f t="shared" si="18"/>
        <v>547457.24098237033</v>
      </c>
      <c r="AI90" s="8">
        <f t="shared" ref="AI90:BN90" si="19">AI12</f>
        <v>796202.23679646454</v>
      </c>
      <c r="AJ90" s="8">
        <f t="shared" si="19"/>
        <v>467795.82965550991</v>
      </c>
      <c r="AK90" s="8">
        <f t="shared" si="19"/>
        <v>538228.87082510337</v>
      </c>
      <c r="AL90" s="8">
        <f t="shared" si="19"/>
        <v>634882.5116408054</v>
      </c>
      <c r="AM90" s="8">
        <f t="shared" si="19"/>
        <v>507743.89656129264</v>
      </c>
      <c r="AN90" s="8">
        <f t="shared" si="19"/>
        <v>513429.54020040302</v>
      </c>
      <c r="AO90" s="8">
        <f t="shared" si="19"/>
        <v>584182.60222593229</v>
      </c>
      <c r="AP90" s="8">
        <f t="shared" si="19"/>
        <v>589735.31943458493</v>
      </c>
      <c r="AQ90" s="8">
        <f t="shared" si="19"/>
        <v>592903.85017935594</v>
      </c>
      <c r="AR90" s="8">
        <f t="shared" si="19"/>
        <v>850552.09641626349</v>
      </c>
      <c r="AS90" s="8">
        <f t="shared" si="19"/>
        <v>549280.03539581597</v>
      </c>
      <c r="AT90" s="8">
        <f t="shared" si="19"/>
        <v>553246.57060555625</v>
      </c>
      <c r="AU90" s="8">
        <f t="shared" si="19"/>
        <v>554206.85381689388</v>
      </c>
      <c r="AV90" s="8">
        <f t="shared" si="19"/>
        <v>552133.1801280108</v>
      </c>
      <c r="AW90" s="8">
        <f t="shared" si="19"/>
        <v>614187.47653495229</v>
      </c>
      <c r="AX90" s="8">
        <f t="shared" si="19"/>
        <v>610632.34593651723</v>
      </c>
      <c r="AY90" s="8">
        <f t="shared" si="19"/>
        <v>707065.04342157568</v>
      </c>
      <c r="AZ90" s="8">
        <f t="shared" si="19"/>
        <v>520891.51952216006</v>
      </c>
      <c r="BA90" s="8">
        <f t="shared" si="19"/>
        <v>581927.23746679001</v>
      </c>
      <c r="BB90" s="8">
        <f t="shared" si="19"/>
        <v>577626.6654709198</v>
      </c>
      <c r="BC90" s="8">
        <f t="shared" si="19"/>
        <v>656535.56714763399</v>
      </c>
      <c r="BD90" s="8">
        <f t="shared" si="19"/>
        <v>499854.53235180292</v>
      </c>
      <c r="BE90" s="8">
        <f t="shared" si="19"/>
        <v>573731.42940727691</v>
      </c>
      <c r="BF90" s="8">
        <f t="shared" si="19"/>
        <v>805100.62316051719</v>
      </c>
      <c r="BG90" s="8">
        <f t="shared" si="19"/>
        <v>538664.14772727271</v>
      </c>
      <c r="BH90" s="8">
        <f t="shared" si="19"/>
        <v>387504.27272727271</v>
      </c>
      <c r="BI90" s="8">
        <f t="shared" si="19"/>
        <v>453436.87499999988</v>
      </c>
      <c r="BJ90" s="8">
        <f t="shared" si="19"/>
        <v>454288.12743506487</v>
      </c>
      <c r="BK90" s="8">
        <f t="shared" si="19"/>
        <v>555536.65909090906</v>
      </c>
      <c r="BL90" s="8">
        <f t="shared" si="19"/>
        <v>374471.70779220772</v>
      </c>
      <c r="BM90" s="8">
        <f t="shared" si="19"/>
        <v>440786.284090909</v>
      </c>
      <c r="BN90" s="8">
        <f t="shared" si="19"/>
        <v>441820.05681818177</v>
      </c>
      <c r="BO90" s="8">
        <f t="shared" ref="BO90:CH90" si="20">BO12</f>
        <v>526013.55681818177</v>
      </c>
      <c r="BP90" s="8">
        <f t="shared" si="20"/>
        <v>374471.70779220772</v>
      </c>
      <c r="BQ90" s="8">
        <f t="shared" si="20"/>
        <v>453263.93181818177</v>
      </c>
      <c r="BR90" s="8">
        <f t="shared" si="20"/>
        <v>454288.12743506487</v>
      </c>
      <c r="BS90" s="8">
        <f t="shared" si="20"/>
        <v>605768.07224025961</v>
      </c>
      <c r="BT90" s="8">
        <f t="shared" si="20"/>
        <v>458941.49269480514</v>
      </c>
      <c r="BU90" s="8">
        <f t="shared" si="20"/>
        <v>529538.42532467528</v>
      </c>
      <c r="BV90" s="8">
        <f t="shared" si="20"/>
        <v>535199.05275974027</v>
      </c>
      <c r="BW90" s="8">
        <f t="shared" si="20"/>
        <v>641170.90422077919</v>
      </c>
      <c r="BX90" s="8">
        <f t="shared" si="20"/>
        <v>464480.88798701292</v>
      </c>
      <c r="BY90" s="8">
        <f t="shared" si="20"/>
        <v>534553.43912337651</v>
      </c>
      <c r="BZ90" s="8">
        <f t="shared" si="20"/>
        <v>538479.08279220772</v>
      </c>
      <c r="CA90" s="8">
        <f t="shared" si="20"/>
        <v>624496.39772727271</v>
      </c>
      <c r="CB90" s="8">
        <f t="shared" si="20"/>
        <v>473577.75487012981</v>
      </c>
      <c r="CC90" s="8">
        <f t="shared" si="20"/>
        <v>471222.06331168825</v>
      </c>
      <c r="CD90" s="8">
        <f t="shared" si="20"/>
        <v>465222.4894480519</v>
      </c>
      <c r="CE90" s="8">
        <f t="shared" si="20"/>
        <v>541109.44237012975</v>
      </c>
      <c r="CF90" s="8">
        <f t="shared" si="20"/>
        <v>380420.3425324675</v>
      </c>
      <c r="CG90" s="8">
        <f t="shared" si="20"/>
        <v>369206.10146103892</v>
      </c>
      <c r="CH90" s="8">
        <f t="shared" si="20"/>
        <v>355750.8165584415</v>
      </c>
      <c r="CI90" s="23"/>
    </row>
    <row r="91" spans="1:87" ht="15" customHeight="1" x14ac:dyDescent="0.25">
      <c r="A91" s="16" t="s">
        <v>89</v>
      </c>
      <c r="B91" s="22"/>
      <c r="C91" s="8">
        <f t="shared" ref="C91:AH91" si="21">C64</f>
        <v>43614.58</v>
      </c>
      <c r="D91" s="8">
        <f t="shared" si="21"/>
        <v>43614.58</v>
      </c>
      <c r="E91" s="8">
        <f t="shared" si="21"/>
        <v>43614.58</v>
      </c>
      <c r="F91" s="8">
        <f t="shared" si="21"/>
        <v>43614.58</v>
      </c>
      <c r="G91" s="8">
        <f t="shared" si="21"/>
        <v>43614.58</v>
      </c>
      <c r="H91" s="8">
        <f t="shared" si="21"/>
        <v>42781.25</v>
      </c>
      <c r="I91" s="8">
        <f t="shared" si="21"/>
        <v>42781.25</v>
      </c>
      <c r="J91" s="8">
        <f t="shared" si="21"/>
        <v>33406.25</v>
      </c>
      <c r="K91" s="8">
        <f t="shared" si="21"/>
        <v>33406.25</v>
      </c>
      <c r="L91" s="8">
        <f t="shared" si="21"/>
        <v>33406.25</v>
      </c>
      <c r="M91" s="8">
        <f t="shared" si="21"/>
        <v>33406.25</v>
      </c>
      <c r="N91" s="8">
        <f t="shared" si="21"/>
        <v>33406.25</v>
      </c>
      <c r="O91" s="8">
        <f t="shared" si="21"/>
        <v>33406.25</v>
      </c>
      <c r="P91" s="8">
        <f t="shared" si="21"/>
        <v>33406.25</v>
      </c>
      <c r="Q91" s="8">
        <f t="shared" si="21"/>
        <v>33406.25</v>
      </c>
      <c r="R91" s="8">
        <f t="shared" si="21"/>
        <v>9500</v>
      </c>
      <c r="S91" s="8">
        <f t="shared" si="21"/>
        <v>9500</v>
      </c>
      <c r="T91" s="8">
        <f t="shared" si="21"/>
        <v>9500</v>
      </c>
      <c r="U91" s="8">
        <f t="shared" si="21"/>
        <v>9500</v>
      </c>
      <c r="V91" s="8">
        <f t="shared" si="21"/>
        <v>9500</v>
      </c>
      <c r="W91" s="8">
        <f t="shared" si="21"/>
        <v>66875</v>
      </c>
      <c r="X91" s="8">
        <f t="shared" si="21"/>
        <v>9500</v>
      </c>
      <c r="Y91" s="8">
        <f t="shared" si="21"/>
        <v>9500</v>
      </c>
      <c r="Z91" s="8">
        <f t="shared" si="21"/>
        <v>66875</v>
      </c>
      <c r="AA91" s="8">
        <f t="shared" si="21"/>
        <v>9500</v>
      </c>
      <c r="AB91" s="8">
        <f t="shared" si="21"/>
        <v>9500</v>
      </c>
      <c r="AC91" s="8">
        <f t="shared" si="21"/>
        <v>66875</v>
      </c>
      <c r="AD91" s="8">
        <f t="shared" si="21"/>
        <v>9500</v>
      </c>
      <c r="AE91" s="8">
        <f t="shared" si="21"/>
        <v>9500</v>
      </c>
      <c r="AF91" s="8">
        <f t="shared" si="21"/>
        <v>9500</v>
      </c>
      <c r="AG91" s="8">
        <f t="shared" si="21"/>
        <v>0</v>
      </c>
      <c r="AH91" s="8">
        <f t="shared" si="21"/>
        <v>0</v>
      </c>
      <c r="AI91" s="8">
        <f t="shared" ref="AI91:BN91" si="22">AI64</f>
        <v>0</v>
      </c>
      <c r="AJ91" s="8">
        <f t="shared" si="22"/>
        <v>0</v>
      </c>
      <c r="AK91" s="8">
        <f t="shared" si="22"/>
        <v>0</v>
      </c>
      <c r="AL91" s="8">
        <f t="shared" si="22"/>
        <v>0</v>
      </c>
      <c r="AM91" s="8">
        <f t="shared" si="22"/>
        <v>0</v>
      </c>
      <c r="AN91" s="8">
        <f t="shared" si="22"/>
        <v>0</v>
      </c>
      <c r="AO91" s="8">
        <f t="shared" si="22"/>
        <v>0</v>
      </c>
      <c r="AP91" s="8">
        <f t="shared" si="22"/>
        <v>0</v>
      </c>
      <c r="AQ91" s="8">
        <f t="shared" si="22"/>
        <v>0</v>
      </c>
      <c r="AR91" s="8">
        <f t="shared" si="22"/>
        <v>81683</v>
      </c>
      <c r="AS91" s="8">
        <f t="shared" si="22"/>
        <v>0</v>
      </c>
      <c r="AT91" s="8">
        <f t="shared" si="22"/>
        <v>0</v>
      </c>
      <c r="AU91" s="8">
        <f t="shared" si="22"/>
        <v>81682</v>
      </c>
      <c r="AV91" s="8">
        <f t="shared" si="22"/>
        <v>0</v>
      </c>
      <c r="AW91" s="8">
        <f t="shared" si="22"/>
        <v>0</v>
      </c>
      <c r="AX91" s="8">
        <f t="shared" si="22"/>
        <v>81682</v>
      </c>
      <c r="AY91" s="8">
        <f t="shared" si="22"/>
        <v>0</v>
      </c>
      <c r="AZ91" s="8">
        <f t="shared" si="22"/>
        <v>0</v>
      </c>
      <c r="BA91" s="8">
        <f t="shared" si="22"/>
        <v>933521</v>
      </c>
      <c r="BB91" s="8">
        <f t="shared" si="22"/>
        <v>0</v>
      </c>
      <c r="BC91" s="8">
        <f t="shared" si="22"/>
        <v>0</v>
      </c>
      <c r="BD91" s="8">
        <f t="shared" si="22"/>
        <v>130878</v>
      </c>
      <c r="BE91" s="8">
        <f t="shared" si="22"/>
        <v>0</v>
      </c>
      <c r="BF91" s="8">
        <f t="shared" si="22"/>
        <v>0</v>
      </c>
      <c r="BG91" s="8">
        <f t="shared" si="22"/>
        <v>130876</v>
      </c>
      <c r="BH91" s="8">
        <f t="shared" si="22"/>
        <v>0</v>
      </c>
      <c r="BI91" s="8">
        <f t="shared" si="22"/>
        <v>0</v>
      </c>
      <c r="BJ91" s="8">
        <f t="shared" si="22"/>
        <v>130876</v>
      </c>
      <c r="BK91" s="8">
        <f t="shared" si="22"/>
        <v>0</v>
      </c>
      <c r="BL91" s="8">
        <f t="shared" si="22"/>
        <v>0</v>
      </c>
      <c r="BM91" s="8">
        <f t="shared" si="22"/>
        <v>130876</v>
      </c>
      <c r="BN91" s="8">
        <f t="shared" si="22"/>
        <v>0</v>
      </c>
      <c r="BO91" s="8">
        <f t="shared" ref="BO91:CH91" si="23">BO64</f>
        <v>0</v>
      </c>
      <c r="BP91" s="8">
        <f t="shared" si="23"/>
        <v>142406</v>
      </c>
      <c r="BQ91" s="8">
        <f t="shared" si="23"/>
        <v>0</v>
      </c>
      <c r="BR91" s="8">
        <f t="shared" si="23"/>
        <v>0</v>
      </c>
      <c r="BS91" s="8">
        <f t="shared" si="23"/>
        <v>142402</v>
      </c>
      <c r="BT91" s="8">
        <f t="shared" si="23"/>
        <v>0</v>
      </c>
      <c r="BU91" s="8">
        <f t="shared" si="23"/>
        <v>0</v>
      </c>
      <c r="BV91" s="8">
        <f t="shared" si="23"/>
        <v>142402</v>
      </c>
      <c r="BW91" s="8">
        <f t="shared" si="23"/>
        <v>0</v>
      </c>
      <c r="BX91" s="8">
        <f t="shared" si="23"/>
        <v>0</v>
      </c>
      <c r="BY91" s="8">
        <f t="shared" si="23"/>
        <v>215558</v>
      </c>
      <c r="BZ91" s="8">
        <f t="shared" si="23"/>
        <v>0</v>
      </c>
      <c r="CA91" s="8">
        <f t="shared" si="23"/>
        <v>0</v>
      </c>
      <c r="CB91" s="8">
        <f t="shared" si="23"/>
        <v>231017</v>
      </c>
      <c r="CC91" s="8">
        <f t="shared" si="23"/>
        <v>0</v>
      </c>
      <c r="CD91" s="8">
        <f t="shared" si="23"/>
        <v>0</v>
      </c>
      <c r="CE91" s="8">
        <f t="shared" si="23"/>
        <v>231016</v>
      </c>
      <c r="CF91" s="8">
        <f t="shared" si="23"/>
        <v>0</v>
      </c>
      <c r="CG91" s="8">
        <f t="shared" si="23"/>
        <v>0</v>
      </c>
      <c r="CH91" s="8">
        <f t="shared" si="23"/>
        <v>231016</v>
      </c>
      <c r="CI91" s="23"/>
    </row>
    <row r="92" spans="1:87" ht="15" customHeight="1" x14ac:dyDescent="0.25">
      <c r="A92" s="9" t="s">
        <v>192</v>
      </c>
      <c r="B92" s="28"/>
      <c r="C92" s="10">
        <f t="shared" ref="C92:AH92" si="24">C90+C91</f>
        <v>462214.30384991789</v>
      </c>
      <c r="D92" s="10">
        <f t="shared" si="24"/>
        <v>471141.80627411912</v>
      </c>
      <c r="E92" s="10">
        <f t="shared" si="24"/>
        <v>477444.75001248141</v>
      </c>
      <c r="F92" s="10">
        <f t="shared" si="24"/>
        <v>1254272.8350369637</v>
      </c>
      <c r="G92" s="10">
        <f t="shared" si="24"/>
        <v>617125.34114662441</v>
      </c>
      <c r="H92" s="10">
        <f t="shared" si="24"/>
        <v>620578.1179158492</v>
      </c>
      <c r="I92" s="10">
        <f t="shared" si="24"/>
        <v>1169029.6982867743</v>
      </c>
      <c r="J92" s="10">
        <f t="shared" si="24"/>
        <v>1150231.9661347144</v>
      </c>
      <c r="K92" s="10">
        <f t="shared" si="24"/>
        <v>760169.11043040117</v>
      </c>
      <c r="L92" s="10">
        <f t="shared" si="24"/>
        <v>768843.40012346685</v>
      </c>
      <c r="M92" s="10">
        <f t="shared" si="24"/>
        <v>774903.81151734095</v>
      </c>
      <c r="N92" s="10">
        <f t="shared" si="24"/>
        <v>778214.81550294103</v>
      </c>
      <c r="O92" s="10">
        <f t="shared" si="24"/>
        <v>1584416.6371854262</v>
      </c>
      <c r="P92" s="10">
        <f t="shared" si="24"/>
        <v>907791.48951928783</v>
      </c>
      <c r="Q92" s="10">
        <f t="shared" si="24"/>
        <v>1057016.1106531038</v>
      </c>
      <c r="R92" s="10">
        <f t="shared" si="24"/>
        <v>843843.0174824954</v>
      </c>
      <c r="S92" s="10">
        <f t="shared" si="24"/>
        <v>656381.92630444828</v>
      </c>
      <c r="T92" s="10">
        <f t="shared" si="24"/>
        <v>656344.246435988</v>
      </c>
      <c r="U92" s="10">
        <f t="shared" si="24"/>
        <v>672922.60783743276</v>
      </c>
      <c r="V92" s="10">
        <f t="shared" si="24"/>
        <v>627603.15631027054</v>
      </c>
      <c r="W92" s="10">
        <f t="shared" si="24"/>
        <v>673955.58086320059</v>
      </c>
      <c r="X92" s="10">
        <f t="shared" si="24"/>
        <v>602840.24798612762</v>
      </c>
      <c r="Y92" s="10">
        <f t="shared" si="24"/>
        <v>587175.4899876836</v>
      </c>
      <c r="Z92" s="10">
        <f t="shared" si="24"/>
        <v>627736.37604444823</v>
      </c>
      <c r="AA92" s="10">
        <f t="shared" si="24"/>
        <v>630497.91027095879</v>
      </c>
      <c r="AB92" s="10">
        <f t="shared" si="24"/>
        <v>478452.79641900427</v>
      </c>
      <c r="AC92" s="10">
        <f t="shared" si="24"/>
        <v>1237742.699065028</v>
      </c>
      <c r="AD92" s="10">
        <f t="shared" si="24"/>
        <v>522236.63527957594</v>
      </c>
      <c r="AE92" s="10">
        <f t="shared" si="24"/>
        <v>524349.68659191276</v>
      </c>
      <c r="AF92" s="10">
        <f t="shared" si="24"/>
        <v>525646.64992283331</v>
      </c>
      <c r="AG92" s="10">
        <f t="shared" si="24"/>
        <v>717987.86496831942</v>
      </c>
      <c r="AH92" s="10">
        <f t="shared" si="24"/>
        <v>547457.24098237033</v>
      </c>
      <c r="AI92" s="10">
        <f t="shared" ref="AI92:BN92" si="25">AI90+AI91</f>
        <v>796202.23679646454</v>
      </c>
      <c r="AJ92" s="10">
        <f t="shared" si="25"/>
        <v>467795.82965550991</v>
      </c>
      <c r="AK92" s="10">
        <f t="shared" si="25"/>
        <v>538228.87082510337</v>
      </c>
      <c r="AL92" s="10">
        <f t="shared" si="25"/>
        <v>634882.5116408054</v>
      </c>
      <c r="AM92" s="10">
        <f t="shared" si="25"/>
        <v>507743.89656129264</v>
      </c>
      <c r="AN92" s="10">
        <f t="shared" si="25"/>
        <v>513429.54020040302</v>
      </c>
      <c r="AO92" s="10">
        <f t="shared" si="25"/>
        <v>584182.60222593229</v>
      </c>
      <c r="AP92" s="10">
        <f t="shared" si="25"/>
        <v>589735.31943458493</v>
      </c>
      <c r="AQ92" s="10">
        <f t="shared" si="25"/>
        <v>592903.85017935594</v>
      </c>
      <c r="AR92" s="10">
        <f t="shared" si="25"/>
        <v>932235.09641626349</v>
      </c>
      <c r="AS92" s="10">
        <f t="shared" si="25"/>
        <v>549280.03539581597</v>
      </c>
      <c r="AT92" s="10">
        <f t="shared" si="25"/>
        <v>553246.57060555625</v>
      </c>
      <c r="AU92" s="10">
        <f t="shared" si="25"/>
        <v>635888.85381689388</v>
      </c>
      <c r="AV92" s="10">
        <f t="shared" si="25"/>
        <v>552133.1801280108</v>
      </c>
      <c r="AW92" s="10">
        <f t="shared" si="25"/>
        <v>614187.47653495229</v>
      </c>
      <c r="AX92" s="10">
        <f t="shared" si="25"/>
        <v>692314.34593651723</v>
      </c>
      <c r="AY92" s="10">
        <f t="shared" si="25"/>
        <v>707065.04342157568</v>
      </c>
      <c r="AZ92" s="10">
        <f t="shared" si="25"/>
        <v>520891.51952216006</v>
      </c>
      <c r="BA92" s="10">
        <f t="shared" si="25"/>
        <v>1515448.23746679</v>
      </c>
      <c r="BB92" s="10">
        <f t="shared" si="25"/>
        <v>577626.6654709198</v>
      </c>
      <c r="BC92" s="10">
        <f t="shared" si="25"/>
        <v>656535.56714763399</v>
      </c>
      <c r="BD92" s="10">
        <f t="shared" si="25"/>
        <v>630732.53235180292</v>
      </c>
      <c r="BE92" s="10">
        <f t="shared" si="25"/>
        <v>573731.42940727691</v>
      </c>
      <c r="BF92" s="10">
        <f t="shared" si="25"/>
        <v>805100.62316051719</v>
      </c>
      <c r="BG92" s="10">
        <f t="shared" si="25"/>
        <v>669540.14772727271</v>
      </c>
      <c r="BH92" s="10">
        <f t="shared" si="25"/>
        <v>387504.27272727271</v>
      </c>
      <c r="BI92" s="10">
        <f t="shared" si="25"/>
        <v>453436.87499999988</v>
      </c>
      <c r="BJ92" s="10">
        <f t="shared" si="25"/>
        <v>585164.12743506487</v>
      </c>
      <c r="BK92" s="10">
        <f t="shared" si="25"/>
        <v>555536.65909090906</v>
      </c>
      <c r="BL92" s="10">
        <f t="shared" si="25"/>
        <v>374471.70779220772</v>
      </c>
      <c r="BM92" s="10">
        <f t="shared" si="25"/>
        <v>571662.28409090894</v>
      </c>
      <c r="BN92" s="10">
        <f t="shared" si="25"/>
        <v>441820.05681818177</v>
      </c>
      <c r="BO92" s="10">
        <f t="shared" ref="BO92:CT92" si="26">BO90+BO91</f>
        <v>526013.55681818177</v>
      </c>
      <c r="BP92" s="10">
        <f t="shared" si="26"/>
        <v>516877.70779220772</v>
      </c>
      <c r="BQ92" s="10">
        <f t="shared" si="26"/>
        <v>453263.93181818177</v>
      </c>
      <c r="BR92" s="10">
        <f t="shared" si="26"/>
        <v>454288.12743506487</v>
      </c>
      <c r="BS92" s="10">
        <f t="shared" si="26"/>
        <v>748170.07224025961</v>
      </c>
      <c r="BT92" s="10">
        <f t="shared" si="26"/>
        <v>458941.49269480514</v>
      </c>
      <c r="BU92" s="10">
        <f t="shared" si="26"/>
        <v>529538.42532467528</v>
      </c>
      <c r="BV92" s="10">
        <f t="shared" si="26"/>
        <v>677601.05275974027</v>
      </c>
      <c r="BW92" s="10">
        <f t="shared" si="26"/>
        <v>641170.90422077919</v>
      </c>
      <c r="BX92" s="10">
        <f t="shared" si="26"/>
        <v>464480.88798701292</v>
      </c>
      <c r="BY92" s="10">
        <f t="shared" si="26"/>
        <v>750111.43912337651</v>
      </c>
      <c r="BZ92" s="10">
        <f t="shared" si="26"/>
        <v>538479.08279220772</v>
      </c>
      <c r="CA92" s="10">
        <f t="shared" si="26"/>
        <v>624496.39772727271</v>
      </c>
      <c r="CB92" s="10">
        <f t="shared" si="26"/>
        <v>704594.75487012975</v>
      </c>
      <c r="CC92" s="10">
        <f t="shared" si="26"/>
        <v>471222.06331168825</v>
      </c>
      <c r="CD92" s="10">
        <f t="shared" si="26"/>
        <v>465222.4894480519</v>
      </c>
      <c r="CE92" s="10">
        <f t="shared" si="26"/>
        <v>772125.44237012975</v>
      </c>
      <c r="CF92" s="10">
        <f t="shared" si="26"/>
        <v>380420.3425324675</v>
      </c>
      <c r="CG92" s="10">
        <f t="shared" si="26"/>
        <v>369206.10146103892</v>
      </c>
      <c r="CH92" s="10">
        <f t="shared" si="26"/>
        <v>586766.8165584415</v>
      </c>
      <c r="CI92" s="23"/>
    </row>
    <row r="93" spans="1:87" ht="15" customHeight="1" x14ac:dyDescent="0.25">
      <c r="A93" s="16" t="s">
        <v>82</v>
      </c>
      <c r="B93" s="22"/>
      <c r="C93" s="8">
        <f t="shared" ref="C93:AH93" si="27">C39</f>
        <v>-321206.61499999999</v>
      </c>
      <c r="D93" s="8">
        <f t="shared" si="27"/>
        <v>-363437.86499999993</v>
      </c>
      <c r="E93" s="8">
        <f t="shared" si="27"/>
        <v>-398387.86499999993</v>
      </c>
      <c r="F93" s="8">
        <f t="shared" si="27"/>
        <v>-716354.38020000013</v>
      </c>
      <c r="G93" s="8">
        <f t="shared" si="27"/>
        <v>-398387.86499999993</v>
      </c>
      <c r="H93" s="8">
        <f t="shared" si="27"/>
        <v>-398387.86499999993</v>
      </c>
      <c r="I93" s="8">
        <f t="shared" si="27"/>
        <v>-616470.71200000017</v>
      </c>
      <c r="J93" s="8">
        <f t="shared" si="27"/>
        <v>-555737.06199999992</v>
      </c>
      <c r="K93" s="8">
        <f t="shared" si="27"/>
        <v>-398387.86499999993</v>
      </c>
      <c r="L93" s="8">
        <f t="shared" si="27"/>
        <v>-398387.86499999993</v>
      </c>
      <c r="M93" s="8">
        <f t="shared" si="27"/>
        <v>-398387.86499999993</v>
      </c>
      <c r="N93" s="8">
        <f t="shared" si="27"/>
        <v>-428387.86499999993</v>
      </c>
      <c r="O93" s="8">
        <f t="shared" si="27"/>
        <v>-1870207.557</v>
      </c>
      <c r="P93" s="8">
        <f t="shared" si="27"/>
        <v>-399037.53199999995</v>
      </c>
      <c r="Q93" s="8">
        <f t="shared" si="27"/>
        <v>-429037.53199999995</v>
      </c>
      <c r="R93" s="8">
        <f t="shared" si="27"/>
        <v>-399037.53199999995</v>
      </c>
      <c r="S93" s="8">
        <f t="shared" si="27"/>
        <v>-399037.53199999995</v>
      </c>
      <c r="T93" s="8">
        <f t="shared" si="27"/>
        <v>-429037.53199999995</v>
      </c>
      <c r="U93" s="8">
        <f t="shared" si="27"/>
        <v>-399037.53199999995</v>
      </c>
      <c r="V93" s="8">
        <f t="shared" si="27"/>
        <v>-399037.53199999995</v>
      </c>
      <c r="W93" s="8">
        <f t="shared" si="27"/>
        <v>-399037.53199999995</v>
      </c>
      <c r="X93" s="8">
        <f t="shared" si="27"/>
        <v>-429037.53199999995</v>
      </c>
      <c r="Y93" s="8">
        <f t="shared" si="27"/>
        <v>-399037.53199999995</v>
      </c>
      <c r="Z93" s="8">
        <f t="shared" si="27"/>
        <v>-399037.53199999995</v>
      </c>
      <c r="AA93" s="8">
        <f t="shared" si="27"/>
        <v>-429700.19233999995</v>
      </c>
      <c r="AB93" s="8">
        <f t="shared" si="27"/>
        <v>-399700.19233999995</v>
      </c>
      <c r="AC93" s="8">
        <f t="shared" si="27"/>
        <v>-1743725.7323399999</v>
      </c>
      <c r="AD93" s="8">
        <f t="shared" si="27"/>
        <v>-435700.19233999995</v>
      </c>
      <c r="AE93" s="8">
        <f t="shared" si="27"/>
        <v>-399700.19233999995</v>
      </c>
      <c r="AF93" s="8">
        <f t="shared" si="27"/>
        <v>-399700.19233999995</v>
      </c>
      <c r="AG93" s="8">
        <f t="shared" si="27"/>
        <v>-435700.19233999995</v>
      </c>
      <c r="AH93" s="8">
        <f t="shared" si="27"/>
        <v>-399700.19233999995</v>
      </c>
      <c r="AI93" s="8">
        <f t="shared" ref="AI93:BN93" si="28">AI39</f>
        <v>-435700.19233999995</v>
      </c>
      <c r="AJ93" s="8">
        <f t="shared" si="28"/>
        <v>-399700.19233999995</v>
      </c>
      <c r="AK93" s="8">
        <f t="shared" si="28"/>
        <v>-429700.19233999995</v>
      </c>
      <c r="AL93" s="8">
        <f t="shared" si="28"/>
        <v>-399700.19233999995</v>
      </c>
      <c r="AM93" s="8">
        <f t="shared" si="28"/>
        <v>-412376.10588679998</v>
      </c>
      <c r="AN93" s="8">
        <f t="shared" si="28"/>
        <v>-400376.10588679998</v>
      </c>
      <c r="AO93" s="8">
        <f t="shared" si="28"/>
        <v>-400376.10588679998</v>
      </c>
      <c r="AP93" s="8">
        <f t="shared" si="28"/>
        <v>-400376.10588679998</v>
      </c>
      <c r="AQ93" s="8">
        <f t="shared" si="28"/>
        <v>-430376.10588679998</v>
      </c>
      <c r="AR93" s="8">
        <f t="shared" si="28"/>
        <v>-400376.10588679998</v>
      </c>
      <c r="AS93" s="8">
        <f t="shared" si="28"/>
        <v>-436376.10588679998</v>
      </c>
      <c r="AT93" s="8">
        <f t="shared" si="28"/>
        <v>-400376.10588679998</v>
      </c>
      <c r="AU93" s="8">
        <f t="shared" si="28"/>
        <v>-430376.10588679998</v>
      </c>
      <c r="AV93" s="8">
        <f t="shared" si="28"/>
        <v>-400376.10588679998</v>
      </c>
      <c r="AW93" s="8">
        <f t="shared" si="28"/>
        <v>-430376.10588679998</v>
      </c>
      <c r="AX93" s="8">
        <f t="shared" si="28"/>
        <v>-400376.10588679998</v>
      </c>
      <c r="AY93" s="8">
        <f t="shared" si="28"/>
        <v>-425065.53770453599</v>
      </c>
      <c r="AZ93" s="8">
        <f t="shared" si="28"/>
        <v>-401065.53770453599</v>
      </c>
      <c r="BA93" s="8">
        <f t="shared" si="28"/>
        <v>-401065.53770453599</v>
      </c>
      <c r="BB93" s="8">
        <f t="shared" si="28"/>
        <v>-401065.53770453599</v>
      </c>
      <c r="BC93" s="8">
        <f t="shared" si="28"/>
        <v>-437065.53770453599</v>
      </c>
      <c r="BD93" s="8">
        <f t="shared" si="28"/>
        <v>-401065.53770453599</v>
      </c>
      <c r="BE93" s="8">
        <f t="shared" si="28"/>
        <v>-431065.53770453599</v>
      </c>
      <c r="BF93" s="8">
        <f t="shared" si="28"/>
        <v>-401065.53770453599</v>
      </c>
      <c r="BG93" s="8">
        <f t="shared" si="28"/>
        <v>-431065.53770453599</v>
      </c>
      <c r="BH93" s="8">
        <f t="shared" si="28"/>
        <v>-401065.53770453599</v>
      </c>
      <c r="BI93" s="8">
        <f t="shared" si="28"/>
        <v>-437065.53770453599</v>
      </c>
      <c r="BJ93" s="8">
        <f t="shared" si="28"/>
        <v>-401065.53770453599</v>
      </c>
      <c r="BK93" s="8">
        <f t="shared" si="28"/>
        <v>-419768.75815862673</v>
      </c>
      <c r="BL93" s="8">
        <f t="shared" si="28"/>
        <v>-401768.75815862673</v>
      </c>
      <c r="BM93" s="8">
        <f t="shared" si="28"/>
        <v>-401768.75815862673</v>
      </c>
      <c r="BN93" s="8">
        <f t="shared" si="28"/>
        <v>-401768.75815862673</v>
      </c>
      <c r="BO93" s="8">
        <f t="shared" ref="BO93:CH93" si="29">BO39</f>
        <v>-437768.75815862673</v>
      </c>
      <c r="BP93" s="8">
        <f t="shared" si="29"/>
        <v>-401768.75815862673</v>
      </c>
      <c r="BQ93" s="8">
        <f t="shared" si="29"/>
        <v>-431768.75815862673</v>
      </c>
      <c r="BR93" s="8">
        <f t="shared" si="29"/>
        <v>-401768.75815862673</v>
      </c>
      <c r="BS93" s="8">
        <f t="shared" si="29"/>
        <v>-431768.75815862673</v>
      </c>
      <c r="BT93" s="8">
        <f t="shared" si="29"/>
        <v>-401768.75815862673</v>
      </c>
      <c r="BU93" s="8">
        <f t="shared" si="29"/>
        <v>-437768.75815862673</v>
      </c>
      <c r="BV93" s="8">
        <f t="shared" si="29"/>
        <v>-401768.75815862673</v>
      </c>
      <c r="BW93" s="8">
        <f t="shared" si="29"/>
        <v>-420486.04302179924</v>
      </c>
      <c r="BX93" s="8">
        <f t="shared" si="29"/>
        <v>-402486.04302179924</v>
      </c>
      <c r="BY93" s="8">
        <f t="shared" si="29"/>
        <v>-402486.04302179924</v>
      </c>
      <c r="BZ93" s="8">
        <f t="shared" si="29"/>
        <v>-402486.04302179924</v>
      </c>
      <c r="CA93" s="8">
        <f t="shared" si="29"/>
        <v>-402486.04302179924</v>
      </c>
      <c r="CB93" s="8">
        <f t="shared" si="29"/>
        <v>-402486.04302179924</v>
      </c>
      <c r="CC93" s="8">
        <f t="shared" si="29"/>
        <v>-402486.04302179924</v>
      </c>
      <c r="CD93" s="8">
        <f t="shared" si="29"/>
        <v>-402486.04302179924</v>
      </c>
      <c r="CE93" s="8">
        <f t="shared" si="29"/>
        <v>-402486.04302179924</v>
      </c>
      <c r="CF93" s="8">
        <f t="shared" si="29"/>
        <v>-402486.04302179924</v>
      </c>
      <c r="CG93" s="8">
        <f t="shared" si="29"/>
        <v>-402486.04302179924</v>
      </c>
      <c r="CH93" s="8">
        <f t="shared" si="29"/>
        <v>-402486.04302179924</v>
      </c>
      <c r="CI93" s="23"/>
    </row>
    <row r="94" spans="1:87" ht="15" customHeight="1" x14ac:dyDescent="0.25">
      <c r="A94" s="16" t="s">
        <v>90</v>
      </c>
      <c r="B94" s="22"/>
      <c r="C94" s="8">
        <f t="shared" ref="C94:AH94" si="30">C85</f>
        <v>-109991.66666666667</v>
      </c>
      <c r="D94" s="8">
        <f t="shared" si="30"/>
        <v>-109991.66666666667</v>
      </c>
      <c r="E94" s="8">
        <f t="shared" si="30"/>
        <v>-109991.66666666667</v>
      </c>
      <c r="F94" s="8">
        <f t="shared" si="30"/>
        <v>-132991.66666666669</v>
      </c>
      <c r="G94" s="8">
        <f t="shared" si="30"/>
        <v>-109991.66666666667</v>
      </c>
      <c r="H94" s="8">
        <f t="shared" si="30"/>
        <v>-109991.66666666667</v>
      </c>
      <c r="I94" s="8">
        <f t="shared" si="30"/>
        <v>-109991.66666666667</v>
      </c>
      <c r="J94" s="8">
        <f t="shared" si="30"/>
        <v>-109991.66666666667</v>
      </c>
      <c r="K94" s="8">
        <f t="shared" si="30"/>
        <v>-130991.66666666667</v>
      </c>
      <c r="L94" s="8">
        <f t="shared" si="30"/>
        <v>-109991.66666666667</v>
      </c>
      <c r="M94" s="8">
        <f t="shared" si="30"/>
        <v>-109991.66666666667</v>
      </c>
      <c r="N94" s="8">
        <f t="shared" si="30"/>
        <v>-109991.66666666667</v>
      </c>
      <c r="O94" s="8">
        <f t="shared" si="30"/>
        <v>-110365.66666666667</v>
      </c>
      <c r="P94" s="8">
        <f t="shared" si="30"/>
        <v>-110365.66666666667</v>
      </c>
      <c r="Q94" s="8">
        <f t="shared" si="30"/>
        <v>-110365.66666666667</v>
      </c>
      <c r="R94" s="8">
        <f t="shared" si="30"/>
        <v>-133825.66666666669</v>
      </c>
      <c r="S94" s="8">
        <f t="shared" si="30"/>
        <v>-110365.66666666667</v>
      </c>
      <c r="T94" s="8">
        <f t="shared" si="30"/>
        <v>-110365.66666666667</v>
      </c>
      <c r="U94" s="8">
        <f t="shared" si="30"/>
        <v>-110365.66666666667</v>
      </c>
      <c r="V94" s="8">
        <f t="shared" si="30"/>
        <v>-110365.66666666667</v>
      </c>
      <c r="W94" s="8">
        <f t="shared" si="30"/>
        <v>-131785.66666666669</v>
      </c>
      <c r="X94" s="8">
        <f t="shared" si="30"/>
        <v>-110365.66666666667</v>
      </c>
      <c r="Y94" s="8">
        <f t="shared" si="30"/>
        <v>-110365.66666666667</v>
      </c>
      <c r="Z94" s="8">
        <f t="shared" si="30"/>
        <v>-110365.66666666667</v>
      </c>
      <c r="AA94" s="8">
        <f t="shared" si="30"/>
        <v>-110747.14666666667</v>
      </c>
      <c r="AB94" s="8">
        <f t="shared" si="30"/>
        <v>-110747.14666666667</v>
      </c>
      <c r="AC94" s="8">
        <f t="shared" si="30"/>
        <v>-110747.14666666667</v>
      </c>
      <c r="AD94" s="8">
        <f t="shared" si="30"/>
        <v>-134676.34666666668</v>
      </c>
      <c r="AE94" s="8">
        <f t="shared" si="30"/>
        <v>-110747.14666666667</v>
      </c>
      <c r="AF94" s="8">
        <f t="shared" si="30"/>
        <v>-110747.14666666667</v>
      </c>
      <c r="AG94" s="8">
        <f t="shared" si="30"/>
        <v>-110747.14666666667</v>
      </c>
      <c r="AH94" s="8">
        <f t="shared" si="30"/>
        <v>-110747.14666666667</v>
      </c>
      <c r="AI94" s="8">
        <f t="shared" ref="AI94:BN94" si="31">AI85</f>
        <v>-132595.54666666669</v>
      </c>
      <c r="AJ94" s="8">
        <f t="shared" si="31"/>
        <v>-110747.14666666667</v>
      </c>
      <c r="AK94" s="8">
        <f t="shared" si="31"/>
        <v>-110747.14666666667</v>
      </c>
      <c r="AL94" s="8">
        <f t="shared" si="31"/>
        <v>-110747.14666666667</v>
      </c>
      <c r="AM94" s="8">
        <f t="shared" si="31"/>
        <v>-111136.25626666668</v>
      </c>
      <c r="AN94" s="8">
        <f t="shared" si="31"/>
        <v>-111136.25626666668</v>
      </c>
      <c r="AO94" s="8">
        <f t="shared" si="31"/>
        <v>-111136.25626666668</v>
      </c>
      <c r="AP94" s="8">
        <f t="shared" si="31"/>
        <v>-135544.04026666668</v>
      </c>
      <c r="AQ94" s="8">
        <f t="shared" si="31"/>
        <v>-111136.25626666668</v>
      </c>
      <c r="AR94" s="8">
        <f t="shared" si="31"/>
        <v>-192819.25626666669</v>
      </c>
      <c r="AS94" s="8">
        <f t="shared" si="31"/>
        <v>-111136.25626666668</v>
      </c>
      <c r="AT94" s="8">
        <f t="shared" si="31"/>
        <v>-111136.25626666668</v>
      </c>
      <c r="AU94" s="8">
        <f t="shared" si="31"/>
        <v>-215103.62426666665</v>
      </c>
      <c r="AV94" s="8">
        <f t="shared" si="31"/>
        <v>-111136.25626666668</v>
      </c>
      <c r="AW94" s="8">
        <f t="shared" si="31"/>
        <v>-111136.25626666668</v>
      </c>
      <c r="AX94" s="8">
        <f t="shared" si="31"/>
        <v>-192818.25626666669</v>
      </c>
      <c r="AY94" s="8">
        <f t="shared" si="31"/>
        <v>-111533.14805866667</v>
      </c>
      <c r="AZ94" s="8">
        <f t="shared" si="31"/>
        <v>-111533.14805866667</v>
      </c>
      <c r="BA94" s="8">
        <f t="shared" si="31"/>
        <v>-1045054.1480586666</v>
      </c>
      <c r="BB94" s="8">
        <f t="shared" si="31"/>
        <v>-136429.08773866668</v>
      </c>
      <c r="BC94" s="8">
        <f t="shared" si="31"/>
        <v>-111533.14805866667</v>
      </c>
      <c r="BD94" s="8">
        <f t="shared" si="31"/>
        <v>-242411.14805866667</v>
      </c>
      <c r="BE94" s="8">
        <f t="shared" si="31"/>
        <v>-111533.14805866667</v>
      </c>
      <c r="BF94" s="8">
        <f t="shared" si="31"/>
        <v>-111533.14805866667</v>
      </c>
      <c r="BG94" s="8">
        <f t="shared" si="31"/>
        <v>-265140.22341866669</v>
      </c>
      <c r="BH94" s="8">
        <f t="shared" si="31"/>
        <v>-111533.14805866667</v>
      </c>
      <c r="BI94" s="8">
        <f t="shared" si="31"/>
        <v>-111533.14805866667</v>
      </c>
      <c r="BJ94" s="8">
        <f t="shared" si="31"/>
        <v>-242409.14805866667</v>
      </c>
      <c r="BK94" s="8">
        <f t="shared" si="31"/>
        <v>-111937.97768650667</v>
      </c>
      <c r="BL94" s="8">
        <f t="shared" si="31"/>
        <v>-111937.97768650667</v>
      </c>
      <c r="BM94" s="8">
        <f t="shared" si="31"/>
        <v>-242813.9776865067</v>
      </c>
      <c r="BN94" s="8">
        <f t="shared" si="31"/>
        <v>-137331.83616010667</v>
      </c>
      <c r="BO94" s="8">
        <f t="shared" ref="BO94:CH94" si="32">BO85</f>
        <v>-111937.97768650667</v>
      </c>
      <c r="BP94" s="8">
        <f t="shared" si="32"/>
        <v>-202830.45768650665</v>
      </c>
      <c r="BQ94" s="8">
        <f t="shared" si="32"/>
        <v>-111937.97768650667</v>
      </c>
      <c r="BR94" s="8">
        <f t="shared" si="32"/>
        <v>-111937.97768650667</v>
      </c>
      <c r="BS94" s="8">
        <f t="shared" si="32"/>
        <v>-209763.67455370666</v>
      </c>
      <c r="BT94" s="8">
        <f t="shared" si="32"/>
        <v>-111937.97768650667</v>
      </c>
      <c r="BU94" s="8">
        <f t="shared" si="32"/>
        <v>-111937.97768650667</v>
      </c>
      <c r="BV94" s="8">
        <f t="shared" si="32"/>
        <v>-186577.97768650667</v>
      </c>
      <c r="BW94" s="8">
        <f t="shared" si="32"/>
        <v>-112350.90390690346</v>
      </c>
      <c r="BX94" s="8">
        <f t="shared" si="32"/>
        <v>-112350.90390690346</v>
      </c>
      <c r="BY94" s="8">
        <f t="shared" si="32"/>
        <v>-260146.90390690346</v>
      </c>
      <c r="BZ94" s="8">
        <f t="shared" si="32"/>
        <v>-138252.63954997546</v>
      </c>
      <c r="CA94" s="8">
        <f t="shared" si="32"/>
        <v>-112350.90390690346</v>
      </c>
      <c r="CB94" s="8">
        <f t="shared" si="32"/>
        <v>-266868.90390690346</v>
      </c>
      <c r="CC94" s="8">
        <f t="shared" si="32"/>
        <v>-112350.90390690346</v>
      </c>
      <c r="CD94" s="8">
        <f t="shared" si="32"/>
        <v>-112350.90390690346</v>
      </c>
      <c r="CE94" s="8">
        <f t="shared" si="32"/>
        <v>-290517.31471144746</v>
      </c>
      <c r="CF94" s="8">
        <f t="shared" si="32"/>
        <v>-112350.90390690346</v>
      </c>
      <c r="CG94" s="8">
        <f t="shared" si="32"/>
        <v>-112350.90390690346</v>
      </c>
      <c r="CH94" s="8">
        <f t="shared" si="32"/>
        <v>-260259.87730042427</v>
      </c>
      <c r="CI94" s="23"/>
    </row>
    <row r="95" spans="1:87" ht="15" customHeight="1" x14ac:dyDescent="0.25">
      <c r="A95" s="9" t="s">
        <v>193</v>
      </c>
      <c r="B95" s="28"/>
      <c r="C95" s="10">
        <f t="shared" ref="C95:AH95" si="33">C93+C94</f>
        <v>-431198.28166666668</v>
      </c>
      <c r="D95" s="10">
        <f t="shared" si="33"/>
        <v>-473429.53166666662</v>
      </c>
      <c r="E95" s="10">
        <f t="shared" si="33"/>
        <v>-508379.53166666662</v>
      </c>
      <c r="F95" s="10">
        <f t="shared" si="33"/>
        <v>-849346.04686666676</v>
      </c>
      <c r="G95" s="10">
        <f t="shared" si="33"/>
        <v>-508379.53166666662</v>
      </c>
      <c r="H95" s="10">
        <f t="shared" si="33"/>
        <v>-508379.53166666662</v>
      </c>
      <c r="I95" s="10">
        <f t="shared" si="33"/>
        <v>-726462.3786666668</v>
      </c>
      <c r="J95" s="10">
        <f t="shared" si="33"/>
        <v>-665728.72866666655</v>
      </c>
      <c r="K95" s="10">
        <f t="shared" si="33"/>
        <v>-529379.53166666662</v>
      </c>
      <c r="L95" s="10">
        <f t="shared" si="33"/>
        <v>-508379.53166666662</v>
      </c>
      <c r="M95" s="10">
        <f t="shared" si="33"/>
        <v>-508379.53166666662</v>
      </c>
      <c r="N95" s="10">
        <f t="shared" si="33"/>
        <v>-538379.53166666662</v>
      </c>
      <c r="O95" s="10">
        <f t="shared" si="33"/>
        <v>-1980573.2236666668</v>
      </c>
      <c r="P95" s="10">
        <f t="shared" si="33"/>
        <v>-509403.19866666663</v>
      </c>
      <c r="Q95" s="10">
        <f t="shared" si="33"/>
        <v>-539403.19866666663</v>
      </c>
      <c r="R95" s="10">
        <f t="shared" si="33"/>
        <v>-532863.19866666663</v>
      </c>
      <c r="S95" s="10">
        <f t="shared" si="33"/>
        <v>-509403.19866666663</v>
      </c>
      <c r="T95" s="10">
        <f t="shared" si="33"/>
        <v>-539403.19866666663</v>
      </c>
      <c r="U95" s="10">
        <f t="shared" si="33"/>
        <v>-509403.19866666663</v>
      </c>
      <c r="V95" s="10">
        <f t="shared" si="33"/>
        <v>-509403.19866666663</v>
      </c>
      <c r="W95" s="10">
        <f t="shared" si="33"/>
        <v>-530823.19866666663</v>
      </c>
      <c r="X95" s="10">
        <f t="shared" si="33"/>
        <v>-539403.19866666663</v>
      </c>
      <c r="Y95" s="10">
        <f t="shared" si="33"/>
        <v>-509403.19866666663</v>
      </c>
      <c r="Z95" s="10">
        <f t="shared" si="33"/>
        <v>-509403.19866666663</v>
      </c>
      <c r="AA95" s="10">
        <f t="shared" si="33"/>
        <v>-540447.33900666656</v>
      </c>
      <c r="AB95" s="10">
        <f t="shared" si="33"/>
        <v>-510447.33900666662</v>
      </c>
      <c r="AC95" s="10">
        <f t="shared" si="33"/>
        <v>-1854472.8790066666</v>
      </c>
      <c r="AD95" s="10">
        <f t="shared" si="33"/>
        <v>-570376.53900666663</v>
      </c>
      <c r="AE95" s="10">
        <f t="shared" si="33"/>
        <v>-510447.33900666662</v>
      </c>
      <c r="AF95" s="10">
        <f t="shared" si="33"/>
        <v>-510447.33900666662</v>
      </c>
      <c r="AG95" s="10">
        <f t="shared" si="33"/>
        <v>-546447.33900666656</v>
      </c>
      <c r="AH95" s="10">
        <f t="shared" si="33"/>
        <v>-510447.33900666662</v>
      </c>
      <c r="AI95" s="10">
        <f t="shared" ref="AI95:BN95" si="34">AI93+AI94</f>
        <v>-568295.7390066667</v>
      </c>
      <c r="AJ95" s="10">
        <f t="shared" si="34"/>
        <v>-510447.33900666662</v>
      </c>
      <c r="AK95" s="10">
        <f t="shared" si="34"/>
        <v>-540447.33900666656</v>
      </c>
      <c r="AL95" s="10">
        <f t="shared" si="34"/>
        <v>-510447.33900666662</v>
      </c>
      <c r="AM95" s="10">
        <f t="shared" si="34"/>
        <v>-523512.36215346667</v>
      </c>
      <c r="AN95" s="10">
        <f t="shared" si="34"/>
        <v>-511512.36215346667</v>
      </c>
      <c r="AO95" s="10">
        <f t="shared" si="34"/>
        <v>-511512.36215346667</v>
      </c>
      <c r="AP95" s="10">
        <f t="shared" si="34"/>
        <v>-535920.14615346666</v>
      </c>
      <c r="AQ95" s="10">
        <f t="shared" si="34"/>
        <v>-541512.36215346667</v>
      </c>
      <c r="AR95" s="10">
        <f t="shared" si="34"/>
        <v>-593195.36215346667</v>
      </c>
      <c r="AS95" s="10">
        <f t="shared" si="34"/>
        <v>-547512.36215346667</v>
      </c>
      <c r="AT95" s="10">
        <f t="shared" si="34"/>
        <v>-511512.36215346667</v>
      </c>
      <c r="AU95" s="10">
        <f t="shared" si="34"/>
        <v>-645479.73015346657</v>
      </c>
      <c r="AV95" s="10">
        <f t="shared" si="34"/>
        <v>-511512.36215346667</v>
      </c>
      <c r="AW95" s="10">
        <f t="shared" si="34"/>
        <v>-541512.36215346667</v>
      </c>
      <c r="AX95" s="10">
        <f t="shared" si="34"/>
        <v>-593194.36215346667</v>
      </c>
      <c r="AY95" s="10">
        <f t="shared" si="34"/>
        <v>-536598.68576320261</v>
      </c>
      <c r="AZ95" s="10">
        <f t="shared" si="34"/>
        <v>-512598.68576320267</v>
      </c>
      <c r="BA95" s="10">
        <f t="shared" si="34"/>
        <v>-1446119.6857632026</v>
      </c>
      <c r="BB95" s="10">
        <f t="shared" si="34"/>
        <v>-537494.62544320268</v>
      </c>
      <c r="BC95" s="10">
        <f t="shared" si="34"/>
        <v>-548598.68576320261</v>
      </c>
      <c r="BD95" s="10">
        <f t="shared" si="34"/>
        <v>-643476.68576320261</v>
      </c>
      <c r="BE95" s="10">
        <f t="shared" si="34"/>
        <v>-542598.68576320261</v>
      </c>
      <c r="BF95" s="10">
        <f t="shared" si="34"/>
        <v>-512598.68576320267</v>
      </c>
      <c r="BG95" s="10">
        <f t="shared" si="34"/>
        <v>-696205.76112320274</v>
      </c>
      <c r="BH95" s="10">
        <f t="shared" si="34"/>
        <v>-512598.68576320267</v>
      </c>
      <c r="BI95" s="10">
        <f t="shared" si="34"/>
        <v>-548598.68576320261</v>
      </c>
      <c r="BJ95" s="10">
        <f t="shared" si="34"/>
        <v>-643474.68576320261</v>
      </c>
      <c r="BK95" s="10">
        <f t="shared" si="34"/>
        <v>-531706.73584513343</v>
      </c>
      <c r="BL95" s="10">
        <f t="shared" si="34"/>
        <v>-513706.73584513343</v>
      </c>
      <c r="BM95" s="10">
        <f t="shared" si="34"/>
        <v>-644582.73584513343</v>
      </c>
      <c r="BN95" s="10">
        <f t="shared" si="34"/>
        <v>-539100.59431873343</v>
      </c>
      <c r="BO95" s="10">
        <f t="shared" ref="BO95:CT95" si="35">BO93+BO94</f>
        <v>-549706.73584513343</v>
      </c>
      <c r="BP95" s="10">
        <f t="shared" si="35"/>
        <v>-604599.21584513341</v>
      </c>
      <c r="BQ95" s="10">
        <f t="shared" si="35"/>
        <v>-543706.73584513343</v>
      </c>
      <c r="BR95" s="10">
        <f t="shared" si="35"/>
        <v>-513706.73584513343</v>
      </c>
      <c r="BS95" s="10">
        <f t="shared" si="35"/>
        <v>-641532.43271233339</v>
      </c>
      <c r="BT95" s="10">
        <f t="shared" si="35"/>
        <v>-513706.73584513343</v>
      </c>
      <c r="BU95" s="10">
        <f t="shared" si="35"/>
        <v>-549706.73584513343</v>
      </c>
      <c r="BV95" s="10">
        <f t="shared" si="35"/>
        <v>-588346.73584513343</v>
      </c>
      <c r="BW95" s="10">
        <f t="shared" si="35"/>
        <v>-532836.94692870276</v>
      </c>
      <c r="BX95" s="10">
        <f t="shared" si="35"/>
        <v>-514836.9469287027</v>
      </c>
      <c r="BY95" s="10">
        <f t="shared" si="35"/>
        <v>-662632.94692870276</v>
      </c>
      <c r="BZ95" s="10">
        <f t="shared" si="35"/>
        <v>-540738.6825717747</v>
      </c>
      <c r="CA95" s="10">
        <f t="shared" si="35"/>
        <v>-514836.9469287027</v>
      </c>
      <c r="CB95" s="10">
        <f t="shared" si="35"/>
        <v>-669354.94692870276</v>
      </c>
      <c r="CC95" s="10">
        <f t="shared" si="35"/>
        <v>-514836.9469287027</v>
      </c>
      <c r="CD95" s="10">
        <f t="shared" si="35"/>
        <v>-514836.9469287027</v>
      </c>
      <c r="CE95" s="10">
        <f t="shared" si="35"/>
        <v>-693003.35773324664</v>
      </c>
      <c r="CF95" s="10">
        <f t="shared" si="35"/>
        <v>-514836.9469287027</v>
      </c>
      <c r="CG95" s="10">
        <f t="shared" si="35"/>
        <v>-514836.9469287027</v>
      </c>
      <c r="CH95" s="10">
        <f t="shared" si="35"/>
        <v>-662745.92032222357</v>
      </c>
      <c r="CI95" s="23"/>
    </row>
    <row r="96" spans="1:87" ht="15" customHeight="1" x14ac:dyDescent="0.25">
      <c r="A96" s="13" t="s">
        <v>92</v>
      </c>
      <c r="B96" s="29"/>
      <c r="C96" s="14">
        <f t="shared" ref="C96:AH96" si="36">C92+C95</f>
        <v>31016.022183251218</v>
      </c>
      <c r="D96" s="14">
        <f t="shared" si="36"/>
        <v>-2287.7253925474943</v>
      </c>
      <c r="E96" s="14">
        <f t="shared" si="36"/>
        <v>-30934.781654185208</v>
      </c>
      <c r="F96" s="14">
        <f t="shared" si="36"/>
        <v>404926.78817029693</v>
      </c>
      <c r="G96" s="14">
        <f t="shared" si="36"/>
        <v>108745.8094799578</v>
      </c>
      <c r="H96" s="14">
        <f t="shared" si="36"/>
        <v>112198.58624918258</v>
      </c>
      <c r="I96" s="14">
        <f t="shared" si="36"/>
        <v>442567.31962010753</v>
      </c>
      <c r="J96" s="14">
        <f t="shared" si="36"/>
        <v>484503.23746804788</v>
      </c>
      <c r="K96" s="14">
        <f t="shared" si="36"/>
        <v>230789.57876373455</v>
      </c>
      <c r="L96" s="14">
        <f t="shared" si="36"/>
        <v>260463.86845680024</v>
      </c>
      <c r="M96" s="14">
        <f t="shared" si="36"/>
        <v>266524.27985067433</v>
      </c>
      <c r="N96" s="14">
        <f t="shared" si="36"/>
        <v>239835.28383627441</v>
      </c>
      <c r="O96" s="14">
        <f t="shared" si="36"/>
        <v>-396156.58648124058</v>
      </c>
      <c r="P96" s="14">
        <f t="shared" si="36"/>
        <v>398388.2908526212</v>
      </c>
      <c r="Q96" s="14">
        <f t="shared" si="36"/>
        <v>517612.91198643716</v>
      </c>
      <c r="R96" s="14">
        <f t="shared" si="36"/>
        <v>310979.81881582877</v>
      </c>
      <c r="S96" s="14">
        <f t="shared" si="36"/>
        <v>146978.72763778165</v>
      </c>
      <c r="T96" s="14">
        <f t="shared" si="36"/>
        <v>116941.04776932136</v>
      </c>
      <c r="U96" s="14">
        <f t="shared" si="36"/>
        <v>163519.40917076613</v>
      </c>
      <c r="V96" s="14">
        <f t="shared" si="36"/>
        <v>118199.95764360391</v>
      </c>
      <c r="W96" s="14">
        <f t="shared" si="36"/>
        <v>143132.38219653396</v>
      </c>
      <c r="X96" s="14">
        <f t="shared" si="36"/>
        <v>63437.049319460988</v>
      </c>
      <c r="Y96" s="14">
        <f t="shared" si="36"/>
        <v>77772.291321016965</v>
      </c>
      <c r="Z96" s="14">
        <f t="shared" si="36"/>
        <v>118333.1773777816</v>
      </c>
      <c r="AA96" s="14">
        <f t="shared" si="36"/>
        <v>90050.57126429223</v>
      </c>
      <c r="AB96" s="14">
        <f t="shared" si="36"/>
        <v>-31994.542587662349</v>
      </c>
      <c r="AC96" s="14">
        <f t="shared" si="36"/>
        <v>-616730.17994163861</v>
      </c>
      <c r="AD96" s="14">
        <f t="shared" si="36"/>
        <v>-48139.903727090685</v>
      </c>
      <c r="AE96" s="14">
        <f t="shared" si="36"/>
        <v>13902.347585246142</v>
      </c>
      <c r="AF96" s="14">
        <f t="shared" si="36"/>
        <v>15199.310916166694</v>
      </c>
      <c r="AG96" s="14">
        <f t="shared" si="36"/>
        <v>171540.52596165286</v>
      </c>
      <c r="AH96" s="14">
        <f t="shared" si="36"/>
        <v>37009.901975703717</v>
      </c>
      <c r="AI96" s="14">
        <f t="shared" ref="AI96:BN96" si="37">AI92+AI95</f>
        <v>227906.49778979784</v>
      </c>
      <c r="AJ96" s="14">
        <f t="shared" si="37"/>
        <v>-42651.50935115671</v>
      </c>
      <c r="AK96" s="14">
        <f t="shared" si="37"/>
        <v>-2218.468181563192</v>
      </c>
      <c r="AL96" s="14">
        <f t="shared" si="37"/>
        <v>124435.17263413878</v>
      </c>
      <c r="AM96" s="14">
        <f t="shared" si="37"/>
        <v>-15768.465592174034</v>
      </c>
      <c r="AN96" s="14">
        <f t="shared" si="37"/>
        <v>1917.1780469363439</v>
      </c>
      <c r="AO96" s="14">
        <f t="shared" si="37"/>
        <v>72670.240072465618</v>
      </c>
      <c r="AP96" s="14">
        <f t="shared" si="37"/>
        <v>53815.173281118274</v>
      </c>
      <c r="AQ96" s="14">
        <f t="shared" si="37"/>
        <v>51391.488025889266</v>
      </c>
      <c r="AR96" s="14">
        <f t="shared" si="37"/>
        <v>339039.73426279682</v>
      </c>
      <c r="AS96" s="14">
        <f t="shared" si="37"/>
        <v>1767.673242349294</v>
      </c>
      <c r="AT96" s="14">
        <f t="shared" si="37"/>
        <v>41734.208452089573</v>
      </c>
      <c r="AU96" s="14">
        <f t="shared" si="37"/>
        <v>-9590.8763365726918</v>
      </c>
      <c r="AV96" s="14">
        <f t="shared" si="37"/>
        <v>40620.81797454413</v>
      </c>
      <c r="AW96" s="14">
        <f t="shared" si="37"/>
        <v>72675.114381485619</v>
      </c>
      <c r="AX96" s="14">
        <f t="shared" si="37"/>
        <v>99119.983783050557</v>
      </c>
      <c r="AY96" s="14">
        <f t="shared" si="37"/>
        <v>170466.35765837308</v>
      </c>
      <c r="AZ96" s="14">
        <f t="shared" si="37"/>
        <v>8292.833758957393</v>
      </c>
      <c r="BA96" s="14">
        <f t="shared" si="37"/>
        <v>69328.551703587407</v>
      </c>
      <c r="BB96" s="14">
        <f t="shared" si="37"/>
        <v>40132.040027717128</v>
      </c>
      <c r="BC96" s="14">
        <f t="shared" si="37"/>
        <v>107936.88138443138</v>
      </c>
      <c r="BD96" s="14">
        <f t="shared" si="37"/>
        <v>-12744.15341139969</v>
      </c>
      <c r="BE96" s="14">
        <f t="shared" si="37"/>
        <v>31132.743644074304</v>
      </c>
      <c r="BF96" s="14">
        <f t="shared" si="37"/>
        <v>292501.93739731453</v>
      </c>
      <c r="BG96" s="14">
        <f t="shared" si="37"/>
        <v>-26665.613395930035</v>
      </c>
      <c r="BH96" s="14">
        <f t="shared" si="37"/>
        <v>-125094.41303592996</v>
      </c>
      <c r="BI96" s="14">
        <f t="shared" si="37"/>
        <v>-95161.810763202724</v>
      </c>
      <c r="BJ96" s="14">
        <f t="shared" si="37"/>
        <v>-58310.558328137733</v>
      </c>
      <c r="BK96" s="14">
        <f t="shared" si="37"/>
        <v>23829.92324577563</v>
      </c>
      <c r="BL96" s="14">
        <f t="shared" si="37"/>
        <v>-139235.02805292571</v>
      </c>
      <c r="BM96" s="14">
        <f t="shared" si="37"/>
        <v>-72920.451754224487</v>
      </c>
      <c r="BN96" s="14">
        <f t="shared" si="37"/>
        <v>-97280.537500551669</v>
      </c>
      <c r="BO96" s="14">
        <f t="shared" ref="BO96:CT96" si="38">BO92+BO95</f>
        <v>-23693.179026951664</v>
      </c>
      <c r="BP96" s="14">
        <f t="shared" si="38"/>
        <v>-87721.508052925696</v>
      </c>
      <c r="BQ96" s="14">
        <f t="shared" si="38"/>
        <v>-90442.804026951664</v>
      </c>
      <c r="BR96" s="14">
        <f t="shared" si="38"/>
        <v>-59418.608410068555</v>
      </c>
      <c r="BS96" s="14">
        <f t="shared" si="38"/>
        <v>106637.63952792622</v>
      </c>
      <c r="BT96" s="14">
        <f t="shared" si="38"/>
        <v>-54765.243150328286</v>
      </c>
      <c r="BU96" s="14">
        <f t="shared" si="38"/>
        <v>-20168.310520458152</v>
      </c>
      <c r="BV96" s="14">
        <f t="shared" si="38"/>
        <v>89254.316914606839</v>
      </c>
      <c r="BW96" s="14">
        <f t="shared" si="38"/>
        <v>108333.95729207643</v>
      </c>
      <c r="BX96" s="14">
        <f t="shared" si="38"/>
        <v>-50356.058941689786</v>
      </c>
      <c r="BY96" s="14">
        <f t="shared" si="38"/>
        <v>87478.492194673745</v>
      </c>
      <c r="BZ96" s="14">
        <f t="shared" si="38"/>
        <v>-2259.5997795669828</v>
      </c>
      <c r="CA96" s="14">
        <f t="shared" si="38"/>
        <v>109659.45079857</v>
      </c>
      <c r="CB96" s="14">
        <f t="shared" si="38"/>
        <v>35239.807941426989</v>
      </c>
      <c r="CC96" s="14">
        <f t="shared" si="38"/>
        <v>-43614.88361701445</v>
      </c>
      <c r="CD96" s="14">
        <f t="shared" si="38"/>
        <v>-49614.457480650803</v>
      </c>
      <c r="CE96" s="14">
        <f t="shared" si="38"/>
        <v>79122.084636883112</v>
      </c>
      <c r="CF96" s="14">
        <f t="shared" si="38"/>
        <v>-134416.6043962352</v>
      </c>
      <c r="CG96" s="14">
        <f t="shared" si="38"/>
        <v>-145630.84546766378</v>
      </c>
      <c r="CH96" s="14">
        <f t="shared" si="38"/>
        <v>-75979.10376378207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195</v>
      </c>
      <c r="B99" s="22"/>
      <c r="C99" s="8">
        <f>Assumptions!$B$33</f>
        <v>1615485</v>
      </c>
      <c r="D99" s="8">
        <f t="shared" ref="D99:AI99" si="39">C102</f>
        <v>1615485</v>
      </c>
      <c r="E99" s="8">
        <f t="shared" si="39"/>
        <v>1615485</v>
      </c>
      <c r="F99" s="8">
        <f t="shared" si="39"/>
        <v>1676065.6875</v>
      </c>
      <c r="G99" s="8">
        <f t="shared" si="39"/>
        <v>1676065.6875</v>
      </c>
      <c r="H99" s="8">
        <f t="shared" si="39"/>
        <v>1676065.6875</v>
      </c>
      <c r="I99" s="8">
        <f t="shared" si="39"/>
        <v>1738918.1507812501</v>
      </c>
      <c r="J99" s="8">
        <f t="shared" si="39"/>
        <v>1608918.1507812501</v>
      </c>
      <c r="K99" s="8">
        <f t="shared" si="39"/>
        <v>1478918.1507812501</v>
      </c>
      <c r="L99" s="8">
        <f t="shared" si="39"/>
        <v>1404377.581435547</v>
      </c>
      <c r="M99" s="8">
        <f t="shared" si="39"/>
        <v>1274377.581435547</v>
      </c>
      <c r="N99" s="8">
        <f t="shared" si="39"/>
        <v>1144377.581435547</v>
      </c>
      <c r="O99" s="8">
        <f t="shared" si="39"/>
        <v>1057291.74073938</v>
      </c>
      <c r="P99" s="8">
        <f t="shared" si="39"/>
        <v>927291.74073938001</v>
      </c>
      <c r="Q99" s="8">
        <f t="shared" si="39"/>
        <v>797291.74073938001</v>
      </c>
      <c r="R99" s="8">
        <f t="shared" si="39"/>
        <v>697190.18101710675</v>
      </c>
      <c r="S99" s="8">
        <f t="shared" si="39"/>
        <v>567190.18101710675</v>
      </c>
      <c r="T99" s="8">
        <f t="shared" si="39"/>
        <v>437190.18101710675</v>
      </c>
      <c r="U99" s="8">
        <f t="shared" si="39"/>
        <v>323584.81280524825</v>
      </c>
      <c r="V99" s="8">
        <f t="shared" si="39"/>
        <v>193584.81280524825</v>
      </c>
      <c r="W99" s="8">
        <f t="shared" si="39"/>
        <v>63584.81280524825</v>
      </c>
      <c r="X99" s="8">
        <f t="shared" si="39"/>
        <v>0</v>
      </c>
      <c r="Y99" s="8">
        <f t="shared" si="39"/>
        <v>0</v>
      </c>
      <c r="Z99" s="8">
        <f t="shared" si="39"/>
        <v>0</v>
      </c>
      <c r="AA99" s="8">
        <f t="shared" si="39"/>
        <v>0</v>
      </c>
      <c r="AB99" s="8">
        <f t="shared" si="39"/>
        <v>0</v>
      </c>
      <c r="AC99" s="8">
        <f t="shared" si="39"/>
        <v>0</v>
      </c>
      <c r="AD99" s="8">
        <f t="shared" si="39"/>
        <v>0</v>
      </c>
      <c r="AE99" s="8">
        <f t="shared" si="39"/>
        <v>0</v>
      </c>
      <c r="AF99" s="8">
        <f t="shared" si="39"/>
        <v>0</v>
      </c>
      <c r="AG99" s="8">
        <f t="shared" si="39"/>
        <v>0</v>
      </c>
      <c r="AH99" s="8">
        <f t="shared" si="39"/>
        <v>0</v>
      </c>
      <c r="AI99" s="8">
        <f t="shared" si="39"/>
        <v>0</v>
      </c>
      <c r="AJ99" s="8">
        <f t="shared" ref="AJ99:BO99" si="40">AI102</f>
        <v>0</v>
      </c>
      <c r="AK99" s="8">
        <f t="shared" si="40"/>
        <v>0</v>
      </c>
      <c r="AL99" s="8">
        <f t="shared" si="40"/>
        <v>0</v>
      </c>
      <c r="AM99" s="8">
        <f t="shared" si="40"/>
        <v>0</v>
      </c>
      <c r="AN99" s="8">
        <f t="shared" si="40"/>
        <v>0</v>
      </c>
      <c r="AO99" s="8">
        <f t="shared" si="40"/>
        <v>0</v>
      </c>
      <c r="AP99" s="8">
        <f t="shared" si="40"/>
        <v>0</v>
      </c>
      <c r="AQ99" s="8">
        <f t="shared" si="40"/>
        <v>0</v>
      </c>
      <c r="AR99" s="8">
        <f t="shared" si="40"/>
        <v>0</v>
      </c>
      <c r="AS99" s="8">
        <f t="shared" si="40"/>
        <v>0</v>
      </c>
      <c r="AT99" s="8">
        <f t="shared" si="40"/>
        <v>0</v>
      </c>
      <c r="AU99" s="8">
        <f t="shared" si="40"/>
        <v>0</v>
      </c>
      <c r="AV99" s="8">
        <f t="shared" si="40"/>
        <v>0</v>
      </c>
      <c r="AW99" s="8">
        <f t="shared" si="40"/>
        <v>0</v>
      </c>
      <c r="AX99" s="8">
        <f t="shared" si="40"/>
        <v>0</v>
      </c>
      <c r="AY99" s="8">
        <f t="shared" si="40"/>
        <v>0</v>
      </c>
      <c r="AZ99" s="8">
        <f t="shared" si="40"/>
        <v>0</v>
      </c>
      <c r="BA99" s="8">
        <f t="shared" si="40"/>
        <v>0</v>
      </c>
      <c r="BB99" s="8">
        <f t="shared" si="40"/>
        <v>0</v>
      </c>
      <c r="BC99" s="8">
        <f t="shared" si="40"/>
        <v>0</v>
      </c>
      <c r="BD99" s="8">
        <f t="shared" si="40"/>
        <v>0</v>
      </c>
      <c r="BE99" s="8">
        <f t="shared" si="40"/>
        <v>0</v>
      </c>
      <c r="BF99" s="8">
        <f t="shared" si="40"/>
        <v>0</v>
      </c>
      <c r="BG99" s="8">
        <f t="shared" si="40"/>
        <v>0</v>
      </c>
      <c r="BH99" s="8">
        <f t="shared" si="40"/>
        <v>0</v>
      </c>
      <c r="BI99" s="8">
        <f t="shared" si="40"/>
        <v>0</v>
      </c>
      <c r="BJ99" s="8">
        <f t="shared" si="40"/>
        <v>0</v>
      </c>
      <c r="BK99" s="8">
        <f t="shared" si="40"/>
        <v>0</v>
      </c>
      <c r="BL99" s="8">
        <f t="shared" si="40"/>
        <v>0</v>
      </c>
      <c r="BM99" s="8">
        <f t="shared" si="40"/>
        <v>0</v>
      </c>
      <c r="BN99" s="8">
        <f t="shared" si="40"/>
        <v>0</v>
      </c>
      <c r="BO99" s="8">
        <f t="shared" si="40"/>
        <v>0</v>
      </c>
      <c r="BP99" s="8">
        <f t="shared" ref="BP99:CH99" si="41">BO102</f>
        <v>0</v>
      </c>
      <c r="BQ99" s="8">
        <f t="shared" si="41"/>
        <v>0</v>
      </c>
      <c r="BR99" s="8">
        <f t="shared" si="41"/>
        <v>0</v>
      </c>
      <c r="BS99" s="8">
        <f t="shared" si="41"/>
        <v>0</v>
      </c>
      <c r="BT99" s="8">
        <f t="shared" si="41"/>
        <v>0</v>
      </c>
      <c r="BU99" s="8">
        <f t="shared" si="41"/>
        <v>0</v>
      </c>
      <c r="BV99" s="8">
        <f t="shared" si="41"/>
        <v>0</v>
      </c>
      <c r="BW99" s="8">
        <f t="shared" si="41"/>
        <v>0</v>
      </c>
      <c r="BX99" s="8">
        <f t="shared" si="41"/>
        <v>0</v>
      </c>
      <c r="BY99" s="8">
        <f t="shared" si="41"/>
        <v>0</v>
      </c>
      <c r="BZ99" s="8">
        <f t="shared" si="41"/>
        <v>0</v>
      </c>
      <c r="CA99" s="8">
        <f t="shared" si="41"/>
        <v>0</v>
      </c>
      <c r="CB99" s="8">
        <f t="shared" si="41"/>
        <v>0</v>
      </c>
      <c r="CC99" s="8">
        <f t="shared" si="41"/>
        <v>0</v>
      </c>
      <c r="CD99" s="8">
        <f t="shared" si="41"/>
        <v>0</v>
      </c>
      <c r="CE99" s="8">
        <f t="shared" si="41"/>
        <v>0</v>
      </c>
      <c r="CF99" s="8">
        <f t="shared" si="41"/>
        <v>0</v>
      </c>
      <c r="CG99" s="8">
        <f t="shared" si="41"/>
        <v>0</v>
      </c>
      <c r="CH99" s="8">
        <f t="shared" si="41"/>
        <v>0</v>
      </c>
      <c r="CI99" s="23"/>
    </row>
    <row r="100" spans="1:87" ht="15" customHeight="1" x14ac:dyDescent="0.25">
      <c r="A100" s="7" t="s">
        <v>196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197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198</v>
      </c>
      <c r="B102" s="28"/>
      <c r="C102" s="32">
        <f t="shared" ref="C102:AH102" si="42">MAX(0,C99+C100+C101)</f>
        <v>1615485</v>
      </c>
      <c r="D102" s="32">
        <f t="shared" si="42"/>
        <v>1615485</v>
      </c>
      <c r="E102" s="32">
        <f t="shared" si="42"/>
        <v>1676065.6875</v>
      </c>
      <c r="F102" s="32">
        <f t="shared" si="42"/>
        <v>1676065.6875</v>
      </c>
      <c r="G102" s="32">
        <f t="shared" si="42"/>
        <v>1676065.6875</v>
      </c>
      <c r="H102" s="32">
        <f t="shared" si="42"/>
        <v>1738918.1507812501</v>
      </c>
      <c r="I102" s="32">
        <f t="shared" si="42"/>
        <v>1608918.1507812501</v>
      </c>
      <c r="J102" s="32">
        <f t="shared" si="42"/>
        <v>1478918.1507812501</v>
      </c>
      <c r="K102" s="32">
        <f t="shared" si="42"/>
        <v>1404377.581435547</v>
      </c>
      <c r="L102" s="32">
        <f t="shared" si="42"/>
        <v>1274377.581435547</v>
      </c>
      <c r="M102" s="32">
        <f t="shared" si="42"/>
        <v>1144377.581435547</v>
      </c>
      <c r="N102" s="32">
        <f t="shared" si="42"/>
        <v>1057291.74073938</v>
      </c>
      <c r="O102" s="32">
        <f t="shared" si="42"/>
        <v>927291.74073938001</v>
      </c>
      <c r="P102" s="32">
        <f t="shared" si="42"/>
        <v>797291.74073938001</v>
      </c>
      <c r="Q102" s="32">
        <f t="shared" si="42"/>
        <v>697190.18101710675</v>
      </c>
      <c r="R102" s="32">
        <f t="shared" si="42"/>
        <v>567190.18101710675</v>
      </c>
      <c r="S102" s="32">
        <f t="shared" si="42"/>
        <v>437190.18101710675</v>
      </c>
      <c r="T102" s="32">
        <f t="shared" si="42"/>
        <v>323584.81280524825</v>
      </c>
      <c r="U102" s="32">
        <f t="shared" si="42"/>
        <v>193584.81280524825</v>
      </c>
      <c r="V102" s="32">
        <f t="shared" si="42"/>
        <v>63584.81280524825</v>
      </c>
      <c r="W102" s="32">
        <f t="shared" si="42"/>
        <v>0</v>
      </c>
      <c r="X102" s="32">
        <f t="shared" si="42"/>
        <v>0</v>
      </c>
      <c r="Y102" s="32">
        <f t="shared" si="42"/>
        <v>0</v>
      </c>
      <c r="Z102" s="32">
        <f t="shared" si="42"/>
        <v>0</v>
      </c>
      <c r="AA102" s="32">
        <f t="shared" si="42"/>
        <v>0</v>
      </c>
      <c r="AB102" s="32">
        <f t="shared" si="42"/>
        <v>0</v>
      </c>
      <c r="AC102" s="32">
        <f t="shared" si="42"/>
        <v>0</v>
      </c>
      <c r="AD102" s="32">
        <f t="shared" si="42"/>
        <v>0</v>
      </c>
      <c r="AE102" s="32">
        <f t="shared" si="42"/>
        <v>0</v>
      </c>
      <c r="AF102" s="32">
        <f t="shared" si="42"/>
        <v>0</v>
      </c>
      <c r="AG102" s="32">
        <f t="shared" si="42"/>
        <v>0</v>
      </c>
      <c r="AH102" s="32">
        <f t="shared" si="42"/>
        <v>0</v>
      </c>
      <c r="AI102" s="32">
        <f t="shared" ref="AI102:BN102" si="43">MAX(0,AI99+AI100+AI101)</f>
        <v>0</v>
      </c>
      <c r="AJ102" s="32">
        <f t="shared" si="43"/>
        <v>0</v>
      </c>
      <c r="AK102" s="32">
        <f t="shared" si="43"/>
        <v>0</v>
      </c>
      <c r="AL102" s="32">
        <f t="shared" si="43"/>
        <v>0</v>
      </c>
      <c r="AM102" s="32">
        <f t="shared" si="43"/>
        <v>0</v>
      </c>
      <c r="AN102" s="32">
        <f t="shared" si="43"/>
        <v>0</v>
      </c>
      <c r="AO102" s="32">
        <f t="shared" si="43"/>
        <v>0</v>
      </c>
      <c r="AP102" s="32">
        <f t="shared" si="43"/>
        <v>0</v>
      </c>
      <c r="AQ102" s="32">
        <f t="shared" si="43"/>
        <v>0</v>
      </c>
      <c r="AR102" s="32">
        <f t="shared" si="43"/>
        <v>0</v>
      </c>
      <c r="AS102" s="32">
        <f t="shared" si="43"/>
        <v>0</v>
      </c>
      <c r="AT102" s="32">
        <f t="shared" si="43"/>
        <v>0</v>
      </c>
      <c r="AU102" s="32">
        <f t="shared" si="43"/>
        <v>0</v>
      </c>
      <c r="AV102" s="32">
        <f t="shared" si="43"/>
        <v>0</v>
      </c>
      <c r="AW102" s="32">
        <f t="shared" si="43"/>
        <v>0</v>
      </c>
      <c r="AX102" s="32">
        <f t="shared" si="43"/>
        <v>0</v>
      </c>
      <c r="AY102" s="32">
        <f t="shared" si="43"/>
        <v>0</v>
      </c>
      <c r="AZ102" s="32">
        <f t="shared" si="43"/>
        <v>0</v>
      </c>
      <c r="BA102" s="32">
        <f t="shared" si="43"/>
        <v>0</v>
      </c>
      <c r="BB102" s="32">
        <f t="shared" si="43"/>
        <v>0</v>
      </c>
      <c r="BC102" s="32">
        <f t="shared" si="43"/>
        <v>0</v>
      </c>
      <c r="BD102" s="32">
        <f t="shared" si="43"/>
        <v>0</v>
      </c>
      <c r="BE102" s="32">
        <f t="shared" si="43"/>
        <v>0</v>
      </c>
      <c r="BF102" s="32">
        <f t="shared" si="43"/>
        <v>0</v>
      </c>
      <c r="BG102" s="32">
        <f t="shared" si="43"/>
        <v>0</v>
      </c>
      <c r="BH102" s="32">
        <f t="shared" si="43"/>
        <v>0</v>
      </c>
      <c r="BI102" s="32">
        <f t="shared" si="43"/>
        <v>0</v>
      </c>
      <c r="BJ102" s="32">
        <f t="shared" si="43"/>
        <v>0</v>
      </c>
      <c r="BK102" s="32">
        <f t="shared" si="43"/>
        <v>0</v>
      </c>
      <c r="BL102" s="32">
        <f t="shared" si="43"/>
        <v>0</v>
      </c>
      <c r="BM102" s="32">
        <f t="shared" si="43"/>
        <v>0</v>
      </c>
      <c r="BN102" s="32">
        <f t="shared" si="43"/>
        <v>0</v>
      </c>
      <c r="BO102" s="32">
        <f t="shared" ref="BO102:CT102" si="44">MAX(0,BO99+BO100+BO101)</f>
        <v>0</v>
      </c>
      <c r="BP102" s="32">
        <f t="shared" si="44"/>
        <v>0</v>
      </c>
      <c r="BQ102" s="32">
        <f t="shared" si="44"/>
        <v>0</v>
      </c>
      <c r="BR102" s="32">
        <f t="shared" si="44"/>
        <v>0</v>
      </c>
      <c r="BS102" s="32">
        <f t="shared" si="44"/>
        <v>0</v>
      </c>
      <c r="BT102" s="32">
        <f t="shared" si="44"/>
        <v>0</v>
      </c>
      <c r="BU102" s="32">
        <f t="shared" si="44"/>
        <v>0</v>
      </c>
      <c r="BV102" s="32">
        <f t="shared" si="44"/>
        <v>0</v>
      </c>
      <c r="BW102" s="32">
        <f t="shared" si="44"/>
        <v>0</v>
      </c>
      <c r="BX102" s="32">
        <f t="shared" si="44"/>
        <v>0</v>
      </c>
      <c r="BY102" s="32">
        <f t="shared" si="44"/>
        <v>0</v>
      </c>
      <c r="BZ102" s="32">
        <f t="shared" si="44"/>
        <v>0</v>
      </c>
      <c r="CA102" s="32">
        <f t="shared" si="44"/>
        <v>0</v>
      </c>
      <c r="CB102" s="32">
        <f t="shared" si="44"/>
        <v>0</v>
      </c>
      <c r="CC102" s="32">
        <f t="shared" si="44"/>
        <v>0</v>
      </c>
      <c r="CD102" s="32">
        <f t="shared" si="44"/>
        <v>0</v>
      </c>
      <c r="CE102" s="32">
        <f t="shared" si="44"/>
        <v>0</v>
      </c>
      <c r="CF102" s="32">
        <f t="shared" si="44"/>
        <v>0</v>
      </c>
      <c r="CG102" s="32">
        <f t="shared" si="44"/>
        <v>0</v>
      </c>
      <c r="CH102" s="32">
        <f t="shared" si="44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195</v>
      </c>
      <c r="B106" s="22"/>
      <c r="C106" s="8">
        <f>Assumptions!$B$41</f>
        <v>1000000</v>
      </c>
      <c r="D106" s="8">
        <f t="shared" ref="D106:AI106" si="45">C108</f>
        <v>1000000</v>
      </c>
      <c r="E106" s="8">
        <f t="shared" si="45"/>
        <v>1000000</v>
      </c>
      <c r="F106" s="8">
        <f t="shared" si="45"/>
        <v>1000000</v>
      </c>
      <c r="G106" s="8">
        <f t="shared" si="45"/>
        <v>1000000</v>
      </c>
      <c r="H106" s="8">
        <f t="shared" si="45"/>
        <v>1000000</v>
      </c>
      <c r="I106" s="8">
        <f t="shared" si="45"/>
        <v>1000000</v>
      </c>
      <c r="J106" s="8">
        <f t="shared" si="45"/>
        <v>1000000</v>
      </c>
      <c r="K106" s="8">
        <f t="shared" si="45"/>
        <v>1000000</v>
      </c>
      <c r="L106" s="8">
        <f t="shared" si="45"/>
        <v>1000000</v>
      </c>
      <c r="M106" s="8">
        <f t="shared" si="45"/>
        <v>1000000</v>
      </c>
      <c r="N106" s="8">
        <f t="shared" si="45"/>
        <v>750000</v>
      </c>
      <c r="O106" s="8">
        <f t="shared" si="45"/>
        <v>750000</v>
      </c>
      <c r="P106" s="8">
        <f t="shared" si="45"/>
        <v>750000</v>
      </c>
      <c r="Q106" s="8">
        <f t="shared" si="45"/>
        <v>750000</v>
      </c>
      <c r="R106" s="8">
        <f t="shared" si="45"/>
        <v>750000</v>
      </c>
      <c r="S106" s="8">
        <f t="shared" si="45"/>
        <v>750000</v>
      </c>
      <c r="T106" s="8">
        <f t="shared" si="45"/>
        <v>750000</v>
      </c>
      <c r="U106" s="8">
        <f t="shared" si="45"/>
        <v>750000</v>
      </c>
      <c r="V106" s="8">
        <f t="shared" si="45"/>
        <v>750000</v>
      </c>
      <c r="W106" s="8">
        <f t="shared" si="45"/>
        <v>750000</v>
      </c>
      <c r="X106" s="8">
        <f t="shared" si="45"/>
        <v>750000</v>
      </c>
      <c r="Y106" s="8">
        <f t="shared" si="45"/>
        <v>750000</v>
      </c>
      <c r="Z106" s="8">
        <f t="shared" si="45"/>
        <v>500000</v>
      </c>
      <c r="AA106" s="8">
        <f t="shared" si="45"/>
        <v>500000</v>
      </c>
      <c r="AB106" s="8">
        <f t="shared" si="45"/>
        <v>500000</v>
      </c>
      <c r="AC106" s="8">
        <f t="shared" si="45"/>
        <v>500000</v>
      </c>
      <c r="AD106" s="8">
        <f t="shared" si="45"/>
        <v>500000</v>
      </c>
      <c r="AE106" s="8">
        <f t="shared" si="45"/>
        <v>500000</v>
      </c>
      <c r="AF106" s="8">
        <f t="shared" si="45"/>
        <v>500000</v>
      </c>
      <c r="AG106" s="8">
        <f t="shared" si="45"/>
        <v>500000</v>
      </c>
      <c r="AH106" s="8">
        <f t="shared" si="45"/>
        <v>500000</v>
      </c>
      <c r="AI106" s="8">
        <f t="shared" si="45"/>
        <v>500000</v>
      </c>
      <c r="AJ106" s="8">
        <f t="shared" ref="AJ106:BO106" si="46">AI108</f>
        <v>500000</v>
      </c>
      <c r="AK106" s="8">
        <f t="shared" si="46"/>
        <v>500000</v>
      </c>
      <c r="AL106" s="8">
        <f t="shared" si="46"/>
        <v>500000</v>
      </c>
      <c r="AM106" s="8">
        <f t="shared" si="46"/>
        <v>500000</v>
      </c>
      <c r="AN106" s="8">
        <f t="shared" si="46"/>
        <v>500000</v>
      </c>
      <c r="AO106" s="8">
        <f t="shared" si="46"/>
        <v>500000</v>
      </c>
      <c r="AP106" s="8">
        <f t="shared" si="46"/>
        <v>500000</v>
      </c>
      <c r="AQ106" s="8">
        <f t="shared" si="46"/>
        <v>500000</v>
      </c>
      <c r="AR106" s="8">
        <f t="shared" si="46"/>
        <v>500000</v>
      </c>
      <c r="AS106" s="8">
        <f t="shared" si="46"/>
        <v>500000</v>
      </c>
      <c r="AT106" s="8">
        <f t="shared" si="46"/>
        <v>500000</v>
      </c>
      <c r="AU106" s="8">
        <f t="shared" si="46"/>
        <v>500000</v>
      </c>
      <c r="AV106" s="8">
        <f t="shared" si="46"/>
        <v>500000</v>
      </c>
      <c r="AW106" s="8">
        <f t="shared" si="46"/>
        <v>500000</v>
      </c>
      <c r="AX106" s="8">
        <f t="shared" si="46"/>
        <v>500000</v>
      </c>
      <c r="AY106" s="8">
        <f t="shared" si="46"/>
        <v>500000</v>
      </c>
      <c r="AZ106" s="8">
        <f t="shared" si="46"/>
        <v>500000</v>
      </c>
      <c r="BA106" s="8">
        <f t="shared" si="46"/>
        <v>500000</v>
      </c>
      <c r="BB106" s="8">
        <f t="shared" si="46"/>
        <v>500000</v>
      </c>
      <c r="BC106" s="8">
        <f t="shared" si="46"/>
        <v>500000</v>
      </c>
      <c r="BD106" s="8">
        <f t="shared" si="46"/>
        <v>500000</v>
      </c>
      <c r="BE106" s="8">
        <f t="shared" si="46"/>
        <v>500000</v>
      </c>
      <c r="BF106" s="8">
        <f t="shared" si="46"/>
        <v>500000</v>
      </c>
      <c r="BG106" s="8">
        <f t="shared" si="46"/>
        <v>500000</v>
      </c>
      <c r="BH106" s="8">
        <f t="shared" si="46"/>
        <v>500000</v>
      </c>
      <c r="BI106" s="8">
        <f t="shared" si="46"/>
        <v>500000</v>
      </c>
      <c r="BJ106" s="8">
        <f t="shared" si="46"/>
        <v>500000</v>
      </c>
      <c r="BK106" s="8">
        <f t="shared" si="46"/>
        <v>500000</v>
      </c>
      <c r="BL106" s="8">
        <f t="shared" si="46"/>
        <v>500000</v>
      </c>
      <c r="BM106" s="8">
        <f t="shared" si="46"/>
        <v>500000</v>
      </c>
      <c r="BN106" s="8">
        <f t="shared" si="46"/>
        <v>500000</v>
      </c>
      <c r="BO106" s="8">
        <f t="shared" si="46"/>
        <v>500000</v>
      </c>
      <c r="BP106" s="8">
        <f t="shared" ref="BP106:CH106" si="47">BO108</f>
        <v>500000</v>
      </c>
      <c r="BQ106" s="8">
        <f t="shared" si="47"/>
        <v>500000</v>
      </c>
      <c r="BR106" s="8">
        <f t="shared" si="47"/>
        <v>500000</v>
      </c>
      <c r="BS106" s="8">
        <f t="shared" si="47"/>
        <v>500000</v>
      </c>
      <c r="BT106" s="8">
        <f t="shared" si="47"/>
        <v>500000</v>
      </c>
      <c r="BU106" s="8">
        <f t="shared" si="47"/>
        <v>500000</v>
      </c>
      <c r="BV106" s="8">
        <f t="shared" si="47"/>
        <v>500000</v>
      </c>
      <c r="BW106" s="8">
        <f t="shared" si="47"/>
        <v>500000</v>
      </c>
      <c r="BX106" s="8">
        <f t="shared" si="47"/>
        <v>500000</v>
      </c>
      <c r="BY106" s="8">
        <f t="shared" si="47"/>
        <v>500000</v>
      </c>
      <c r="BZ106" s="8">
        <f t="shared" si="47"/>
        <v>500000</v>
      </c>
      <c r="CA106" s="8">
        <f t="shared" si="47"/>
        <v>500000</v>
      </c>
      <c r="CB106" s="8">
        <f t="shared" si="47"/>
        <v>500000</v>
      </c>
      <c r="CC106" s="8">
        <f t="shared" si="47"/>
        <v>500000</v>
      </c>
      <c r="CD106" s="8">
        <f t="shared" si="47"/>
        <v>500000</v>
      </c>
      <c r="CE106" s="8">
        <f t="shared" si="47"/>
        <v>500000</v>
      </c>
      <c r="CF106" s="8">
        <f t="shared" si="47"/>
        <v>500000</v>
      </c>
      <c r="CG106" s="8">
        <f t="shared" si="47"/>
        <v>500000</v>
      </c>
      <c r="CH106" s="8">
        <f t="shared" si="47"/>
        <v>500000</v>
      </c>
      <c r="CI106" s="23"/>
    </row>
    <row r="107" spans="1:87" ht="15" customHeight="1" x14ac:dyDescent="0.25">
      <c r="A107" s="7" t="s">
        <v>200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198</v>
      </c>
      <c r="B108" s="28"/>
      <c r="C108" s="32">
        <f t="shared" ref="C108:AH108" si="48">MAX(0,C106+C107)</f>
        <v>1000000</v>
      </c>
      <c r="D108" s="32">
        <f t="shared" si="48"/>
        <v>1000000</v>
      </c>
      <c r="E108" s="32">
        <f t="shared" si="48"/>
        <v>1000000</v>
      </c>
      <c r="F108" s="32">
        <f t="shared" si="48"/>
        <v>1000000</v>
      </c>
      <c r="G108" s="32">
        <f t="shared" si="48"/>
        <v>1000000</v>
      </c>
      <c r="H108" s="32">
        <f t="shared" si="48"/>
        <v>1000000</v>
      </c>
      <c r="I108" s="32">
        <f t="shared" si="48"/>
        <v>1000000</v>
      </c>
      <c r="J108" s="32">
        <f t="shared" si="48"/>
        <v>1000000</v>
      </c>
      <c r="K108" s="32">
        <f t="shared" si="48"/>
        <v>1000000</v>
      </c>
      <c r="L108" s="32">
        <f t="shared" si="48"/>
        <v>1000000</v>
      </c>
      <c r="M108" s="32">
        <f t="shared" si="48"/>
        <v>750000</v>
      </c>
      <c r="N108" s="32">
        <f t="shared" si="48"/>
        <v>750000</v>
      </c>
      <c r="O108" s="32">
        <f t="shared" si="48"/>
        <v>750000</v>
      </c>
      <c r="P108" s="32">
        <f t="shared" si="48"/>
        <v>750000</v>
      </c>
      <c r="Q108" s="32">
        <f t="shared" si="48"/>
        <v>750000</v>
      </c>
      <c r="R108" s="32">
        <f t="shared" si="48"/>
        <v>750000</v>
      </c>
      <c r="S108" s="32">
        <f t="shared" si="48"/>
        <v>750000</v>
      </c>
      <c r="T108" s="32">
        <f t="shared" si="48"/>
        <v>750000</v>
      </c>
      <c r="U108" s="32">
        <f t="shared" si="48"/>
        <v>750000</v>
      </c>
      <c r="V108" s="32">
        <f t="shared" si="48"/>
        <v>750000</v>
      </c>
      <c r="W108" s="32">
        <f t="shared" si="48"/>
        <v>750000</v>
      </c>
      <c r="X108" s="32">
        <f t="shared" si="48"/>
        <v>750000</v>
      </c>
      <c r="Y108" s="32">
        <f t="shared" si="48"/>
        <v>500000</v>
      </c>
      <c r="Z108" s="32">
        <f t="shared" si="48"/>
        <v>500000</v>
      </c>
      <c r="AA108" s="32">
        <f t="shared" si="48"/>
        <v>500000</v>
      </c>
      <c r="AB108" s="32">
        <f t="shared" si="48"/>
        <v>500000</v>
      </c>
      <c r="AC108" s="32">
        <f t="shared" si="48"/>
        <v>500000</v>
      </c>
      <c r="AD108" s="32">
        <f t="shared" si="48"/>
        <v>500000</v>
      </c>
      <c r="AE108" s="32">
        <f t="shared" si="48"/>
        <v>500000</v>
      </c>
      <c r="AF108" s="32">
        <f t="shared" si="48"/>
        <v>500000</v>
      </c>
      <c r="AG108" s="32">
        <f t="shared" si="48"/>
        <v>500000</v>
      </c>
      <c r="AH108" s="32">
        <f t="shared" si="48"/>
        <v>500000</v>
      </c>
      <c r="AI108" s="32">
        <f t="shared" ref="AI108:BN108" si="49">MAX(0,AI106+AI107)</f>
        <v>500000</v>
      </c>
      <c r="AJ108" s="32">
        <f t="shared" si="49"/>
        <v>500000</v>
      </c>
      <c r="AK108" s="32">
        <f t="shared" si="49"/>
        <v>500000</v>
      </c>
      <c r="AL108" s="32">
        <f t="shared" si="49"/>
        <v>500000</v>
      </c>
      <c r="AM108" s="32">
        <f t="shared" si="49"/>
        <v>500000</v>
      </c>
      <c r="AN108" s="32">
        <f t="shared" si="49"/>
        <v>500000</v>
      </c>
      <c r="AO108" s="32">
        <f t="shared" si="49"/>
        <v>500000</v>
      </c>
      <c r="AP108" s="32">
        <f t="shared" si="49"/>
        <v>500000</v>
      </c>
      <c r="AQ108" s="32">
        <f t="shared" si="49"/>
        <v>500000</v>
      </c>
      <c r="AR108" s="32">
        <f t="shared" si="49"/>
        <v>500000</v>
      </c>
      <c r="AS108" s="32">
        <f t="shared" si="49"/>
        <v>500000</v>
      </c>
      <c r="AT108" s="32">
        <f t="shared" si="49"/>
        <v>500000</v>
      </c>
      <c r="AU108" s="32">
        <f t="shared" si="49"/>
        <v>500000</v>
      </c>
      <c r="AV108" s="32">
        <f t="shared" si="49"/>
        <v>500000</v>
      </c>
      <c r="AW108" s="32">
        <f t="shared" si="49"/>
        <v>500000</v>
      </c>
      <c r="AX108" s="32">
        <f t="shared" si="49"/>
        <v>500000</v>
      </c>
      <c r="AY108" s="32">
        <f t="shared" si="49"/>
        <v>500000</v>
      </c>
      <c r="AZ108" s="32">
        <f t="shared" si="49"/>
        <v>500000</v>
      </c>
      <c r="BA108" s="32">
        <f t="shared" si="49"/>
        <v>500000</v>
      </c>
      <c r="BB108" s="32">
        <f t="shared" si="49"/>
        <v>500000</v>
      </c>
      <c r="BC108" s="32">
        <f t="shared" si="49"/>
        <v>500000</v>
      </c>
      <c r="BD108" s="32">
        <f t="shared" si="49"/>
        <v>500000</v>
      </c>
      <c r="BE108" s="32">
        <f t="shared" si="49"/>
        <v>500000</v>
      </c>
      <c r="BF108" s="32">
        <f t="shared" si="49"/>
        <v>500000</v>
      </c>
      <c r="BG108" s="32">
        <f t="shared" si="49"/>
        <v>500000</v>
      </c>
      <c r="BH108" s="32">
        <f t="shared" si="49"/>
        <v>500000</v>
      </c>
      <c r="BI108" s="32">
        <f t="shared" si="49"/>
        <v>500000</v>
      </c>
      <c r="BJ108" s="32">
        <f t="shared" si="49"/>
        <v>500000</v>
      </c>
      <c r="BK108" s="32">
        <f t="shared" si="49"/>
        <v>500000</v>
      </c>
      <c r="BL108" s="32">
        <f t="shared" si="49"/>
        <v>500000</v>
      </c>
      <c r="BM108" s="32">
        <f t="shared" si="49"/>
        <v>500000</v>
      </c>
      <c r="BN108" s="32">
        <f t="shared" si="49"/>
        <v>500000</v>
      </c>
      <c r="BO108" s="32">
        <f t="shared" ref="BO108:CT108" si="50">MAX(0,BO106+BO107)</f>
        <v>500000</v>
      </c>
      <c r="BP108" s="32">
        <f t="shared" si="50"/>
        <v>500000</v>
      </c>
      <c r="BQ108" s="32">
        <f t="shared" si="50"/>
        <v>500000</v>
      </c>
      <c r="BR108" s="32">
        <f t="shared" si="50"/>
        <v>500000</v>
      </c>
      <c r="BS108" s="32">
        <f t="shared" si="50"/>
        <v>500000</v>
      </c>
      <c r="BT108" s="32">
        <f t="shared" si="50"/>
        <v>500000</v>
      </c>
      <c r="BU108" s="32">
        <f t="shared" si="50"/>
        <v>500000</v>
      </c>
      <c r="BV108" s="32">
        <f t="shared" si="50"/>
        <v>500000</v>
      </c>
      <c r="BW108" s="32">
        <f t="shared" si="50"/>
        <v>500000</v>
      </c>
      <c r="BX108" s="32">
        <f t="shared" si="50"/>
        <v>500000</v>
      </c>
      <c r="BY108" s="32">
        <f t="shared" si="50"/>
        <v>500000</v>
      </c>
      <c r="BZ108" s="32">
        <f t="shared" si="50"/>
        <v>500000</v>
      </c>
      <c r="CA108" s="32">
        <f t="shared" si="50"/>
        <v>500000</v>
      </c>
      <c r="CB108" s="32">
        <f t="shared" si="50"/>
        <v>500000</v>
      </c>
      <c r="CC108" s="32">
        <f t="shared" si="50"/>
        <v>500000</v>
      </c>
      <c r="CD108" s="32">
        <f t="shared" si="50"/>
        <v>500000</v>
      </c>
      <c r="CE108" s="32">
        <f t="shared" si="50"/>
        <v>500000</v>
      </c>
      <c r="CF108" s="32">
        <f t="shared" si="50"/>
        <v>500000</v>
      </c>
      <c r="CG108" s="32">
        <f t="shared" si="50"/>
        <v>500000</v>
      </c>
      <c r="CH108" s="32">
        <f t="shared" si="50"/>
        <v>500000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201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202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203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204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205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206</v>
      </c>
      <c r="B115" s="40"/>
      <c r="C115" s="41">
        <f t="shared" ref="C115:AH115" si="51">MAX(0,C111+C112+C113+C114)</f>
        <v>0</v>
      </c>
      <c r="D115" s="41">
        <f t="shared" si="51"/>
        <v>0</v>
      </c>
      <c r="E115" s="41">
        <f t="shared" si="51"/>
        <v>0</v>
      </c>
      <c r="F115" s="41">
        <f t="shared" si="51"/>
        <v>0</v>
      </c>
      <c r="G115" s="41">
        <f t="shared" si="51"/>
        <v>0</v>
      </c>
      <c r="H115" s="41">
        <f t="shared" si="51"/>
        <v>0</v>
      </c>
      <c r="I115" s="41">
        <f t="shared" si="51"/>
        <v>0</v>
      </c>
      <c r="J115" s="41">
        <f t="shared" si="51"/>
        <v>0</v>
      </c>
      <c r="K115" s="41">
        <f t="shared" si="51"/>
        <v>0</v>
      </c>
      <c r="L115" s="41">
        <f t="shared" si="51"/>
        <v>0</v>
      </c>
      <c r="M115" s="41">
        <f t="shared" si="51"/>
        <v>0</v>
      </c>
      <c r="N115" s="41">
        <f t="shared" si="51"/>
        <v>0</v>
      </c>
      <c r="O115" s="41">
        <f t="shared" si="51"/>
        <v>0</v>
      </c>
      <c r="P115" s="41">
        <f t="shared" si="51"/>
        <v>0</v>
      </c>
      <c r="Q115" s="41">
        <f t="shared" si="51"/>
        <v>0</v>
      </c>
      <c r="R115" s="41">
        <f t="shared" si="51"/>
        <v>0</v>
      </c>
      <c r="S115" s="41">
        <f t="shared" si="51"/>
        <v>0</v>
      </c>
      <c r="T115" s="41">
        <f t="shared" si="51"/>
        <v>0</v>
      </c>
      <c r="U115" s="41">
        <f t="shared" si="51"/>
        <v>0</v>
      </c>
      <c r="V115" s="41">
        <f t="shared" si="51"/>
        <v>0</v>
      </c>
      <c r="W115" s="41">
        <f t="shared" si="51"/>
        <v>0</v>
      </c>
      <c r="X115" s="41">
        <f t="shared" si="51"/>
        <v>0</v>
      </c>
      <c r="Y115" s="41">
        <f t="shared" si="51"/>
        <v>0</v>
      </c>
      <c r="Z115" s="41">
        <f t="shared" si="51"/>
        <v>0</v>
      </c>
      <c r="AA115" s="41">
        <f t="shared" si="51"/>
        <v>0</v>
      </c>
      <c r="AB115" s="41">
        <f t="shared" si="51"/>
        <v>0</v>
      </c>
      <c r="AC115" s="41">
        <f t="shared" si="51"/>
        <v>0</v>
      </c>
      <c r="AD115" s="41">
        <f t="shared" si="51"/>
        <v>0</v>
      </c>
      <c r="AE115" s="41">
        <f t="shared" si="51"/>
        <v>0</v>
      </c>
      <c r="AF115" s="41">
        <f t="shared" si="51"/>
        <v>0</v>
      </c>
      <c r="AG115" s="41">
        <f t="shared" si="51"/>
        <v>0</v>
      </c>
      <c r="AH115" s="41">
        <f t="shared" si="51"/>
        <v>0</v>
      </c>
      <c r="AI115" s="41">
        <f t="shared" ref="AI115:BN115" si="52">MAX(0,AI111+AI112+AI113+AI114)</f>
        <v>0</v>
      </c>
      <c r="AJ115" s="41">
        <f t="shared" si="52"/>
        <v>0</v>
      </c>
      <c r="AK115" s="41">
        <f t="shared" si="52"/>
        <v>0</v>
      </c>
      <c r="AL115" s="41">
        <f t="shared" si="52"/>
        <v>0</v>
      </c>
      <c r="AM115" s="41">
        <f t="shared" si="52"/>
        <v>0</v>
      </c>
      <c r="AN115" s="41">
        <f t="shared" si="52"/>
        <v>0</v>
      </c>
      <c r="AO115" s="41">
        <f t="shared" si="52"/>
        <v>0</v>
      </c>
      <c r="AP115" s="41">
        <f t="shared" si="52"/>
        <v>0</v>
      </c>
      <c r="AQ115" s="41">
        <f t="shared" si="52"/>
        <v>0</v>
      </c>
      <c r="AR115" s="41">
        <f t="shared" si="52"/>
        <v>0</v>
      </c>
      <c r="AS115" s="41">
        <f t="shared" si="52"/>
        <v>0</v>
      </c>
      <c r="AT115" s="41">
        <f t="shared" si="52"/>
        <v>0</v>
      </c>
      <c r="AU115" s="41">
        <f t="shared" si="52"/>
        <v>0</v>
      </c>
      <c r="AV115" s="41">
        <f t="shared" si="52"/>
        <v>0</v>
      </c>
      <c r="AW115" s="41">
        <f t="shared" si="52"/>
        <v>0</v>
      </c>
      <c r="AX115" s="41">
        <f t="shared" si="52"/>
        <v>0</v>
      </c>
      <c r="AY115" s="41">
        <f t="shared" si="52"/>
        <v>0</v>
      </c>
      <c r="AZ115" s="41">
        <f t="shared" si="52"/>
        <v>0</v>
      </c>
      <c r="BA115" s="41">
        <f t="shared" si="52"/>
        <v>0</v>
      </c>
      <c r="BB115" s="41">
        <f t="shared" si="52"/>
        <v>0</v>
      </c>
      <c r="BC115" s="41">
        <f t="shared" si="52"/>
        <v>0</v>
      </c>
      <c r="BD115" s="41">
        <f t="shared" si="52"/>
        <v>0</v>
      </c>
      <c r="BE115" s="41">
        <f t="shared" si="52"/>
        <v>0</v>
      </c>
      <c r="BF115" s="41">
        <f t="shared" si="52"/>
        <v>0</v>
      </c>
      <c r="BG115" s="41">
        <f t="shared" si="52"/>
        <v>0</v>
      </c>
      <c r="BH115" s="41">
        <f t="shared" si="52"/>
        <v>0</v>
      </c>
      <c r="BI115" s="41">
        <f t="shared" si="52"/>
        <v>0</v>
      </c>
      <c r="BJ115" s="41">
        <f t="shared" si="52"/>
        <v>0</v>
      </c>
      <c r="BK115" s="41">
        <f t="shared" si="52"/>
        <v>0</v>
      </c>
      <c r="BL115" s="41">
        <f t="shared" si="52"/>
        <v>0</v>
      </c>
      <c r="BM115" s="41">
        <f t="shared" si="52"/>
        <v>0</v>
      </c>
      <c r="BN115" s="41">
        <f t="shared" si="52"/>
        <v>0</v>
      </c>
      <c r="BO115" s="41">
        <f t="shared" ref="BO115:CT115" si="53">MAX(0,BO111+BO112+BO113+BO114)</f>
        <v>0</v>
      </c>
      <c r="BP115" s="41">
        <f t="shared" si="53"/>
        <v>0</v>
      </c>
      <c r="BQ115" s="41">
        <f t="shared" si="53"/>
        <v>0</v>
      </c>
      <c r="BR115" s="41">
        <f t="shared" si="53"/>
        <v>0</v>
      </c>
      <c r="BS115" s="41">
        <f t="shared" si="53"/>
        <v>0</v>
      </c>
      <c r="BT115" s="41">
        <f t="shared" si="53"/>
        <v>0</v>
      </c>
      <c r="BU115" s="41">
        <f t="shared" si="53"/>
        <v>0</v>
      </c>
      <c r="BV115" s="41">
        <f t="shared" si="53"/>
        <v>0</v>
      </c>
      <c r="BW115" s="41">
        <f t="shared" si="53"/>
        <v>0</v>
      </c>
      <c r="BX115" s="41">
        <f t="shared" si="53"/>
        <v>0</v>
      </c>
      <c r="BY115" s="41">
        <f t="shared" si="53"/>
        <v>0</v>
      </c>
      <c r="BZ115" s="41">
        <f t="shared" si="53"/>
        <v>0</v>
      </c>
      <c r="CA115" s="41">
        <f t="shared" si="53"/>
        <v>0</v>
      </c>
      <c r="CB115" s="41">
        <f t="shared" si="53"/>
        <v>0</v>
      </c>
      <c r="CC115" s="41">
        <f t="shared" si="53"/>
        <v>0</v>
      </c>
      <c r="CD115" s="41">
        <f t="shared" si="53"/>
        <v>0</v>
      </c>
      <c r="CE115" s="41">
        <f t="shared" si="53"/>
        <v>0</v>
      </c>
      <c r="CF115" s="41">
        <f t="shared" si="53"/>
        <v>0</v>
      </c>
      <c r="CG115" s="41">
        <f t="shared" si="53"/>
        <v>0</v>
      </c>
      <c r="CH115" s="41">
        <f t="shared" si="53"/>
        <v>0</v>
      </c>
      <c r="CI115" s="23"/>
    </row>
    <row r="116" spans="1:87" ht="15" customHeight="1" x14ac:dyDescent="0.25">
      <c r="A116" s="7" t="s">
        <v>207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208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209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210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211</v>
      </c>
      <c r="B120" s="40"/>
      <c r="C120" s="41">
        <f t="shared" ref="C120:AH120" si="54">MAX(0,C116+C117+C118+C119)</f>
        <v>0</v>
      </c>
      <c r="D120" s="41">
        <f t="shared" si="54"/>
        <v>0</v>
      </c>
      <c r="E120" s="41">
        <f t="shared" si="54"/>
        <v>0</v>
      </c>
      <c r="F120" s="41">
        <f t="shared" si="54"/>
        <v>0</v>
      </c>
      <c r="G120" s="41">
        <f t="shared" si="54"/>
        <v>0</v>
      </c>
      <c r="H120" s="41">
        <f t="shared" si="54"/>
        <v>0</v>
      </c>
      <c r="I120" s="41">
        <f t="shared" si="54"/>
        <v>0</v>
      </c>
      <c r="J120" s="41">
        <f t="shared" si="54"/>
        <v>0</v>
      </c>
      <c r="K120" s="41">
        <f t="shared" si="54"/>
        <v>0</v>
      </c>
      <c r="L120" s="41">
        <f t="shared" si="54"/>
        <v>0</v>
      </c>
      <c r="M120" s="41">
        <f t="shared" si="54"/>
        <v>0</v>
      </c>
      <c r="N120" s="41">
        <f t="shared" si="54"/>
        <v>0</v>
      </c>
      <c r="O120" s="41">
        <f t="shared" si="54"/>
        <v>0</v>
      </c>
      <c r="P120" s="41">
        <f t="shared" si="54"/>
        <v>0</v>
      </c>
      <c r="Q120" s="41">
        <f t="shared" si="54"/>
        <v>0</v>
      </c>
      <c r="R120" s="41">
        <f t="shared" si="54"/>
        <v>0</v>
      </c>
      <c r="S120" s="41">
        <f t="shared" si="54"/>
        <v>0</v>
      </c>
      <c r="T120" s="41">
        <f t="shared" si="54"/>
        <v>0</v>
      </c>
      <c r="U120" s="41">
        <f t="shared" si="54"/>
        <v>0</v>
      </c>
      <c r="V120" s="41">
        <f t="shared" si="54"/>
        <v>0</v>
      </c>
      <c r="W120" s="41">
        <f t="shared" si="54"/>
        <v>0</v>
      </c>
      <c r="X120" s="41">
        <f t="shared" si="54"/>
        <v>0</v>
      </c>
      <c r="Y120" s="41">
        <f t="shared" si="54"/>
        <v>0</v>
      </c>
      <c r="Z120" s="41">
        <f t="shared" si="54"/>
        <v>0</v>
      </c>
      <c r="AA120" s="41">
        <f t="shared" si="54"/>
        <v>0</v>
      </c>
      <c r="AB120" s="41">
        <f t="shared" si="54"/>
        <v>0</v>
      </c>
      <c r="AC120" s="41">
        <f t="shared" si="54"/>
        <v>0</v>
      </c>
      <c r="AD120" s="41">
        <f t="shared" si="54"/>
        <v>0</v>
      </c>
      <c r="AE120" s="41">
        <f t="shared" si="54"/>
        <v>0</v>
      </c>
      <c r="AF120" s="41">
        <f t="shared" si="54"/>
        <v>0</v>
      </c>
      <c r="AG120" s="41">
        <f t="shared" si="54"/>
        <v>0</v>
      </c>
      <c r="AH120" s="41">
        <f t="shared" si="54"/>
        <v>0</v>
      </c>
      <c r="AI120" s="41">
        <f t="shared" ref="AI120:BN120" si="55">MAX(0,AI116+AI117+AI118+AI119)</f>
        <v>0</v>
      </c>
      <c r="AJ120" s="41">
        <f t="shared" si="55"/>
        <v>0</v>
      </c>
      <c r="AK120" s="41">
        <f t="shared" si="55"/>
        <v>0</v>
      </c>
      <c r="AL120" s="41">
        <f t="shared" si="55"/>
        <v>0</v>
      </c>
      <c r="AM120" s="41">
        <f t="shared" si="55"/>
        <v>0</v>
      </c>
      <c r="AN120" s="41">
        <f t="shared" si="55"/>
        <v>0</v>
      </c>
      <c r="AO120" s="41">
        <f t="shared" si="55"/>
        <v>0</v>
      </c>
      <c r="AP120" s="41">
        <f t="shared" si="55"/>
        <v>0</v>
      </c>
      <c r="AQ120" s="41">
        <f t="shared" si="55"/>
        <v>0</v>
      </c>
      <c r="AR120" s="41">
        <f t="shared" si="55"/>
        <v>0</v>
      </c>
      <c r="AS120" s="41">
        <f t="shared" si="55"/>
        <v>0</v>
      </c>
      <c r="AT120" s="41">
        <f t="shared" si="55"/>
        <v>0</v>
      </c>
      <c r="AU120" s="41">
        <f t="shared" si="55"/>
        <v>0</v>
      </c>
      <c r="AV120" s="41">
        <f t="shared" si="55"/>
        <v>0</v>
      </c>
      <c r="AW120" s="41">
        <f t="shared" si="55"/>
        <v>0</v>
      </c>
      <c r="AX120" s="41">
        <f t="shared" si="55"/>
        <v>0</v>
      </c>
      <c r="AY120" s="41">
        <f t="shared" si="55"/>
        <v>0</v>
      </c>
      <c r="AZ120" s="41">
        <f t="shared" si="55"/>
        <v>0</v>
      </c>
      <c r="BA120" s="41">
        <f t="shared" si="55"/>
        <v>0</v>
      </c>
      <c r="BB120" s="41">
        <f t="shared" si="55"/>
        <v>0</v>
      </c>
      <c r="BC120" s="41">
        <f t="shared" si="55"/>
        <v>0</v>
      </c>
      <c r="BD120" s="41">
        <f t="shared" si="55"/>
        <v>0</v>
      </c>
      <c r="BE120" s="41">
        <f t="shared" si="55"/>
        <v>0</v>
      </c>
      <c r="BF120" s="41">
        <f t="shared" si="55"/>
        <v>0</v>
      </c>
      <c r="BG120" s="41">
        <f t="shared" si="55"/>
        <v>0</v>
      </c>
      <c r="BH120" s="41">
        <f t="shared" si="55"/>
        <v>0</v>
      </c>
      <c r="BI120" s="41">
        <f t="shared" si="55"/>
        <v>0</v>
      </c>
      <c r="BJ120" s="41">
        <f t="shared" si="55"/>
        <v>0</v>
      </c>
      <c r="BK120" s="41">
        <f t="shared" si="55"/>
        <v>0</v>
      </c>
      <c r="BL120" s="41">
        <f t="shared" si="55"/>
        <v>0</v>
      </c>
      <c r="BM120" s="41">
        <f t="shared" si="55"/>
        <v>0</v>
      </c>
      <c r="BN120" s="41">
        <f t="shared" si="55"/>
        <v>0</v>
      </c>
      <c r="BO120" s="41">
        <f t="shared" ref="BO120:CT120" si="56">MAX(0,BO116+BO117+BO118+BO119)</f>
        <v>0</v>
      </c>
      <c r="BP120" s="41">
        <f t="shared" si="56"/>
        <v>0</v>
      </c>
      <c r="BQ120" s="41">
        <f t="shared" si="56"/>
        <v>0</v>
      </c>
      <c r="BR120" s="41">
        <f t="shared" si="56"/>
        <v>0</v>
      </c>
      <c r="BS120" s="41">
        <f t="shared" si="56"/>
        <v>0</v>
      </c>
      <c r="BT120" s="41">
        <f t="shared" si="56"/>
        <v>0</v>
      </c>
      <c r="BU120" s="41">
        <f t="shared" si="56"/>
        <v>0</v>
      </c>
      <c r="BV120" s="41">
        <f t="shared" si="56"/>
        <v>0</v>
      </c>
      <c r="BW120" s="41">
        <f t="shared" si="56"/>
        <v>0</v>
      </c>
      <c r="BX120" s="41">
        <f t="shared" si="56"/>
        <v>0</v>
      </c>
      <c r="BY120" s="41">
        <f t="shared" si="56"/>
        <v>0</v>
      </c>
      <c r="BZ120" s="41">
        <f t="shared" si="56"/>
        <v>0</v>
      </c>
      <c r="CA120" s="41">
        <f t="shared" si="56"/>
        <v>0</v>
      </c>
      <c r="CB120" s="41">
        <f t="shared" si="56"/>
        <v>0</v>
      </c>
      <c r="CC120" s="41">
        <f t="shared" si="56"/>
        <v>0</v>
      </c>
      <c r="CD120" s="41">
        <f t="shared" si="56"/>
        <v>0</v>
      </c>
      <c r="CE120" s="41">
        <f t="shared" si="56"/>
        <v>0</v>
      </c>
      <c r="CF120" s="41">
        <f t="shared" si="56"/>
        <v>0</v>
      </c>
      <c r="CG120" s="41">
        <f t="shared" si="56"/>
        <v>0</v>
      </c>
      <c r="CH120" s="41">
        <f t="shared" si="56"/>
        <v>0</v>
      </c>
      <c r="CI120" s="23"/>
    </row>
    <row r="121" spans="1:87" ht="15" customHeight="1" x14ac:dyDescent="0.25">
      <c r="A121" s="42" t="s">
        <v>212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1084171.7712814482</v>
      </c>
      <c r="Z121" s="43">
        <f>Y125</f>
        <v>1084171.7712814482</v>
      </c>
      <c r="AA121" s="43">
        <f>Z125</f>
        <v>1124828.2127045025</v>
      </c>
      <c r="AB121" s="43">
        <f>AA125</f>
        <v>1124828.2127045025</v>
      </c>
      <c r="AC121" s="43">
        <f>IF(Projects!$G$14="Yes",AB125+Assumptions!$B$76,AB125)</f>
        <v>2007918.7127045025</v>
      </c>
      <c r="AD121" s="43">
        <f t="shared" ref="AD121:BI121" si="57">AC125</f>
        <v>283215.66443092143</v>
      </c>
      <c r="AE121" s="43">
        <f t="shared" si="57"/>
        <v>283215.66443092143</v>
      </c>
      <c r="AF121" s="43">
        <f t="shared" si="57"/>
        <v>283215.66443092143</v>
      </c>
      <c r="AG121" s="43">
        <f t="shared" si="57"/>
        <v>293836.251847081</v>
      </c>
      <c r="AH121" s="43">
        <f t="shared" si="57"/>
        <v>293836.251847081</v>
      </c>
      <c r="AI121" s="43">
        <f t="shared" si="57"/>
        <v>293836.251847081</v>
      </c>
      <c r="AJ121" s="43">
        <f t="shared" si="57"/>
        <v>304855.11129134655</v>
      </c>
      <c r="AK121" s="43">
        <f t="shared" si="57"/>
        <v>304855.11129134655</v>
      </c>
      <c r="AL121" s="43">
        <f t="shared" si="57"/>
        <v>304855.11129134655</v>
      </c>
      <c r="AM121" s="43">
        <f t="shared" si="57"/>
        <v>316287.17796477204</v>
      </c>
      <c r="AN121" s="43">
        <f t="shared" si="57"/>
        <v>316287.17796477204</v>
      </c>
      <c r="AO121" s="43">
        <f t="shared" si="57"/>
        <v>316287.17796477204</v>
      </c>
      <c r="AP121" s="43">
        <f t="shared" si="57"/>
        <v>328147.94713845098</v>
      </c>
      <c r="AQ121" s="43">
        <f t="shared" si="57"/>
        <v>328147.94713845098</v>
      </c>
      <c r="AR121" s="43">
        <f t="shared" si="57"/>
        <v>328147.94713845098</v>
      </c>
      <c r="AS121" s="43">
        <f t="shared" si="57"/>
        <v>340453.49515614292</v>
      </c>
      <c r="AT121" s="43">
        <f t="shared" si="57"/>
        <v>340453.49515614292</v>
      </c>
      <c r="AU121" s="43">
        <f t="shared" si="57"/>
        <v>340453.49515614292</v>
      </c>
      <c r="AV121" s="43">
        <f t="shared" si="57"/>
        <v>353220.50122449826</v>
      </c>
      <c r="AW121" s="43">
        <f t="shared" si="57"/>
        <v>353220.50122449826</v>
      </c>
      <c r="AX121" s="43">
        <f t="shared" si="57"/>
        <v>353220.50122449826</v>
      </c>
      <c r="AY121" s="43">
        <f t="shared" si="57"/>
        <v>366466.27002041694</v>
      </c>
      <c r="AZ121" s="43">
        <f t="shared" si="57"/>
        <v>366466.27002041694</v>
      </c>
      <c r="BA121" s="43">
        <f t="shared" si="57"/>
        <v>366466.27002041694</v>
      </c>
      <c r="BB121" s="43">
        <f t="shared" si="57"/>
        <v>380208.75514618255</v>
      </c>
      <c r="BC121" s="43">
        <f t="shared" si="57"/>
        <v>380208.75514618255</v>
      </c>
      <c r="BD121" s="43">
        <f t="shared" si="57"/>
        <v>380208.75514618255</v>
      </c>
      <c r="BE121" s="43">
        <f t="shared" si="57"/>
        <v>394466.5834641644</v>
      </c>
      <c r="BF121" s="43">
        <f t="shared" si="57"/>
        <v>394466.5834641644</v>
      </c>
      <c r="BG121" s="43">
        <f t="shared" si="57"/>
        <v>394466.5834641644</v>
      </c>
      <c r="BH121" s="43">
        <f t="shared" si="57"/>
        <v>409259.08034407056</v>
      </c>
      <c r="BI121" s="43">
        <f t="shared" si="57"/>
        <v>409259.08034407056</v>
      </c>
      <c r="BJ121" s="43">
        <f t="shared" ref="BJ121:CH121" si="58">BI125</f>
        <v>409259.08034407056</v>
      </c>
      <c r="BK121" s="43">
        <f t="shared" si="58"/>
        <v>424606.29585697321</v>
      </c>
      <c r="BL121" s="43">
        <f t="shared" si="58"/>
        <v>424606.29585697321</v>
      </c>
      <c r="BM121" s="43">
        <f t="shared" si="58"/>
        <v>424606.29585697321</v>
      </c>
      <c r="BN121" s="43">
        <f t="shared" si="58"/>
        <v>440529.03195160971</v>
      </c>
      <c r="BO121" s="43">
        <f t="shared" si="58"/>
        <v>440529.03195160971</v>
      </c>
      <c r="BP121" s="43">
        <f t="shared" si="58"/>
        <v>440529.03195160971</v>
      </c>
      <c r="BQ121" s="43">
        <f t="shared" si="58"/>
        <v>457048.87064979505</v>
      </c>
      <c r="BR121" s="43">
        <f t="shared" si="58"/>
        <v>457048.87064979505</v>
      </c>
      <c r="BS121" s="43">
        <f t="shared" si="58"/>
        <v>457048.87064979505</v>
      </c>
      <c r="BT121" s="43">
        <f t="shared" si="58"/>
        <v>474188.20329916239</v>
      </c>
      <c r="BU121" s="43">
        <f t="shared" si="58"/>
        <v>474188.20329916239</v>
      </c>
      <c r="BV121" s="43">
        <f t="shared" si="58"/>
        <v>474188.20329916239</v>
      </c>
      <c r="BW121" s="43">
        <f t="shared" si="58"/>
        <v>491970.26092288096</v>
      </c>
      <c r="BX121" s="43">
        <f t="shared" si="58"/>
        <v>491970.26092288096</v>
      </c>
      <c r="BY121" s="43">
        <f t="shared" si="58"/>
        <v>491970.26092288096</v>
      </c>
      <c r="BZ121" s="43">
        <f t="shared" si="58"/>
        <v>510419.14570748899</v>
      </c>
      <c r="CA121" s="43">
        <f t="shared" si="58"/>
        <v>510419.14570748899</v>
      </c>
      <c r="CB121" s="43">
        <f t="shared" si="58"/>
        <v>510419.14570748899</v>
      </c>
      <c r="CC121" s="43">
        <f t="shared" si="58"/>
        <v>529559.86367151979</v>
      </c>
      <c r="CD121" s="43">
        <f t="shared" si="58"/>
        <v>529559.86367151979</v>
      </c>
      <c r="CE121" s="43">
        <f t="shared" si="58"/>
        <v>529559.86367151979</v>
      </c>
      <c r="CF121" s="43">
        <f t="shared" si="58"/>
        <v>549418.35855920182</v>
      </c>
      <c r="CG121" s="43">
        <f t="shared" si="58"/>
        <v>549418.35855920182</v>
      </c>
      <c r="CH121" s="43">
        <f t="shared" si="58"/>
        <v>549418.35855920182</v>
      </c>
      <c r="CI121" s="23"/>
    </row>
    <row r="122" spans="1:87" ht="15" customHeight="1" x14ac:dyDescent="0.25">
      <c r="A122" s="42" t="s">
        <v>213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40656.441423054304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75296.951726418847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10620.587416159553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11018.859444265538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11432.066673425496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11860.769173678951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12305.548017691912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12767.006068355358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13245.768795918684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13742.485125765636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14257.828317981845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14792.496879906164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15347.215512902645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15922.736094636495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16519.838698185362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17139.332649367312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17782.057623718589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18448.884784608035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19140.717964030835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19858.494887681991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20603.188445970067</v>
      </c>
      <c r="CI122" s="23"/>
    </row>
    <row r="123" spans="1:87" ht="15" customHeight="1" x14ac:dyDescent="0.25">
      <c r="A123" s="42" t="s">
        <v>214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215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0</v>
      </c>
      <c r="Y124" s="45">
        <f>-MIN(Y121+Y122+Y123,MAX(0,Y62-Helpers!Y26))</f>
        <v>0</v>
      </c>
      <c r="Z124" s="45">
        <f>-MIN(Z121+Z122+Z123,MAX(0,Z62-Helpers!Z26))</f>
        <v>0</v>
      </c>
      <c r="AA124" s="45">
        <f>-MIN(AA121+AA122+AA123,MAX(0,AA62-Helpers!AA26))</f>
        <v>0</v>
      </c>
      <c r="AB124" s="45">
        <f>-MIN(AB121+AB122+AB123,MAX(0,AB62-Helpers!AB26))</f>
        <v>0</v>
      </c>
      <c r="AC124" s="45">
        <f>-MIN(AC121+AC122+AC123,MAX(0,AC62-Helpers!AC26))</f>
        <v>0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216</v>
      </c>
      <c r="B125" s="40"/>
      <c r="C125" s="41">
        <f t="shared" ref="C125:AH125" si="59">MAX(0,C121+C122+C123+C124)</f>
        <v>264927.15000000002</v>
      </c>
      <c r="D125" s="41">
        <f t="shared" si="59"/>
        <v>264927.15000000002</v>
      </c>
      <c r="E125" s="41">
        <f t="shared" si="59"/>
        <v>458103.19687500002</v>
      </c>
      <c r="F125" s="41">
        <f t="shared" si="59"/>
        <v>458103.19687500002</v>
      </c>
      <c r="G125" s="41">
        <f t="shared" si="59"/>
        <v>458103.19687500002</v>
      </c>
      <c r="H125" s="41">
        <f t="shared" si="59"/>
        <v>658523.34550781245</v>
      </c>
      <c r="I125" s="41">
        <f t="shared" si="59"/>
        <v>658523.34550781245</v>
      </c>
      <c r="J125" s="41">
        <f t="shared" si="59"/>
        <v>658523.34550781245</v>
      </c>
      <c r="K125" s="41">
        <f t="shared" si="59"/>
        <v>683217.97096435539</v>
      </c>
      <c r="L125" s="41">
        <f t="shared" si="59"/>
        <v>771527.02096435544</v>
      </c>
      <c r="M125" s="41">
        <f t="shared" si="59"/>
        <v>771527.02096435544</v>
      </c>
      <c r="N125" s="41">
        <f t="shared" si="59"/>
        <v>800459.28425051877</v>
      </c>
      <c r="O125" s="41">
        <f t="shared" si="59"/>
        <v>800459.28425051877</v>
      </c>
      <c r="P125" s="41">
        <f t="shared" si="59"/>
        <v>800459.28425051877</v>
      </c>
      <c r="Q125" s="41">
        <f t="shared" si="59"/>
        <v>922097.14678491326</v>
      </c>
      <c r="R125" s="41">
        <f t="shared" si="59"/>
        <v>922097.14678491326</v>
      </c>
      <c r="S125" s="41">
        <f t="shared" si="59"/>
        <v>922097.14678491326</v>
      </c>
      <c r="T125" s="41">
        <f t="shared" si="59"/>
        <v>956675.78978934756</v>
      </c>
      <c r="U125" s="41">
        <f t="shared" si="59"/>
        <v>956675.78978934756</v>
      </c>
      <c r="V125" s="41">
        <f t="shared" si="59"/>
        <v>956675.78978934756</v>
      </c>
      <c r="W125" s="41">
        <f t="shared" si="59"/>
        <v>1084171.7712814482</v>
      </c>
      <c r="X125" s="41">
        <f t="shared" si="59"/>
        <v>1084171.7712814482</v>
      </c>
      <c r="Y125" s="41">
        <f t="shared" si="59"/>
        <v>1084171.7712814482</v>
      </c>
      <c r="Z125" s="41">
        <f t="shared" si="59"/>
        <v>1124828.2127045025</v>
      </c>
      <c r="AA125" s="41">
        <f t="shared" si="59"/>
        <v>1124828.2127045025</v>
      </c>
      <c r="AB125" s="41">
        <f t="shared" si="59"/>
        <v>1124828.2127045025</v>
      </c>
      <c r="AC125" s="41">
        <f t="shared" si="59"/>
        <v>283215.66443092143</v>
      </c>
      <c r="AD125" s="41">
        <f t="shared" si="59"/>
        <v>283215.66443092143</v>
      </c>
      <c r="AE125" s="41">
        <f t="shared" si="59"/>
        <v>283215.66443092143</v>
      </c>
      <c r="AF125" s="41">
        <f t="shared" si="59"/>
        <v>293836.251847081</v>
      </c>
      <c r="AG125" s="41">
        <f t="shared" si="59"/>
        <v>293836.251847081</v>
      </c>
      <c r="AH125" s="41">
        <f t="shared" si="59"/>
        <v>293836.251847081</v>
      </c>
      <c r="AI125" s="41">
        <f t="shared" ref="AI125:BN125" si="60">MAX(0,AI121+AI122+AI123+AI124)</f>
        <v>304855.11129134655</v>
      </c>
      <c r="AJ125" s="41">
        <f t="shared" si="60"/>
        <v>304855.11129134655</v>
      </c>
      <c r="AK125" s="41">
        <f t="shared" si="60"/>
        <v>304855.11129134655</v>
      </c>
      <c r="AL125" s="41">
        <f t="shared" si="60"/>
        <v>316287.17796477204</v>
      </c>
      <c r="AM125" s="41">
        <f t="shared" si="60"/>
        <v>316287.17796477204</v>
      </c>
      <c r="AN125" s="41">
        <f t="shared" si="60"/>
        <v>316287.17796477204</v>
      </c>
      <c r="AO125" s="41">
        <f t="shared" si="60"/>
        <v>328147.94713845098</v>
      </c>
      <c r="AP125" s="41">
        <f t="shared" si="60"/>
        <v>328147.94713845098</v>
      </c>
      <c r="AQ125" s="41">
        <f t="shared" si="60"/>
        <v>328147.94713845098</v>
      </c>
      <c r="AR125" s="41">
        <f t="shared" si="60"/>
        <v>340453.49515614292</v>
      </c>
      <c r="AS125" s="41">
        <f t="shared" si="60"/>
        <v>340453.49515614292</v>
      </c>
      <c r="AT125" s="41">
        <f t="shared" si="60"/>
        <v>340453.49515614292</v>
      </c>
      <c r="AU125" s="41">
        <f t="shared" si="60"/>
        <v>353220.50122449826</v>
      </c>
      <c r="AV125" s="41">
        <f t="shared" si="60"/>
        <v>353220.50122449826</v>
      </c>
      <c r="AW125" s="41">
        <f t="shared" si="60"/>
        <v>353220.50122449826</v>
      </c>
      <c r="AX125" s="41">
        <f t="shared" si="60"/>
        <v>366466.27002041694</v>
      </c>
      <c r="AY125" s="41">
        <f t="shared" si="60"/>
        <v>366466.27002041694</v>
      </c>
      <c r="AZ125" s="41">
        <f t="shared" si="60"/>
        <v>366466.27002041694</v>
      </c>
      <c r="BA125" s="41">
        <f t="shared" si="60"/>
        <v>380208.75514618255</v>
      </c>
      <c r="BB125" s="41">
        <f t="shared" si="60"/>
        <v>380208.75514618255</v>
      </c>
      <c r="BC125" s="41">
        <f t="shared" si="60"/>
        <v>380208.75514618255</v>
      </c>
      <c r="BD125" s="41">
        <f t="shared" si="60"/>
        <v>394466.5834641644</v>
      </c>
      <c r="BE125" s="41">
        <f t="shared" si="60"/>
        <v>394466.5834641644</v>
      </c>
      <c r="BF125" s="41">
        <f t="shared" si="60"/>
        <v>394466.5834641644</v>
      </c>
      <c r="BG125" s="41">
        <f t="shared" si="60"/>
        <v>409259.08034407056</v>
      </c>
      <c r="BH125" s="41">
        <f t="shared" si="60"/>
        <v>409259.08034407056</v>
      </c>
      <c r="BI125" s="41">
        <f t="shared" si="60"/>
        <v>409259.08034407056</v>
      </c>
      <c r="BJ125" s="41">
        <f t="shared" si="60"/>
        <v>424606.29585697321</v>
      </c>
      <c r="BK125" s="41">
        <f t="shared" si="60"/>
        <v>424606.29585697321</v>
      </c>
      <c r="BL125" s="41">
        <f t="shared" si="60"/>
        <v>424606.29585697321</v>
      </c>
      <c r="BM125" s="41">
        <f t="shared" si="60"/>
        <v>440529.03195160971</v>
      </c>
      <c r="BN125" s="41">
        <f t="shared" si="60"/>
        <v>440529.03195160971</v>
      </c>
      <c r="BO125" s="41">
        <f t="shared" ref="BO125:CT125" si="61">MAX(0,BO121+BO122+BO123+BO124)</f>
        <v>440529.03195160971</v>
      </c>
      <c r="BP125" s="41">
        <f t="shared" si="61"/>
        <v>457048.87064979505</v>
      </c>
      <c r="BQ125" s="41">
        <f t="shared" si="61"/>
        <v>457048.87064979505</v>
      </c>
      <c r="BR125" s="41">
        <f t="shared" si="61"/>
        <v>457048.87064979505</v>
      </c>
      <c r="BS125" s="41">
        <f t="shared" si="61"/>
        <v>474188.20329916239</v>
      </c>
      <c r="BT125" s="41">
        <f t="shared" si="61"/>
        <v>474188.20329916239</v>
      </c>
      <c r="BU125" s="41">
        <f t="shared" si="61"/>
        <v>474188.20329916239</v>
      </c>
      <c r="BV125" s="41">
        <f t="shared" si="61"/>
        <v>491970.26092288096</v>
      </c>
      <c r="BW125" s="41">
        <f t="shared" si="61"/>
        <v>491970.26092288096</v>
      </c>
      <c r="BX125" s="41">
        <f t="shared" si="61"/>
        <v>491970.26092288096</v>
      </c>
      <c r="BY125" s="41">
        <f t="shared" si="61"/>
        <v>510419.14570748899</v>
      </c>
      <c r="BZ125" s="41">
        <f t="shared" si="61"/>
        <v>510419.14570748899</v>
      </c>
      <c r="CA125" s="41">
        <f t="shared" si="61"/>
        <v>510419.14570748899</v>
      </c>
      <c r="CB125" s="41">
        <f t="shared" si="61"/>
        <v>529559.86367151979</v>
      </c>
      <c r="CC125" s="41">
        <f t="shared" si="61"/>
        <v>529559.86367151979</v>
      </c>
      <c r="CD125" s="41">
        <f t="shared" si="61"/>
        <v>529559.86367151979</v>
      </c>
      <c r="CE125" s="41">
        <f t="shared" si="61"/>
        <v>549418.35855920182</v>
      </c>
      <c r="CF125" s="41">
        <f t="shared" si="61"/>
        <v>549418.35855920182</v>
      </c>
      <c r="CG125" s="41">
        <f t="shared" si="61"/>
        <v>549418.35855920182</v>
      </c>
      <c r="CH125" s="41">
        <f t="shared" si="61"/>
        <v>570021.54700517189</v>
      </c>
      <c r="CI125" s="23"/>
    </row>
    <row r="126" spans="1:87" ht="15" customHeight="1" x14ac:dyDescent="0.25">
      <c r="A126" s="42" t="s">
        <v>217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218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219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220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221</v>
      </c>
      <c r="B130" s="47"/>
      <c r="C130" s="48">
        <f t="shared" ref="C130:AH130" si="62">MAX(0,C126+C127+C128+C129)</f>
        <v>1134000</v>
      </c>
      <c r="D130" s="48">
        <f t="shared" si="62"/>
        <v>1184000</v>
      </c>
      <c r="E130" s="48">
        <f t="shared" si="62"/>
        <v>1280275</v>
      </c>
      <c r="F130" s="48">
        <f t="shared" si="62"/>
        <v>1330275</v>
      </c>
      <c r="G130" s="48">
        <f t="shared" si="62"/>
        <v>1380275</v>
      </c>
      <c r="H130" s="48">
        <f t="shared" si="62"/>
        <v>1483910.3125</v>
      </c>
      <c r="I130" s="48">
        <f t="shared" si="62"/>
        <v>1533910.3125</v>
      </c>
      <c r="J130" s="48">
        <f t="shared" si="62"/>
        <v>1583910.3125</v>
      </c>
      <c r="K130" s="48">
        <f t="shared" si="62"/>
        <v>1695181.94921875</v>
      </c>
      <c r="L130" s="48">
        <f t="shared" si="62"/>
        <v>1745181.94921875</v>
      </c>
      <c r="M130" s="48">
        <f t="shared" si="62"/>
        <v>1795181.94921875</v>
      </c>
      <c r="N130" s="48">
        <f t="shared" si="62"/>
        <v>1914376.272314453</v>
      </c>
      <c r="O130" s="48">
        <f t="shared" si="62"/>
        <v>514376.27231445303</v>
      </c>
      <c r="P130" s="48">
        <f t="shared" si="62"/>
        <v>564376.27231445303</v>
      </c>
      <c r="Q130" s="48">
        <f t="shared" si="62"/>
        <v>585540.38252624497</v>
      </c>
      <c r="R130" s="48">
        <f t="shared" si="62"/>
        <v>585540.38252624497</v>
      </c>
      <c r="S130" s="48">
        <f t="shared" si="62"/>
        <v>585540.38252624497</v>
      </c>
      <c r="T130" s="48">
        <f t="shared" si="62"/>
        <v>607498.14687097911</v>
      </c>
      <c r="U130" s="48">
        <f t="shared" si="62"/>
        <v>607498.14687097911</v>
      </c>
      <c r="V130" s="48">
        <f t="shared" si="62"/>
        <v>607498.14687097911</v>
      </c>
      <c r="W130" s="48">
        <f t="shared" si="62"/>
        <v>630279.32737864088</v>
      </c>
      <c r="X130" s="48">
        <f t="shared" si="62"/>
        <v>630279.32737864088</v>
      </c>
      <c r="Y130" s="48">
        <f t="shared" si="62"/>
        <v>630279.32737864088</v>
      </c>
      <c r="Z130" s="48">
        <f t="shared" si="62"/>
        <v>653914.80215533986</v>
      </c>
      <c r="AA130" s="48">
        <f t="shared" si="62"/>
        <v>653914.80215533986</v>
      </c>
      <c r="AB130" s="48">
        <f t="shared" si="62"/>
        <v>653914.80215533986</v>
      </c>
      <c r="AC130" s="48">
        <f t="shared" si="62"/>
        <v>678436.60723616509</v>
      </c>
      <c r="AD130" s="48">
        <f t="shared" si="62"/>
        <v>678436.60723616509</v>
      </c>
      <c r="AE130" s="48">
        <f t="shared" si="62"/>
        <v>678436.60723616509</v>
      </c>
      <c r="AF130" s="48">
        <f t="shared" si="62"/>
        <v>703877.98000752123</v>
      </c>
      <c r="AG130" s="48">
        <f t="shared" si="62"/>
        <v>703877.98000752123</v>
      </c>
      <c r="AH130" s="48">
        <f t="shared" si="62"/>
        <v>703877.98000752123</v>
      </c>
      <c r="AI130" s="48">
        <f t="shared" ref="AI130:BN130" si="63">MAX(0,AI126+AI127+AI128+AI129)</f>
        <v>730273.40425780322</v>
      </c>
      <c r="AJ130" s="48">
        <f t="shared" si="63"/>
        <v>730273.40425780322</v>
      </c>
      <c r="AK130" s="48">
        <f t="shared" si="63"/>
        <v>730273.40425780322</v>
      </c>
      <c r="AL130" s="48">
        <f t="shared" si="63"/>
        <v>757658.65691747086</v>
      </c>
      <c r="AM130" s="48">
        <f t="shared" si="63"/>
        <v>757658.65691747086</v>
      </c>
      <c r="AN130" s="48">
        <f t="shared" si="63"/>
        <v>757658.65691747086</v>
      </c>
      <c r="AO130" s="48">
        <f t="shared" si="63"/>
        <v>786070.85655187606</v>
      </c>
      <c r="AP130" s="48">
        <f t="shared" si="63"/>
        <v>786070.85655187606</v>
      </c>
      <c r="AQ130" s="48">
        <f t="shared" si="63"/>
        <v>786070.85655187606</v>
      </c>
      <c r="AR130" s="48">
        <f t="shared" si="63"/>
        <v>815548.5136725714</v>
      </c>
      <c r="AS130" s="48">
        <f t="shared" si="63"/>
        <v>815548.5136725714</v>
      </c>
      <c r="AT130" s="48">
        <f t="shared" si="63"/>
        <v>815548.5136725714</v>
      </c>
      <c r="AU130" s="48">
        <f t="shared" si="63"/>
        <v>846131.58293529286</v>
      </c>
      <c r="AV130" s="48">
        <f t="shared" si="63"/>
        <v>846131.58293529286</v>
      </c>
      <c r="AW130" s="48">
        <f t="shared" si="63"/>
        <v>846131.58293529286</v>
      </c>
      <c r="AX130" s="48">
        <f t="shared" si="63"/>
        <v>877861.51729536639</v>
      </c>
      <c r="AY130" s="48">
        <f t="shared" si="63"/>
        <v>877861.51729536639</v>
      </c>
      <c r="AZ130" s="48">
        <f t="shared" si="63"/>
        <v>877861.51729536639</v>
      </c>
      <c r="BA130" s="48">
        <f t="shared" si="63"/>
        <v>661610.02419394255</v>
      </c>
      <c r="BB130" s="48">
        <f t="shared" si="63"/>
        <v>661610.02419394255</v>
      </c>
      <c r="BC130" s="48">
        <f t="shared" si="63"/>
        <v>661610.02419394255</v>
      </c>
      <c r="BD130" s="48">
        <f t="shared" si="63"/>
        <v>614720.40010121535</v>
      </c>
      <c r="BE130" s="48">
        <f t="shared" si="63"/>
        <v>614720.40010121535</v>
      </c>
      <c r="BF130" s="48">
        <f t="shared" si="63"/>
        <v>614720.40010121535</v>
      </c>
      <c r="BG130" s="48">
        <f t="shared" si="63"/>
        <v>566072.41510501096</v>
      </c>
      <c r="BH130" s="48">
        <f t="shared" si="63"/>
        <v>566072.41510501096</v>
      </c>
      <c r="BI130" s="48">
        <f t="shared" si="63"/>
        <v>566072.41510501096</v>
      </c>
      <c r="BJ130" s="48">
        <f t="shared" si="63"/>
        <v>515600.13067144889</v>
      </c>
      <c r="BK130" s="48">
        <f t="shared" si="63"/>
        <v>515600.13067144889</v>
      </c>
      <c r="BL130" s="48">
        <f t="shared" si="63"/>
        <v>515600.13067144889</v>
      </c>
      <c r="BM130" s="48">
        <f t="shared" si="63"/>
        <v>463235.13557162823</v>
      </c>
      <c r="BN130" s="48">
        <f t="shared" si="63"/>
        <v>463235.13557162823</v>
      </c>
      <c r="BO130" s="48">
        <f t="shared" ref="BO130:CT130" si="64">MAX(0,BO126+BO127+BO128+BO129)</f>
        <v>463235.13557162823</v>
      </c>
      <c r="BP130" s="48">
        <f t="shared" si="64"/>
        <v>405963.45315556426</v>
      </c>
      <c r="BQ130" s="48">
        <f t="shared" si="64"/>
        <v>405963.45315556426</v>
      </c>
      <c r="BR130" s="48">
        <f t="shared" si="64"/>
        <v>405963.45315556426</v>
      </c>
      <c r="BS130" s="48">
        <f t="shared" si="64"/>
        <v>346547.08264889789</v>
      </c>
      <c r="BT130" s="48">
        <f t="shared" si="64"/>
        <v>346547.08264889789</v>
      </c>
      <c r="BU130" s="48">
        <f t="shared" si="64"/>
        <v>346547.08264889789</v>
      </c>
      <c r="BV130" s="48">
        <f t="shared" si="64"/>
        <v>284902.59824823157</v>
      </c>
      <c r="BW130" s="48">
        <f t="shared" si="64"/>
        <v>284902.59824823157</v>
      </c>
      <c r="BX130" s="48">
        <f t="shared" si="64"/>
        <v>284902.59824823157</v>
      </c>
      <c r="BY130" s="48">
        <f t="shared" si="64"/>
        <v>220946.44568254024</v>
      </c>
      <c r="BZ130" s="48">
        <f t="shared" si="64"/>
        <v>220946.44568254024</v>
      </c>
      <c r="CA130" s="48">
        <f t="shared" si="64"/>
        <v>220946.44568254024</v>
      </c>
      <c r="CB130" s="48">
        <f t="shared" si="64"/>
        <v>147868.9373956355</v>
      </c>
      <c r="CC130" s="48">
        <f t="shared" si="64"/>
        <v>147868.9373956355</v>
      </c>
      <c r="CD130" s="48">
        <f t="shared" si="64"/>
        <v>147868.9373956355</v>
      </c>
      <c r="CE130" s="48">
        <f t="shared" si="64"/>
        <v>72052.022547971836</v>
      </c>
      <c r="CF130" s="48">
        <f t="shared" si="64"/>
        <v>72052.022547971836</v>
      </c>
      <c r="CG130" s="48">
        <f t="shared" si="64"/>
        <v>72052.022547971836</v>
      </c>
      <c r="CH130" s="48">
        <f t="shared" si="64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222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223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224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115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225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226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119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120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123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227</v>
      </c>
      <c r="B141" s="28"/>
      <c r="C141" s="10">
        <f t="shared" ref="C141:AH141" si="65">SUM(C133:C140)</f>
        <v>24716840.3468768</v>
      </c>
      <c r="D141" s="10">
        <f t="shared" si="65"/>
        <v>22881539.176573537</v>
      </c>
      <c r="E141" s="10">
        <f t="shared" si="65"/>
        <v>20879271.912436187</v>
      </c>
      <c r="F141" s="10">
        <f t="shared" si="65"/>
        <v>60836243.104082987</v>
      </c>
      <c r="G141" s="10">
        <f t="shared" si="65"/>
        <v>57578778.6797034</v>
      </c>
      <c r="H141" s="10">
        <f t="shared" si="65"/>
        <v>54117067.973172709</v>
      </c>
      <c r="I141" s="10">
        <f t="shared" si="65"/>
        <v>79352933.496734113</v>
      </c>
      <c r="J141" s="10">
        <f t="shared" si="65"/>
        <v>95588363.965789929</v>
      </c>
      <c r="K141" s="10">
        <f t="shared" si="65"/>
        <v>90239873.755658567</v>
      </c>
      <c r="L141" s="10">
        <f t="shared" si="65"/>
        <v>84604000.439778298</v>
      </c>
      <c r="M141" s="10">
        <f t="shared" si="65"/>
        <v>78720266.974022105</v>
      </c>
      <c r="N141" s="10">
        <f t="shared" si="65"/>
        <v>72635646.38755329</v>
      </c>
      <c r="O141" s="10">
        <f t="shared" si="65"/>
        <v>110943455.0816887</v>
      </c>
      <c r="P141" s="10">
        <f t="shared" si="65"/>
        <v>103793457.32488425</v>
      </c>
      <c r="Q141" s="10">
        <f t="shared" si="65"/>
        <v>96517203.05507499</v>
      </c>
      <c r="R141" s="10">
        <f t="shared" si="65"/>
        <v>89832380.402736992</v>
      </c>
      <c r="S141" s="10">
        <f t="shared" si="65"/>
        <v>83021753.709655985</v>
      </c>
      <c r="T141" s="10">
        <f t="shared" si="65"/>
        <v>76187589.600928992</v>
      </c>
      <c r="U141" s="10">
        <f t="shared" si="65"/>
        <v>69427945.700481981</v>
      </c>
      <c r="V141" s="10">
        <f t="shared" si="65"/>
        <v>62831519.462921992</v>
      </c>
      <c r="W141" s="10">
        <f t="shared" si="65"/>
        <v>56473335.557831988</v>
      </c>
      <c r="X141" s="10">
        <f t="shared" si="65"/>
        <v>50412135.689663991</v>
      </c>
      <c r="Y141" s="10">
        <f t="shared" si="65"/>
        <v>44689514.450514987</v>
      </c>
      <c r="Z141" s="10">
        <f t="shared" si="65"/>
        <v>39330314.060103998</v>
      </c>
      <c r="AA141" s="10">
        <f t="shared" si="65"/>
        <v>34344660.929919995</v>
      </c>
      <c r="AB141" s="10">
        <f t="shared" si="65"/>
        <v>30015781.278079994</v>
      </c>
      <c r="AC141" s="10">
        <f t="shared" si="65"/>
        <v>67115910.942615986</v>
      </c>
      <c r="AD141" s="10">
        <f t="shared" si="65"/>
        <v>63678669.505812995</v>
      </c>
      <c r="AE141" s="10">
        <f t="shared" si="65"/>
        <v>60195756.503802985</v>
      </c>
      <c r="AF141" s="10">
        <f t="shared" si="65"/>
        <v>56684810.890850991</v>
      </c>
      <c r="AG141" s="10">
        <f t="shared" si="65"/>
        <v>53163021.419371992</v>
      </c>
      <c r="AH141" s="10">
        <f t="shared" si="65"/>
        <v>49646883.209601</v>
      </c>
      <c r="AI141" s="10">
        <f t="shared" ref="AI141:BN141" si="66">SUM(AI133:AI140)</f>
        <v>46152166.879777998</v>
      </c>
      <c r="AJ141" s="10">
        <f t="shared" si="66"/>
        <v>42693842.409563005</v>
      </c>
      <c r="AK141" s="10">
        <f t="shared" si="66"/>
        <v>39286070.295121007</v>
      </c>
      <c r="AL141" s="10">
        <f t="shared" si="66"/>
        <v>35942217.821294002</v>
      </c>
      <c r="AM141" s="10">
        <f t="shared" si="66"/>
        <v>32894612.367548011</v>
      </c>
      <c r="AN141" s="10">
        <f t="shared" si="66"/>
        <v>29903009.833158009</v>
      </c>
      <c r="AO141" s="10">
        <f t="shared" si="66"/>
        <v>26981928.712532006</v>
      </c>
      <c r="AP141" s="10">
        <f t="shared" si="66"/>
        <v>24145214.967326008</v>
      </c>
      <c r="AQ141" s="10">
        <f t="shared" si="66"/>
        <v>21405892.487426009</v>
      </c>
      <c r="AR141" s="10">
        <f t="shared" si="66"/>
        <v>18775979.790616009</v>
      </c>
      <c r="AS141" s="10">
        <f t="shared" si="66"/>
        <v>16893987.491480004</v>
      </c>
      <c r="AT141" s="10">
        <f t="shared" si="66"/>
        <v>15049033.294064002</v>
      </c>
      <c r="AU141" s="10">
        <f t="shared" si="66"/>
        <v>13258584.501624003</v>
      </c>
      <c r="AV141" s="10">
        <f t="shared" si="66"/>
        <v>11538273.165056005</v>
      </c>
      <c r="AW141" s="10">
        <f t="shared" si="66"/>
        <v>9901787.6675520036</v>
      </c>
      <c r="AX141" s="10">
        <f t="shared" si="66"/>
        <v>8360541.8875440042</v>
      </c>
      <c r="AY141" s="10">
        <f t="shared" si="66"/>
        <v>6923385.716280004</v>
      </c>
      <c r="AZ141" s="10">
        <f t="shared" si="66"/>
        <v>5596646.4124560058</v>
      </c>
      <c r="BA141" s="10">
        <f t="shared" si="66"/>
        <v>4384004.5383200068</v>
      </c>
      <c r="BB141" s="10">
        <f t="shared" si="66"/>
        <v>3286659.3782000076</v>
      </c>
      <c r="BC141" s="10">
        <f t="shared" si="66"/>
        <v>2303535.7116640056</v>
      </c>
      <c r="BD141" s="10">
        <f t="shared" si="66"/>
        <v>1431490.5866800072</v>
      </c>
      <c r="BE141" s="10">
        <f t="shared" si="66"/>
        <v>665685.51130400575</v>
      </c>
      <c r="BF141" s="10">
        <f t="shared" si="66"/>
        <v>-165.41852799557415</v>
      </c>
      <c r="BG141" s="10">
        <f t="shared" si="66"/>
        <v>0</v>
      </c>
      <c r="BH141" s="10">
        <f t="shared" si="66"/>
        <v>0</v>
      </c>
      <c r="BI141" s="10">
        <f t="shared" si="66"/>
        <v>0</v>
      </c>
      <c r="BJ141" s="10">
        <f t="shared" si="66"/>
        <v>0</v>
      </c>
      <c r="BK141" s="10">
        <f t="shared" si="66"/>
        <v>0</v>
      </c>
      <c r="BL141" s="10">
        <f t="shared" si="66"/>
        <v>0</v>
      </c>
      <c r="BM141" s="10">
        <f t="shared" si="66"/>
        <v>0</v>
      </c>
      <c r="BN141" s="10">
        <f t="shared" si="66"/>
        <v>0</v>
      </c>
      <c r="BO141" s="10">
        <f t="shared" ref="BO141:CT141" si="67">SUM(BO133:BO140)</f>
        <v>0</v>
      </c>
      <c r="BP141" s="10">
        <f t="shared" si="67"/>
        <v>0</v>
      </c>
      <c r="BQ141" s="10">
        <f t="shared" si="67"/>
        <v>0</v>
      </c>
      <c r="BR141" s="10">
        <f t="shared" si="67"/>
        <v>0</v>
      </c>
      <c r="BS141" s="10">
        <f t="shared" si="67"/>
        <v>0</v>
      </c>
      <c r="BT141" s="10">
        <f t="shared" si="67"/>
        <v>0</v>
      </c>
      <c r="BU141" s="10">
        <f t="shared" si="67"/>
        <v>0</v>
      </c>
      <c r="BV141" s="10">
        <f t="shared" si="67"/>
        <v>0</v>
      </c>
      <c r="BW141" s="10">
        <f t="shared" si="67"/>
        <v>0</v>
      </c>
      <c r="BX141" s="10">
        <f t="shared" si="67"/>
        <v>0</v>
      </c>
      <c r="BY141" s="10">
        <f t="shared" si="67"/>
        <v>0</v>
      </c>
      <c r="BZ141" s="10">
        <f t="shared" si="67"/>
        <v>0</v>
      </c>
      <c r="CA141" s="10">
        <f t="shared" si="67"/>
        <v>0</v>
      </c>
      <c r="CB141" s="10">
        <f t="shared" si="67"/>
        <v>0</v>
      </c>
      <c r="CC141" s="10">
        <f t="shared" si="67"/>
        <v>0</v>
      </c>
      <c r="CD141" s="10">
        <f t="shared" si="67"/>
        <v>0</v>
      </c>
      <c r="CE141" s="10">
        <f t="shared" si="67"/>
        <v>0</v>
      </c>
      <c r="CF141" s="10">
        <f t="shared" si="67"/>
        <v>0</v>
      </c>
      <c r="CG141" s="10">
        <f t="shared" si="67"/>
        <v>0</v>
      </c>
      <c r="CH141" s="10">
        <f t="shared" si="67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228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229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230</v>
      </c>
      <c r="B146" s="22"/>
      <c r="C146" s="8">
        <f>Assumptions!$B$29</f>
        <v>1071148</v>
      </c>
      <c r="D146" s="8">
        <f t="shared" ref="D146:AI146" si="68">C148</f>
        <v>1168541.108849918</v>
      </c>
      <c r="E146" s="8">
        <f t="shared" si="68"/>
        <v>1232630.4701240372</v>
      </c>
      <c r="F146" s="8">
        <f t="shared" si="68"/>
        <v>1268072.7751365188</v>
      </c>
      <c r="G146" s="8">
        <f t="shared" si="68"/>
        <v>1762376.6499734824</v>
      </c>
      <c r="H146" s="8">
        <f t="shared" si="68"/>
        <v>1937499.5461201069</v>
      </c>
      <c r="I146" s="8">
        <f t="shared" si="68"/>
        <v>2116908.5490359562</v>
      </c>
      <c r="J146" s="8">
        <f t="shared" si="68"/>
        <v>2626686.2853227304</v>
      </c>
      <c r="K146" s="8">
        <f t="shared" si="68"/>
        <v>3187774.9394574449</v>
      </c>
      <c r="L146" s="8">
        <f t="shared" si="68"/>
        <v>3516149.934887846</v>
      </c>
      <c r="M146" s="8">
        <f t="shared" si="68"/>
        <v>3853199.220011313</v>
      </c>
      <c r="N146" s="8">
        <f t="shared" si="68"/>
        <v>4196308.9165286543</v>
      </c>
      <c r="O146" s="8">
        <f t="shared" si="68"/>
        <v>4512729.6170315957</v>
      </c>
      <c r="P146" s="8">
        <f t="shared" si="68"/>
        <v>4193532.4472170221</v>
      </c>
      <c r="Q146" s="8">
        <f t="shared" si="68"/>
        <v>4668880.1547363102</v>
      </c>
      <c r="R146" s="8">
        <f t="shared" si="68"/>
        <v>5263452.4833894139</v>
      </c>
      <c r="S146" s="8">
        <f t="shared" si="68"/>
        <v>5698757.9688719092</v>
      </c>
      <c r="T146" s="8">
        <f t="shared" si="68"/>
        <v>5946602.3631763579</v>
      </c>
      <c r="U146" s="8">
        <f t="shared" si="68"/>
        <v>6164409.077612346</v>
      </c>
      <c r="V146" s="8">
        <f t="shared" si="68"/>
        <v>6428794.1534497784</v>
      </c>
      <c r="W146" s="8">
        <f t="shared" si="68"/>
        <v>6647859.7777600493</v>
      </c>
      <c r="X146" s="8">
        <f t="shared" si="68"/>
        <v>6855902.8266232498</v>
      </c>
      <c r="Y146" s="8">
        <f t="shared" si="68"/>
        <v>7020205.5426093778</v>
      </c>
      <c r="Z146" s="8">
        <f t="shared" si="68"/>
        <v>7198843.5005970616</v>
      </c>
      <c r="AA146" s="8">
        <f t="shared" si="68"/>
        <v>7360667.3446415095</v>
      </c>
      <c r="AB146" s="8">
        <f t="shared" si="68"/>
        <v>7551965.0625724681</v>
      </c>
      <c r="AC146" s="8">
        <f t="shared" si="68"/>
        <v>7621217.6666514724</v>
      </c>
      <c r="AD146" s="8">
        <f t="shared" si="68"/>
        <v>7048359.6333765006</v>
      </c>
      <c r="AE146" s="8">
        <f t="shared" si="68"/>
        <v>7125396.0763160763</v>
      </c>
      <c r="AF146" s="8">
        <f t="shared" si="68"/>
        <v>7240545.5705679888</v>
      </c>
      <c r="AG146" s="8">
        <f t="shared" si="68"/>
        <v>7356992.028150822</v>
      </c>
      <c r="AH146" s="8">
        <f t="shared" si="68"/>
        <v>7639279.7007791419</v>
      </c>
      <c r="AI146" s="8">
        <f t="shared" si="68"/>
        <v>7787036.7494215127</v>
      </c>
      <c r="AJ146" s="8">
        <f t="shared" ref="AJ146:BO146" si="69">AI148</f>
        <v>8147538.7938779769</v>
      </c>
      <c r="AK146" s="8">
        <f t="shared" si="69"/>
        <v>8215634.4311934868</v>
      </c>
      <c r="AL146" s="8">
        <f t="shared" si="69"/>
        <v>8324163.1096785907</v>
      </c>
      <c r="AM146" s="8">
        <f t="shared" si="69"/>
        <v>8559345.4289793968</v>
      </c>
      <c r="AN146" s="8">
        <f t="shared" si="69"/>
        <v>8654713.2196538895</v>
      </c>
      <c r="AO146" s="8">
        <f t="shared" si="69"/>
        <v>8767766.6539674923</v>
      </c>
      <c r="AP146" s="8">
        <f t="shared" si="69"/>
        <v>8951573.1503066253</v>
      </c>
      <c r="AQ146" s="8">
        <f t="shared" si="69"/>
        <v>9140932.3638544101</v>
      </c>
      <c r="AR146" s="8">
        <f t="shared" si="69"/>
        <v>9303460.1081469655</v>
      </c>
      <c r="AS146" s="8">
        <f t="shared" si="69"/>
        <v>9753636.0986764282</v>
      </c>
      <c r="AT146" s="8">
        <f t="shared" si="69"/>
        <v>9866540.028185444</v>
      </c>
      <c r="AU146" s="8">
        <f t="shared" si="69"/>
        <v>10019410.492904201</v>
      </c>
      <c r="AV146" s="8">
        <f t="shared" si="69"/>
        <v>10143241.240834296</v>
      </c>
      <c r="AW146" s="8">
        <f t="shared" si="69"/>
        <v>10294998.315075507</v>
      </c>
      <c r="AX146" s="8">
        <f t="shared" si="69"/>
        <v>10478809.685723661</v>
      </c>
      <c r="AY146" s="8">
        <f t="shared" si="69"/>
        <v>10689065.925773378</v>
      </c>
      <c r="AZ146" s="8">
        <f t="shared" si="69"/>
        <v>10971065.431490418</v>
      </c>
      <c r="BA146" s="8">
        <f t="shared" si="69"/>
        <v>11090891.413308041</v>
      </c>
      <c r="BB146" s="8">
        <f t="shared" si="69"/>
        <v>11271753.113070294</v>
      </c>
      <c r="BC146" s="8">
        <f t="shared" si="69"/>
        <v>11448314.240836678</v>
      </c>
      <c r="BD146" s="8">
        <f t="shared" si="69"/>
        <v>11667784.270279776</v>
      </c>
      <c r="BE146" s="8">
        <f t="shared" si="69"/>
        <v>11766573.264927043</v>
      </c>
      <c r="BF146" s="8">
        <f t="shared" si="69"/>
        <v>11909239.156629784</v>
      </c>
      <c r="BG146" s="8">
        <f t="shared" si="69"/>
        <v>12313274.242085766</v>
      </c>
      <c r="BH146" s="8">
        <f t="shared" si="69"/>
        <v>12420872.852108503</v>
      </c>
      <c r="BI146" s="8">
        <f t="shared" si="69"/>
        <v>12407311.587131239</v>
      </c>
      <c r="BJ146" s="8">
        <f t="shared" si="69"/>
        <v>12423682.924426703</v>
      </c>
      <c r="BK146" s="8">
        <f t="shared" si="69"/>
        <v>12476905.514157232</v>
      </c>
      <c r="BL146" s="8">
        <f t="shared" si="69"/>
        <v>12612673.415089514</v>
      </c>
      <c r="BM146" s="8">
        <f t="shared" si="69"/>
        <v>12585376.364723096</v>
      </c>
      <c r="BN146" s="8">
        <f t="shared" si="69"/>
        <v>12624393.890655378</v>
      </c>
      <c r="BO146" s="8">
        <f t="shared" si="69"/>
        <v>12664445.189314933</v>
      </c>
      <c r="BP146" s="8">
        <f t="shared" ref="BP146:CH146" si="70">BO148</f>
        <v>12752689.987974489</v>
      </c>
      <c r="BQ146" s="8">
        <f t="shared" si="70"/>
        <v>12725392.937608071</v>
      </c>
      <c r="BR146" s="8">
        <f t="shared" si="70"/>
        <v>12746888.111267626</v>
      </c>
      <c r="BS146" s="8">
        <f t="shared" si="70"/>
        <v>12799407.480544064</v>
      </c>
      <c r="BT146" s="8">
        <f t="shared" si="70"/>
        <v>12973406.794625698</v>
      </c>
      <c r="BU146" s="8">
        <f t="shared" si="70"/>
        <v>13030579.529161876</v>
      </c>
      <c r="BV146" s="8">
        <f t="shared" si="70"/>
        <v>13122349.196327925</v>
      </c>
      <c r="BW146" s="8">
        <f t="shared" si="70"/>
        <v>13255779.490929037</v>
      </c>
      <c r="BX146" s="8">
        <f t="shared" si="70"/>
        <v>13476464.352128018</v>
      </c>
      <c r="BY146" s="8">
        <f t="shared" si="70"/>
        <v>13538459.197093232</v>
      </c>
      <c r="BZ146" s="8">
        <f t="shared" si="70"/>
        <v>13670526.593194809</v>
      </c>
      <c r="CA146" s="8">
        <f t="shared" si="70"/>
        <v>13806519.632965216</v>
      </c>
      <c r="CB146" s="8">
        <f t="shared" si="70"/>
        <v>14028529.98767069</v>
      </c>
      <c r="CC146" s="8">
        <f t="shared" si="70"/>
        <v>14099621.69951902</v>
      </c>
      <c r="CD146" s="8">
        <f t="shared" si="70"/>
        <v>14168357.719808908</v>
      </c>
      <c r="CE146" s="8">
        <f t="shared" si="70"/>
        <v>14231094.16623516</v>
      </c>
      <c r="CF146" s="8">
        <f t="shared" si="70"/>
        <v>14369717.56558349</v>
      </c>
      <c r="CG146" s="8">
        <f t="shared" si="70"/>
        <v>14347651.865094159</v>
      </c>
      <c r="CH146" s="8">
        <f t="shared" si="70"/>
        <v>14314371.923533399</v>
      </c>
      <c r="CI146" s="23"/>
      <c r="CJ146" s="54"/>
      <c r="CK146" s="54"/>
    </row>
    <row r="147" spans="1:89" ht="15" customHeight="1" x14ac:dyDescent="0.25">
      <c r="A147" s="7" t="s">
        <v>231</v>
      </c>
      <c r="B147" s="22"/>
      <c r="C147" s="8">
        <f t="shared" ref="C147:AH147" si="71">C41</f>
        <v>97393.108849917888</v>
      </c>
      <c r="D147" s="8">
        <f t="shared" si="71"/>
        <v>64089.361274119176</v>
      </c>
      <c r="E147" s="8">
        <f t="shared" si="71"/>
        <v>35442.305012481462</v>
      </c>
      <c r="F147" s="8">
        <f t="shared" si="71"/>
        <v>494303.87483696348</v>
      </c>
      <c r="G147" s="8">
        <f t="shared" si="71"/>
        <v>175122.89614662452</v>
      </c>
      <c r="H147" s="8">
        <f t="shared" si="71"/>
        <v>179409.00291584927</v>
      </c>
      <c r="I147" s="8">
        <f t="shared" si="71"/>
        <v>509777.73628677416</v>
      </c>
      <c r="J147" s="8">
        <f t="shared" si="71"/>
        <v>561088.65413471451</v>
      </c>
      <c r="K147" s="8">
        <f t="shared" si="71"/>
        <v>328374.99543040124</v>
      </c>
      <c r="L147" s="8">
        <f t="shared" si="71"/>
        <v>337049.28512346692</v>
      </c>
      <c r="M147" s="8">
        <f t="shared" si="71"/>
        <v>343109.69651734101</v>
      </c>
      <c r="N147" s="8">
        <f t="shared" si="71"/>
        <v>316420.70050294109</v>
      </c>
      <c r="O147" s="8">
        <f t="shared" si="71"/>
        <v>-319197.16981457383</v>
      </c>
      <c r="P147" s="8">
        <f t="shared" si="71"/>
        <v>475347.70751928788</v>
      </c>
      <c r="Q147" s="8">
        <f t="shared" si="71"/>
        <v>594572.3286531039</v>
      </c>
      <c r="R147" s="8">
        <f t="shared" si="71"/>
        <v>435305.48548249545</v>
      </c>
      <c r="S147" s="8">
        <f t="shared" si="71"/>
        <v>247844.39430444833</v>
      </c>
      <c r="T147" s="8">
        <f t="shared" si="71"/>
        <v>217806.71443598805</v>
      </c>
      <c r="U147" s="8">
        <f t="shared" si="71"/>
        <v>264385.07583743281</v>
      </c>
      <c r="V147" s="8">
        <f t="shared" si="71"/>
        <v>219065.62431027059</v>
      </c>
      <c r="W147" s="8">
        <f t="shared" si="71"/>
        <v>208043.04886320065</v>
      </c>
      <c r="X147" s="8">
        <f t="shared" si="71"/>
        <v>164302.71598612767</v>
      </c>
      <c r="Y147" s="8">
        <f t="shared" si="71"/>
        <v>178637.95798768365</v>
      </c>
      <c r="Z147" s="8">
        <f t="shared" si="71"/>
        <v>161823.84404444828</v>
      </c>
      <c r="AA147" s="8">
        <f t="shared" si="71"/>
        <v>191297.71793095884</v>
      </c>
      <c r="AB147" s="8">
        <f t="shared" si="71"/>
        <v>69252.604079004319</v>
      </c>
      <c r="AC147" s="8">
        <f t="shared" si="71"/>
        <v>-572858.03327497188</v>
      </c>
      <c r="AD147" s="8">
        <f t="shared" si="71"/>
        <v>77036.442939575994</v>
      </c>
      <c r="AE147" s="8">
        <f t="shared" si="71"/>
        <v>115149.49425191287</v>
      </c>
      <c r="AF147" s="8">
        <f t="shared" si="71"/>
        <v>116446.4575828333</v>
      </c>
      <c r="AG147" s="8">
        <f t="shared" si="71"/>
        <v>282287.67262831947</v>
      </c>
      <c r="AH147" s="8">
        <f t="shared" si="71"/>
        <v>147757.04864237038</v>
      </c>
      <c r="AI147" s="8">
        <f t="shared" ref="AI147:BN147" si="72">AI41</f>
        <v>360502.04445646459</v>
      </c>
      <c r="AJ147" s="8">
        <f t="shared" si="72"/>
        <v>68095.637315509957</v>
      </c>
      <c r="AK147" s="8">
        <f t="shared" si="72"/>
        <v>108528.67848510342</v>
      </c>
      <c r="AL147" s="8">
        <f t="shared" si="72"/>
        <v>235182.31930080545</v>
      </c>
      <c r="AM147" s="8">
        <f t="shared" si="72"/>
        <v>95367.790674492659</v>
      </c>
      <c r="AN147" s="8">
        <f t="shared" si="72"/>
        <v>113053.43431360304</v>
      </c>
      <c r="AO147" s="8">
        <f t="shared" si="72"/>
        <v>183806.49633913231</v>
      </c>
      <c r="AP147" s="8">
        <f t="shared" si="72"/>
        <v>189359.21354778495</v>
      </c>
      <c r="AQ147" s="8">
        <f t="shared" si="72"/>
        <v>162527.74429255596</v>
      </c>
      <c r="AR147" s="8">
        <f t="shared" si="72"/>
        <v>450175.99052946351</v>
      </c>
      <c r="AS147" s="8">
        <f t="shared" si="72"/>
        <v>112903.92950901599</v>
      </c>
      <c r="AT147" s="8">
        <f t="shared" si="72"/>
        <v>152870.46471875627</v>
      </c>
      <c r="AU147" s="8">
        <f t="shared" si="72"/>
        <v>123830.7479300939</v>
      </c>
      <c r="AV147" s="8">
        <f t="shared" si="72"/>
        <v>151757.07424121082</v>
      </c>
      <c r="AW147" s="8">
        <f t="shared" si="72"/>
        <v>183811.37064815231</v>
      </c>
      <c r="AX147" s="8">
        <f t="shared" si="72"/>
        <v>210256.24004971725</v>
      </c>
      <c r="AY147" s="8">
        <f t="shared" si="72"/>
        <v>281999.50571703969</v>
      </c>
      <c r="AZ147" s="8">
        <f t="shared" si="72"/>
        <v>119825.98181762407</v>
      </c>
      <c r="BA147" s="8">
        <f t="shared" si="72"/>
        <v>180861.69976225402</v>
      </c>
      <c r="BB147" s="8">
        <f t="shared" si="72"/>
        <v>176561.12776638381</v>
      </c>
      <c r="BC147" s="8">
        <f t="shared" si="72"/>
        <v>219470.029443098</v>
      </c>
      <c r="BD147" s="8">
        <f t="shared" si="72"/>
        <v>98788.994647266925</v>
      </c>
      <c r="BE147" s="8">
        <f t="shared" si="72"/>
        <v>142665.89170274092</v>
      </c>
      <c r="BF147" s="8">
        <f t="shared" si="72"/>
        <v>404035.0854559812</v>
      </c>
      <c r="BG147" s="8">
        <f t="shared" si="72"/>
        <v>107598.61002273671</v>
      </c>
      <c r="BH147" s="8">
        <f t="shared" si="72"/>
        <v>-13561.264977263287</v>
      </c>
      <c r="BI147" s="8">
        <f t="shared" si="72"/>
        <v>16371.337295463891</v>
      </c>
      <c r="BJ147" s="8">
        <f t="shared" si="72"/>
        <v>53222.589730528882</v>
      </c>
      <c r="BK147" s="8">
        <f t="shared" si="72"/>
        <v>135767.90093228233</v>
      </c>
      <c r="BL147" s="8">
        <f t="shared" si="72"/>
        <v>-27297.050366419018</v>
      </c>
      <c r="BM147" s="8">
        <f t="shared" si="72"/>
        <v>39017.525932282268</v>
      </c>
      <c r="BN147" s="8">
        <f t="shared" si="72"/>
        <v>40051.298659555032</v>
      </c>
      <c r="BO147" s="8">
        <f t="shared" ref="BO147:CH147" si="73">BO41</f>
        <v>88244.798659555032</v>
      </c>
      <c r="BP147" s="8">
        <f t="shared" si="73"/>
        <v>-27297.050366419018</v>
      </c>
      <c r="BQ147" s="8">
        <f t="shared" si="73"/>
        <v>21495.173659555032</v>
      </c>
      <c r="BR147" s="8">
        <f t="shared" si="73"/>
        <v>52519.369276438141</v>
      </c>
      <c r="BS147" s="8">
        <f t="shared" si="73"/>
        <v>173999.31408163288</v>
      </c>
      <c r="BT147" s="8">
        <f t="shared" si="73"/>
        <v>57172.73453617841</v>
      </c>
      <c r="BU147" s="8">
        <f t="shared" si="73"/>
        <v>91769.667166048544</v>
      </c>
      <c r="BV147" s="8">
        <f t="shared" si="73"/>
        <v>133430.29460111354</v>
      </c>
      <c r="BW147" s="8">
        <f t="shared" si="73"/>
        <v>220684.86119897995</v>
      </c>
      <c r="BX147" s="8">
        <f t="shared" si="73"/>
        <v>61994.844965213677</v>
      </c>
      <c r="BY147" s="8">
        <f t="shared" si="73"/>
        <v>132067.39610157727</v>
      </c>
      <c r="BZ147" s="8">
        <f t="shared" si="73"/>
        <v>135993.03977040848</v>
      </c>
      <c r="CA147" s="8">
        <f t="shared" si="73"/>
        <v>222010.35470547347</v>
      </c>
      <c r="CB147" s="8">
        <f t="shared" si="73"/>
        <v>71091.711848330568</v>
      </c>
      <c r="CC147" s="8">
        <f t="shared" si="73"/>
        <v>68736.020289889013</v>
      </c>
      <c r="CD147" s="8">
        <f t="shared" si="73"/>
        <v>62736.44642625266</v>
      </c>
      <c r="CE147" s="8">
        <f t="shared" si="73"/>
        <v>138623.39934833051</v>
      </c>
      <c r="CF147" s="8">
        <f t="shared" si="73"/>
        <v>-22065.700489331735</v>
      </c>
      <c r="CG147" s="8">
        <f t="shared" si="73"/>
        <v>-33279.941560760315</v>
      </c>
      <c r="CH147" s="8">
        <f t="shared" si="73"/>
        <v>-46735.226463357743</v>
      </c>
      <c r="CI147" s="23"/>
      <c r="CJ147" s="54"/>
      <c r="CK147" s="54"/>
    </row>
    <row r="148" spans="1:89" ht="15" customHeight="1" x14ac:dyDescent="0.25">
      <c r="A148" s="57" t="s">
        <v>107</v>
      </c>
      <c r="B148" s="58"/>
      <c r="C148" s="59">
        <f t="shared" ref="C148:AH148" si="74">C146+C147</f>
        <v>1168541.108849918</v>
      </c>
      <c r="D148" s="59">
        <f t="shared" si="74"/>
        <v>1232630.4701240372</v>
      </c>
      <c r="E148" s="59">
        <f t="shared" si="74"/>
        <v>1268072.7751365188</v>
      </c>
      <c r="F148" s="59">
        <f t="shared" si="74"/>
        <v>1762376.6499734824</v>
      </c>
      <c r="G148" s="59">
        <f t="shared" si="74"/>
        <v>1937499.5461201069</v>
      </c>
      <c r="H148" s="59">
        <f t="shared" si="74"/>
        <v>2116908.5490359562</v>
      </c>
      <c r="I148" s="59">
        <f t="shared" si="74"/>
        <v>2626686.2853227304</v>
      </c>
      <c r="J148" s="59">
        <f t="shared" si="74"/>
        <v>3187774.9394574449</v>
      </c>
      <c r="K148" s="59">
        <f t="shared" si="74"/>
        <v>3516149.934887846</v>
      </c>
      <c r="L148" s="59">
        <f t="shared" si="74"/>
        <v>3853199.220011313</v>
      </c>
      <c r="M148" s="59">
        <f t="shared" si="74"/>
        <v>4196308.9165286543</v>
      </c>
      <c r="N148" s="59">
        <f t="shared" si="74"/>
        <v>4512729.6170315957</v>
      </c>
      <c r="O148" s="59">
        <f t="shared" si="74"/>
        <v>4193532.4472170221</v>
      </c>
      <c r="P148" s="59">
        <f t="shared" si="74"/>
        <v>4668880.1547363102</v>
      </c>
      <c r="Q148" s="59">
        <f t="shared" si="74"/>
        <v>5263452.4833894139</v>
      </c>
      <c r="R148" s="59">
        <f t="shared" si="74"/>
        <v>5698757.9688719092</v>
      </c>
      <c r="S148" s="59">
        <f t="shared" si="74"/>
        <v>5946602.3631763579</v>
      </c>
      <c r="T148" s="59">
        <f t="shared" si="74"/>
        <v>6164409.077612346</v>
      </c>
      <c r="U148" s="59">
        <f t="shared" si="74"/>
        <v>6428794.1534497784</v>
      </c>
      <c r="V148" s="59">
        <f t="shared" si="74"/>
        <v>6647859.7777600493</v>
      </c>
      <c r="W148" s="59">
        <f t="shared" si="74"/>
        <v>6855902.8266232498</v>
      </c>
      <c r="X148" s="59">
        <f t="shared" si="74"/>
        <v>7020205.5426093778</v>
      </c>
      <c r="Y148" s="59">
        <f t="shared" si="74"/>
        <v>7198843.5005970616</v>
      </c>
      <c r="Z148" s="59">
        <f t="shared" si="74"/>
        <v>7360667.3446415095</v>
      </c>
      <c r="AA148" s="59">
        <f t="shared" si="74"/>
        <v>7551965.0625724681</v>
      </c>
      <c r="AB148" s="59">
        <f t="shared" si="74"/>
        <v>7621217.6666514724</v>
      </c>
      <c r="AC148" s="59">
        <f t="shared" si="74"/>
        <v>7048359.6333765006</v>
      </c>
      <c r="AD148" s="59">
        <f t="shared" si="74"/>
        <v>7125396.0763160763</v>
      </c>
      <c r="AE148" s="59">
        <f t="shared" si="74"/>
        <v>7240545.5705679888</v>
      </c>
      <c r="AF148" s="59">
        <f t="shared" si="74"/>
        <v>7356992.028150822</v>
      </c>
      <c r="AG148" s="59">
        <f t="shared" si="74"/>
        <v>7639279.7007791419</v>
      </c>
      <c r="AH148" s="59">
        <f t="shared" si="74"/>
        <v>7787036.7494215127</v>
      </c>
      <c r="AI148" s="59">
        <f t="shared" ref="AI148:BN148" si="75">AI146+AI147</f>
        <v>8147538.7938779769</v>
      </c>
      <c r="AJ148" s="59">
        <f t="shared" si="75"/>
        <v>8215634.4311934868</v>
      </c>
      <c r="AK148" s="59">
        <f t="shared" si="75"/>
        <v>8324163.1096785907</v>
      </c>
      <c r="AL148" s="59">
        <f t="shared" si="75"/>
        <v>8559345.4289793968</v>
      </c>
      <c r="AM148" s="59">
        <f t="shared" si="75"/>
        <v>8654713.2196538895</v>
      </c>
      <c r="AN148" s="59">
        <f t="shared" si="75"/>
        <v>8767766.6539674923</v>
      </c>
      <c r="AO148" s="59">
        <f t="shared" si="75"/>
        <v>8951573.1503066253</v>
      </c>
      <c r="AP148" s="59">
        <f t="shared" si="75"/>
        <v>9140932.3638544101</v>
      </c>
      <c r="AQ148" s="59">
        <f t="shared" si="75"/>
        <v>9303460.1081469655</v>
      </c>
      <c r="AR148" s="59">
        <f t="shared" si="75"/>
        <v>9753636.0986764282</v>
      </c>
      <c r="AS148" s="59">
        <f t="shared" si="75"/>
        <v>9866540.028185444</v>
      </c>
      <c r="AT148" s="59">
        <f t="shared" si="75"/>
        <v>10019410.492904201</v>
      </c>
      <c r="AU148" s="59">
        <f t="shared" si="75"/>
        <v>10143241.240834296</v>
      </c>
      <c r="AV148" s="59">
        <f t="shared" si="75"/>
        <v>10294998.315075507</v>
      </c>
      <c r="AW148" s="59">
        <f t="shared" si="75"/>
        <v>10478809.685723661</v>
      </c>
      <c r="AX148" s="59">
        <f t="shared" si="75"/>
        <v>10689065.925773378</v>
      </c>
      <c r="AY148" s="59">
        <f t="shared" si="75"/>
        <v>10971065.431490418</v>
      </c>
      <c r="AZ148" s="59">
        <f t="shared" si="75"/>
        <v>11090891.413308041</v>
      </c>
      <c r="BA148" s="59">
        <f t="shared" si="75"/>
        <v>11271753.113070294</v>
      </c>
      <c r="BB148" s="59">
        <f t="shared" si="75"/>
        <v>11448314.240836678</v>
      </c>
      <c r="BC148" s="59">
        <f t="shared" si="75"/>
        <v>11667784.270279776</v>
      </c>
      <c r="BD148" s="59">
        <f t="shared" si="75"/>
        <v>11766573.264927043</v>
      </c>
      <c r="BE148" s="59">
        <f t="shared" si="75"/>
        <v>11909239.156629784</v>
      </c>
      <c r="BF148" s="59">
        <f t="shared" si="75"/>
        <v>12313274.242085766</v>
      </c>
      <c r="BG148" s="59">
        <f t="shared" si="75"/>
        <v>12420872.852108503</v>
      </c>
      <c r="BH148" s="59">
        <f t="shared" si="75"/>
        <v>12407311.587131239</v>
      </c>
      <c r="BI148" s="59">
        <f t="shared" si="75"/>
        <v>12423682.924426703</v>
      </c>
      <c r="BJ148" s="59">
        <f t="shared" si="75"/>
        <v>12476905.514157232</v>
      </c>
      <c r="BK148" s="59">
        <f t="shared" si="75"/>
        <v>12612673.415089514</v>
      </c>
      <c r="BL148" s="59">
        <f t="shared" si="75"/>
        <v>12585376.364723096</v>
      </c>
      <c r="BM148" s="59">
        <f t="shared" si="75"/>
        <v>12624393.890655378</v>
      </c>
      <c r="BN148" s="59">
        <f t="shared" si="75"/>
        <v>12664445.189314933</v>
      </c>
      <c r="BO148" s="59">
        <f t="shared" ref="BO148:CT148" si="76">BO146+BO147</f>
        <v>12752689.987974489</v>
      </c>
      <c r="BP148" s="59">
        <f t="shared" si="76"/>
        <v>12725392.937608071</v>
      </c>
      <c r="BQ148" s="59">
        <f t="shared" si="76"/>
        <v>12746888.111267626</v>
      </c>
      <c r="BR148" s="59">
        <f t="shared" si="76"/>
        <v>12799407.480544064</v>
      </c>
      <c r="BS148" s="59">
        <f t="shared" si="76"/>
        <v>12973406.794625698</v>
      </c>
      <c r="BT148" s="59">
        <f t="shared" si="76"/>
        <v>13030579.529161876</v>
      </c>
      <c r="BU148" s="59">
        <f t="shared" si="76"/>
        <v>13122349.196327925</v>
      </c>
      <c r="BV148" s="59">
        <f t="shared" si="76"/>
        <v>13255779.490929037</v>
      </c>
      <c r="BW148" s="59">
        <f t="shared" si="76"/>
        <v>13476464.352128018</v>
      </c>
      <c r="BX148" s="59">
        <f t="shared" si="76"/>
        <v>13538459.197093232</v>
      </c>
      <c r="BY148" s="59">
        <f t="shared" si="76"/>
        <v>13670526.593194809</v>
      </c>
      <c r="BZ148" s="59">
        <f t="shared" si="76"/>
        <v>13806519.632965216</v>
      </c>
      <c r="CA148" s="59">
        <f t="shared" si="76"/>
        <v>14028529.98767069</v>
      </c>
      <c r="CB148" s="59">
        <f t="shared" si="76"/>
        <v>14099621.69951902</v>
      </c>
      <c r="CC148" s="59">
        <f t="shared" si="76"/>
        <v>14168357.719808908</v>
      </c>
      <c r="CD148" s="59">
        <f t="shared" si="76"/>
        <v>14231094.16623516</v>
      </c>
      <c r="CE148" s="59">
        <f t="shared" si="76"/>
        <v>14369717.56558349</v>
      </c>
      <c r="CF148" s="59">
        <f t="shared" si="76"/>
        <v>14347651.865094159</v>
      </c>
      <c r="CG148" s="59">
        <f t="shared" si="76"/>
        <v>14314371.923533399</v>
      </c>
      <c r="CH148" s="59">
        <f t="shared" si="76"/>
        <v>14267636.697070042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232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233</v>
      </c>
      <c r="B151" s="22"/>
      <c r="C151" s="8">
        <f>Assumptions!$B$30</f>
        <v>192381</v>
      </c>
      <c r="D151" s="8">
        <f t="shared" ref="D151:AI151" si="77">C156</f>
        <v>326003.91333333333</v>
      </c>
      <c r="E151" s="8">
        <f t="shared" si="77"/>
        <v>259626.82666666666</v>
      </c>
      <c r="F151" s="8">
        <f t="shared" si="77"/>
        <v>193249.74</v>
      </c>
      <c r="G151" s="8">
        <f t="shared" si="77"/>
        <v>103872.65333333331</v>
      </c>
      <c r="H151" s="8">
        <f t="shared" si="77"/>
        <v>37495.566666666637</v>
      </c>
      <c r="I151" s="8">
        <f t="shared" si="77"/>
        <v>-29714.850000000035</v>
      </c>
      <c r="J151" s="8">
        <f t="shared" si="77"/>
        <v>-226925.26666666672</v>
      </c>
      <c r="K151" s="8">
        <f t="shared" si="77"/>
        <v>-433510.68333333341</v>
      </c>
      <c r="L151" s="8">
        <f t="shared" si="77"/>
        <v>-661096.10000000009</v>
      </c>
      <c r="M151" s="8">
        <f t="shared" si="77"/>
        <v>-867681.51666666672</v>
      </c>
      <c r="N151" s="8">
        <f t="shared" si="77"/>
        <v>-1324266.9333333333</v>
      </c>
      <c r="O151" s="8">
        <f t="shared" si="77"/>
        <v>-1530852.35</v>
      </c>
      <c r="P151" s="8">
        <f t="shared" si="77"/>
        <v>-1737811.7666666668</v>
      </c>
      <c r="Q151" s="8">
        <f t="shared" si="77"/>
        <v>-1944771.1833333336</v>
      </c>
      <c r="R151" s="8">
        <f t="shared" si="77"/>
        <v>-2151730.6000000006</v>
      </c>
      <c r="S151" s="8">
        <f t="shared" si="77"/>
        <v>-2406056.2666666671</v>
      </c>
      <c r="T151" s="8">
        <f t="shared" si="77"/>
        <v>-2636921.9333333336</v>
      </c>
      <c r="U151" s="8">
        <f t="shared" si="77"/>
        <v>-2867787.6</v>
      </c>
      <c r="V151" s="8">
        <f t="shared" si="77"/>
        <v>-3098653.2666666666</v>
      </c>
      <c r="W151" s="8">
        <f t="shared" si="77"/>
        <v>-3329518.9333333331</v>
      </c>
      <c r="X151" s="8">
        <f t="shared" si="77"/>
        <v>-3460398.8432854447</v>
      </c>
      <c r="Y151" s="8">
        <f t="shared" si="77"/>
        <v>-3561264.5099521112</v>
      </c>
      <c r="Z151" s="8">
        <f t="shared" si="77"/>
        <v>-3912130.1766187777</v>
      </c>
      <c r="AA151" s="8">
        <f t="shared" si="77"/>
        <v>-3955620.8432854442</v>
      </c>
      <c r="AB151" s="8">
        <f t="shared" si="77"/>
        <v>-4056867.9899521107</v>
      </c>
      <c r="AC151" s="8">
        <f t="shared" si="77"/>
        <v>-4158115.1366187772</v>
      </c>
      <c r="AD151" s="8">
        <f t="shared" si="77"/>
        <v>-4201987.2832854437</v>
      </c>
      <c r="AE151" s="8">
        <f t="shared" si="77"/>
        <v>-4327163.6299521104</v>
      </c>
      <c r="AF151" s="8">
        <f t="shared" si="77"/>
        <v>-4428410.7766187768</v>
      </c>
      <c r="AG151" s="8">
        <f t="shared" si="77"/>
        <v>-4529657.9232854433</v>
      </c>
      <c r="AH151" s="8">
        <f t="shared" si="77"/>
        <v>-4640405.0699521098</v>
      </c>
      <c r="AI151" s="8">
        <f t="shared" si="77"/>
        <v>-4751152.2166187763</v>
      </c>
      <c r="AJ151" s="8">
        <f t="shared" ref="AJ151:BO151" si="78">AI156</f>
        <v>-4883747.7632854432</v>
      </c>
      <c r="AK151" s="8">
        <f t="shared" si="78"/>
        <v>-4994494.9099521097</v>
      </c>
      <c r="AL151" s="8">
        <f t="shared" si="78"/>
        <v>-5105242.0566187762</v>
      </c>
      <c r="AM151" s="8">
        <f t="shared" si="78"/>
        <v>-5215989.2032854427</v>
      </c>
      <c r="AN151" s="8">
        <f t="shared" si="78"/>
        <v>-5327125.4595521092</v>
      </c>
      <c r="AO151" s="8">
        <f t="shared" si="78"/>
        <v>-5438261.7158187758</v>
      </c>
      <c r="AP151" s="8">
        <f t="shared" si="78"/>
        <v>-5549397.9720854424</v>
      </c>
      <c r="AQ151" s="8">
        <f t="shared" si="78"/>
        <v>-5684942.012352109</v>
      </c>
      <c r="AR151" s="8">
        <f t="shared" si="78"/>
        <v>-5796078.2686187755</v>
      </c>
      <c r="AS151" s="8">
        <f t="shared" si="78"/>
        <v>-5907214.5248854421</v>
      </c>
      <c r="AT151" s="8">
        <f t="shared" si="78"/>
        <v>-6018350.7811521087</v>
      </c>
      <c r="AU151" s="8">
        <f t="shared" si="78"/>
        <v>-6129487.0374187753</v>
      </c>
      <c r="AV151" s="8">
        <f t="shared" si="78"/>
        <v>-6262908.6616854416</v>
      </c>
      <c r="AW151" s="8">
        <f t="shared" si="78"/>
        <v>-6374044.9179521082</v>
      </c>
      <c r="AX151" s="8">
        <f t="shared" si="78"/>
        <v>-6485181.1742187748</v>
      </c>
      <c r="AY151" s="8">
        <f t="shared" si="78"/>
        <v>-6596317.4304854413</v>
      </c>
      <c r="AZ151" s="8">
        <f t="shared" si="78"/>
        <v>-6707850.5785441082</v>
      </c>
      <c r="BA151" s="8">
        <f t="shared" si="78"/>
        <v>-6819383.726602775</v>
      </c>
      <c r="BB151" s="8">
        <f t="shared" si="78"/>
        <v>-6930916.8746614419</v>
      </c>
      <c r="BC151" s="8">
        <f t="shared" si="78"/>
        <v>-7067345.9624001086</v>
      </c>
      <c r="BD151" s="8">
        <f t="shared" si="78"/>
        <v>-7178879.1104587754</v>
      </c>
      <c r="BE151" s="8">
        <f t="shared" si="78"/>
        <v>-7290412.2585174423</v>
      </c>
      <c r="BF151" s="8">
        <f t="shared" si="78"/>
        <v>-7401945.4065761091</v>
      </c>
      <c r="BG151" s="8">
        <f t="shared" si="78"/>
        <v>-7513478.554634776</v>
      </c>
      <c r="BH151" s="8">
        <f t="shared" si="78"/>
        <v>-7647742.7780534429</v>
      </c>
      <c r="BI151" s="8">
        <f t="shared" si="78"/>
        <v>-7759275.9261121098</v>
      </c>
      <c r="BJ151" s="8">
        <f t="shared" si="78"/>
        <v>-7870809.0741707766</v>
      </c>
      <c r="BK151" s="8">
        <f t="shared" si="78"/>
        <v>-7982342.2222294435</v>
      </c>
      <c r="BL151" s="8">
        <f t="shared" si="78"/>
        <v>-8094280.1999159502</v>
      </c>
      <c r="BM151" s="8">
        <f t="shared" si="78"/>
        <v>-8206218.1776024569</v>
      </c>
      <c r="BN151" s="8">
        <f t="shared" si="78"/>
        <v>-8318156.1552889636</v>
      </c>
      <c r="BO151" s="8">
        <f t="shared" si="78"/>
        <v>-8455487.9914490711</v>
      </c>
      <c r="BP151" s="8">
        <f t="shared" ref="BP151:CH151" si="79">BO156</f>
        <v>-8567425.9691355769</v>
      </c>
      <c r="BQ151" s="8">
        <f t="shared" si="79"/>
        <v>-8627850.4268220831</v>
      </c>
      <c r="BR151" s="8">
        <f t="shared" si="79"/>
        <v>-8739788.4045085888</v>
      </c>
      <c r="BS151" s="8">
        <f t="shared" si="79"/>
        <v>-8851726.3821950946</v>
      </c>
      <c r="BT151" s="8">
        <f t="shared" si="79"/>
        <v>-8919088.0567488018</v>
      </c>
      <c r="BU151" s="8">
        <f t="shared" si="79"/>
        <v>-9031026.0344353076</v>
      </c>
      <c r="BV151" s="8">
        <f t="shared" si="79"/>
        <v>-9142964.0121218134</v>
      </c>
      <c r="BW151" s="8">
        <f t="shared" si="79"/>
        <v>-9187139.9898083191</v>
      </c>
      <c r="BX151" s="8">
        <f t="shared" si="79"/>
        <v>-9299490.8937152233</v>
      </c>
      <c r="BY151" s="8">
        <f t="shared" si="79"/>
        <v>-9411841.7976221275</v>
      </c>
      <c r="BZ151" s="8">
        <f t="shared" si="79"/>
        <v>-9456430.7015290316</v>
      </c>
      <c r="CA151" s="8">
        <f t="shared" si="79"/>
        <v>-9594683.3410790078</v>
      </c>
      <c r="CB151" s="8">
        <f t="shared" si="79"/>
        <v>-9707034.244985912</v>
      </c>
      <c r="CC151" s="8">
        <f t="shared" si="79"/>
        <v>-9742886.1488928162</v>
      </c>
      <c r="CD151" s="8">
        <f t="shared" si="79"/>
        <v>-9855237.0527997203</v>
      </c>
      <c r="CE151" s="8">
        <f t="shared" si="79"/>
        <v>-9967587.9567066245</v>
      </c>
      <c r="CF151" s="8">
        <f t="shared" si="79"/>
        <v>-10027089.271418072</v>
      </c>
      <c r="CG151" s="8">
        <f t="shared" si="79"/>
        <v>-10139440.175324976</v>
      </c>
      <c r="CH151" s="8">
        <f t="shared" si="79"/>
        <v>-10251791.079231881</v>
      </c>
      <c r="CI151" s="23"/>
      <c r="CJ151" s="54"/>
      <c r="CK151" s="54"/>
    </row>
    <row r="152" spans="1:89" ht="15" customHeight="1" x14ac:dyDescent="0.25">
      <c r="A152" s="7" t="s">
        <v>234</v>
      </c>
      <c r="B152" s="22"/>
      <c r="C152" s="8">
        <f t="shared" ref="C152:AH152" si="80">C87</f>
        <v>-66377.08666666667</v>
      </c>
      <c r="D152" s="8">
        <f t="shared" si="80"/>
        <v>-66377.08666666667</v>
      </c>
      <c r="E152" s="8">
        <f t="shared" si="80"/>
        <v>-66377.08666666667</v>
      </c>
      <c r="F152" s="8">
        <f t="shared" si="80"/>
        <v>-89377.086666666684</v>
      </c>
      <c r="G152" s="8">
        <f t="shared" si="80"/>
        <v>-66377.08666666667</v>
      </c>
      <c r="H152" s="8">
        <f t="shared" si="80"/>
        <v>-67210.416666666672</v>
      </c>
      <c r="I152" s="8">
        <f t="shared" si="80"/>
        <v>-67210.416666666672</v>
      </c>
      <c r="J152" s="8">
        <f t="shared" si="80"/>
        <v>-76585.416666666672</v>
      </c>
      <c r="K152" s="8">
        <f t="shared" si="80"/>
        <v>-97585.416666666672</v>
      </c>
      <c r="L152" s="8">
        <f t="shared" si="80"/>
        <v>-76585.416666666672</v>
      </c>
      <c r="M152" s="8">
        <f t="shared" si="80"/>
        <v>-76585.416666666672</v>
      </c>
      <c r="N152" s="8">
        <f t="shared" si="80"/>
        <v>-76585.416666666672</v>
      </c>
      <c r="O152" s="8">
        <f t="shared" si="80"/>
        <v>-76959.416666666672</v>
      </c>
      <c r="P152" s="8">
        <f t="shared" si="80"/>
        <v>-76959.416666666672</v>
      </c>
      <c r="Q152" s="8">
        <f t="shared" si="80"/>
        <v>-76959.416666666672</v>
      </c>
      <c r="R152" s="8">
        <f t="shared" si="80"/>
        <v>-124325.66666666669</v>
      </c>
      <c r="S152" s="8">
        <f t="shared" si="80"/>
        <v>-100865.66666666667</v>
      </c>
      <c r="T152" s="8">
        <f t="shared" si="80"/>
        <v>-100865.66666666667</v>
      </c>
      <c r="U152" s="8">
        <f t="shared" si="80"/>
        <v>-100865.66666666667</v>
      </c>
      <c r="V152" s="8">
        <f t="shared" si="80"/>
        <v>-100865.66666666667</v>
      </c>
      <c r="W152" s="8">
        <f t="shared" si="80"/>
        <v>-64910.666666666686</v>
      </c>
      <c r="X152" s="8">
        <f t="shared" si="80"/>
        <v>-100865.66666666667</v>
      </c>
      <c r="Y152" s="8">
        <f t="shared" si="80"/>
        <v>-100865.66666666667</v>
      </c>
      <c r="Z152" s="8">
        <f t="shared" si="80"/>
        <v>-43490.666666666672</v>
      </c>
      <c r="AA152" s="8">
        <f t="shared" si="80"/>
        <v>-101247.14666666667</v>
      </c>
      <c r="AB152" s="8">
        <f t="shared" si="80"/>
        <v>-101247.14666666667</v>
      </c>
      <c r="AC152" s="8">
        <f t="shared" si="80"/>
        <v>-43872.146666666667</v>
      </c>
      <c r="AD152" s="8">
        <f t="shared" si="80"/>
        <v>-125176.34666666668</v>
      </c>
      <c r="AE152" s="8">
        <f t="shared" si="80"/>
        <v>-101247.14666666667</v>
      </c>
      <c r="AF152" s="8">
        <f t="shared" si="80"/>
        <v>-101247.14666666667</v>
      </c>
      <c r="AG152" s="8">
        <f t="shared" si="80"/>
        <v>-110747.14666666667</v>
      </c>
      <c r="AH152" s="8">
        <f t="shared" si="80"/>
        <v>-110747.14666666667</v>
      </c>
      <c r="AI152" s="8">
        <f t="shared" ref="AI152:BN152" si="81">AI87</f>
        <v>-132595.54666666669</v>
      </c>
      <c r="AJ152" s="8">
        <f t="shared" si="81"/>
        <v>-110747.14666666667</v>
      </c>
      <c r="AK152" s="8">
        <f t="shared" si="81"/>
        <v>-110747.14666666667</v>
      </c>
      <c r="AL152" s="8">
        <f t="shared" si="81"/>
        <v>-110747.14666666667</v>
      </c>
      <c r="AM152" s="8">
        <f t="shared" si="81"/>
        <v>-111136.25626666668</v>
      </c>
      <c r="AN152" s="8">
        <f t="shared" si="81"/>
        <v>-111136.25626666668</v>
      </c>
      <c r="AO152" s="8">
        <f t="shared" si="81"/>
        <v>-111136.25626666668</v>
      </c>
      <c r="AP152" s="8">
        <f t="shared" si="81"/>
        <v>-135544.04026666668</v>
      </c>
      <c r="AQ152" s="8">
        <f t="shared" si="81"/>
        <v>-111136.25626666668</v>
      </c>
      <c r="AR152" s="8">
        <f t="shared" si="81"/>
        <v>-111136.25626666669</v>
      </c>
      <c r="AS152" s="8">
        <f t="shared" si="81"/>
        <v>-111136.25626666668</v>
      </c>
      <c r="AT152" s="8">
        <f t="shared" si="81"/>
        <v>-111136.25626666668</v>
      </c>
      <c r="AU152" s="8">
        <f t="shared" si="81"/>
        <v>-133421.62426666665</v>
      </c>
      <c r="AV152" s="8">
        <f t="shared" si="81"/>
        <v>-111136.25626666668</v>
      </c>
      <c r="AW152" s="8">
        <f t="shared" si="81"/>
        <v>-111136.25626666668</v>
      </c>
      <c r="AX152" s="8">
        <f t="shared" si="81"/>
        <v>-111136.25626666669</v>
      </c>
      <c r="AY152" s="8">
        <f t="shared" si="81"/>
        <v>-111533.14805866667</v>
      </c>
      <c r="AZ152" s="8">
        <f t="shared" si="81"/>
        <v>-111533.14805866667</v>
      </c>
      <c r="BA152" s="8">
        <f t="shared" si="81"/>
        <v>-111533.14805866661</v>
      </c>
      <c r="BB152" s="8">
        <f t="shared" si="81"/>
        <v>-136429.08773866668</v>
      </c>
      <c r="BC152" s="8">
        <f t="shared" si="81"/>
        <v>-111533.14805866667</v>
      </c>
      <c r="BD152" s="8">
        <f t="shared" si="81"/>
        <v>-111533.14805866667</v>
      </c>
      <c r="BE152" s="8">
        <f t="shared" si="81"/>
        <v>-111533.14805866667</v>
      </c>
      <c r="BF152" s="8">
        <f t="shared" si="81"/>
        <v>-111533.14805866667</v>
      </c>
      <c r="BG152" s="8">
        <f t="shared" si="81"/>
        <v>-134264.22341866669</v>
      </c>
      <c r="BH152" s="8">
        <f t="shared" si="81"/>
        <v>-111533.14805866667</v>
      </c>
      <c r="BI152" s="8">
        <f t="shared" si="81"/>
        <v>-111533.14805866667</v>
      </c>
      <c r="BJ152" s="8">
        <f t="shared" si="81"/>
        <v>-111533.14805866667</v>
      </c>
      <c r="BK152" s="8">
        <f t="shared" si="81"/>
        <v>-111937.97768650667</v>
      </c>
      <c r="BL152" s="8">
        <f t="shared" si="81"/>
        <v>-111937.97768650667</v>
      </c>
      <c r="BM152" s="8">
        <f t="shared" si="81"/>
        <v>-111937.9776865067</v>
      </c>
      <c r="BN152" s="8">
        <f t="shared" si="81"/>
        <v>-137331.83616010667</v>
      </c>
      <c r="BO152" s="8">
        <f t="shared" ref="BO152:CH152" si="82">BO87</f>
        <v>-111937.97768650667</v>
      </c>
      <c r="BP152" s="8">
        <f t="shared" si="82"/>
        <v>-60424.457686506648</v>
      </c>
      <c r="BQ152" s="8">
        <f t="shared" si="82"/>
        <v>-111937.97768650667</v>
      </c>
      <c r="BR152" s="8">
        <f t="shared" si="82"/>
        <v>-111937.97768650667</v>
      </c>
      <c r="BS152" s="8">
        <f t="shared" si="82"/>
        <v>-67361.67455370666</v>
      </c>
      <c r="BT152" s="8">
        <f t="shared" si="82"/>
        <v>-111937.97768650667</v>
      </c>
      <c r="BU152" s="8">
        <f t="shared" si="82"/>
        <v>-111937.97768650667</v>
      </c>
      <c r="BV152" s="8">
        <f t="shared" si="82"/>
        <v>-44175.977686506667</v>
      </c>
      <c r="BW152" s="8">
        <f t="shared" si="82"/>
        <v>-112350.90390690346</v>
      </c>
      <c r="BX152" s="8">
        <f t="shared" si="82"/>
        <v>-112350.90390690346</v>
      </c>
      <c r="BY152" s="8">
        <f t="shared" si="82"/>
        <v>-44588.903906903462</v>
      </c>
      <c r="BZ152" s="8">
        <f t="shared" si="82"/>
        <v>-138252.63954997546</v>
      </c>
      <c r="CA152" s="8">
        <f t="shared" si="82"/>
        <v>-112350.90390690346</v>
      </c>
      <c r="CB152" s="8">
        <f t="shared" si="82"/>
        <v>-35851.903906903462</v>
      </c>
      <c r="CC152" s="8">
        <f t="shared" si="82"/>
        <v>-112350.90390690346</v>
      </c>
      <c r="CD152" s="8">
        <f t="shared" si="82"/>
        <v>-112350.90390690346</v>
      </c>
      <c r="CE152" s="8">
        <f t="shared" si="82"/>
        <v>-59501.314711447456</v>
      </c>
      <c r="CF152" s="8">
        <f t="shared" si="82"/>
        <v>-112350.90390690346</v>
      </c>
      <c r="CG152" s="8">
        <f t="shared" si="82"/>
        <v>-112350.90390690346</v>
      </c>
      <c r="CH152" s="8">
        <f t="shared" si="82"/>
        <v>-29243.877300424268</v>
      </c>
      <c r="CI152" s="23"/>
      <c r="CJ152" s="54"/>
      <c r="CK152" s="54"/>
    </row>
    <row r="153" spans="1:89" ht="15" customHeight="1" x14ac:dyDescent="0.25">
      <c r="A153" s="7" t="s">
        <v>235</v>
      </c>
      <c r="B153" s="22"/>
      <c r="C153" s="8">
        <f t="shared" ref="C153:AH153" si="83">C101</f>
        <v>0</v>
      </c>
      <c r="D153" s="8">
        <f t="shared" si="83"/>
        <v>0</v>
      </c>
      <c r="E153" s="8">
        <f t="shared" si="83"/>
        <v>0</v>
      </c>
      <c r="F153" s="8">
        <f t="shared" si="83"/>
        <v>0</v>
      </c>
      <c r="G153" s="8">
        <f t="shared" si="83"/>
        <v>0</v>
      </c>
      <c r="H153" s="8">
        <f t="shared" si="83"/>
        <v>0</v>
      </c>
      <c r="I153" s="8">
        <f t="shared" si="83"/>
        <v>-130000</v>
      </c>
      <c r="J153" s="8">
        <f t="shared" si="83"/>
        <v>-130000</v>
      </c>
      <c r="K153" s="8">
        <f t="shared" si="83"/>
        <v>-130000</v>
      </c>
      <c r="L153" s="8">
        <f t="shared" si="83"/>
        <v>-130000</v>
      </c>
      <c r="M153" s="8">
        <f t="shared" si="83"/>
        <v>-130000</v>
      </c>
      <c r="N153" s="8">
        <f t="shared" si="83"/>
        <v>-130000</v>
      </c>
      <c r="O153" s="8">
        <f t="shared" si="83"/>
        <v>-130000</v>
      </c>
      <c r="P153" s="8">
        <f t="shared" si="83"/>
        <v>-130000</v>
      </c>
      <c r="Q153" s="8">
        <f t="shared" si="83"/>
        <v>-130000</v>
      </c>
      <c r="R153" s="8">
        <f t="shared" si="83"/>
        <v>-130000</v>
      </c>
      <c r="S153" s="8">
        <f t="shared" si="83"/>
        <v>-130000</v>
      </c>
      <c r="T153" s="8">
        <f t="shared" si="83"/>
        <v>-130000</v>
      </c>
      <c r="U153" s="8">
        <f t="shared" si="83"/>
        <v>-130000</v>
      </c>
      <c r="V153" s="8">
        <f t="shared" si="83"/>
        <v>-130000</v>
      </c>
      <c r="W153" s="8">
        <f t="shared" si="83"/>
        <v>-65969.24328544506</v>
      </c>
      <c r="X153" s="8">
        <f t="shared" si="83"/>
        <v>0</v>
      </c>
      <c r="Y153" s="8">
        <f t="shared" si="83"/>
        <v>0</v>
      </c>
      <c r="Z153" s="8">
        <f t="shared" si="83"/>
        <v>0</v>
      </c>
      <c r="AA153" s="8">
        <f t="shared" si="83"/>
        <v>0</v>
      </c>
      <c r="AB153" s="8">
        <f t="shared" si="83"/>
        <v>0</v>
      </c>
      <c r="AC153" s="8">
        <f t="shared" si="83"/>
        <v>0</v>
      </c>
      <c r="AD153" s="8">
        <f t="shared" si="83"/>
        <v>0</v>
      </c>
      <c r="AE153" s="8">
        <f t="shared" si="83"/>
        <v>0</v>
      </c>
      <c r="AF153" s="8">
        <f t="shared" si="83"/>
        <v>0</v>
      </c>
      <c r="AG153" s="8">
        <f t="shared" si="83"/>
        <v>0</v>
      </c>
      <c r="AH153" s="8">
        <f t="shared" si="83"/>
        <v>0</v>
      </c>
      <c r="AI153" s="8">
        <f t="shared" ref="AI153:BN153" si="84">AI101</f>
        <v>0</v>
      </c>
      <c r="AJ153" s="8">
        <f t="shared" si="84"/>
        <v>0</v>
      </c>
      <c r="AK153" s="8">
        <f t="shared" si="84"/>
        <v>0</v>
      </c>
      <c r="AL153" s="8">
        <f t="shared" si="84"/>
        <v>0</v>
      </c>
      <c r="AM153" s="8">
        <f t="shared" si="84"/>
        <v>0</v>
      </c>
      <c r="AN153" s="8">
        <f t="shared" si="84"/>
        <v>0</v>
      </c>
      <c r="AO153" s="8">
        <f t="shared" si="84"/>
        <v>0</v>
      </c>
      <c r="AP153" s="8">
        <f t="shared" si="84"/>
        <v>0</v>
      </c>
      <c r="AQ153" s="8">
        <f t="shared" si="84"/>
        <v>0</v>
      </c>
      <c r="AR153" s="8">
        <f t="shared" si="84"/>
        <v>0</v>
      </c>
      <c r="AS153" s="8">
        <f t="shared" si="84"/>
        <v>0</v>
      </c>
      <c r="AT153" s="8">
        <f t="shared" si="84"/>
        <v>0</v>
      </c>
      <c r="AU153" s="8">
        <f t="shared" si="84"/>
        <v>0</v>
      </c>
      <c r="AV153" s="8">
        <f t="shared" si="84"/>
        <v>0</v>
      </c>
      <c r="AW153" s="8">
        <f t="shared" si="84"/>
        <v>0</v>
      </c>
      <c r="AX153" s="8">
        <f t="shared" si="84"/>
        <v>0</v>
      </c>
      <c r="AY153" s="8">
        <f t="shared" si="84"/>
        <v>0</v>
      </c>
      <c r="AZ153" s="8">
        <f t="shared" si="84"/>
        <v>0</v>
      </c>
      <c r="BA153" s="8">
        <f t="shared" si="84"/>
        <v>0</v>
      </c>
      <c r="BB153" s="8">
        <f t="shared" si="84"/>
        <v>0</v>
      </c>
      <c r="BC153" s="8">
        <f t="shared" si="84"/>
        <v>0</v>
      </c>
      <c r="BD153" s="8">
        <f t="shared" si="84"/>
        <v>0</v>
      </c>
      <c r="BE153" s="8">
        <f t="shared" si="84"/>
        <v>0</v>
      </c>
      <c r="BF153" s="8">
        <f t="shared" si="84"/>
        <v>0</v>
      </c>
      <c r="BG153" s="8">
        <f t="shared" si="84"/>
        <v>0</v>
      </c>
      <c r="BH153" s="8">
        <f t="shared" si="84"/>
        <v>0</v>
      </c>
      <c r="BI153" s="8">
        <f t="shared" si="84"/>
        <v>0</v>
      </c>
      <c r="BJ153" s="8">
        <f t="shared" si="84"/>
        <v>0</v>
      </c>
      <c r="BK153" s="8">
        <f t="shared" si="84"/>
        <v>0</v>
      </c>
      <c r="BL153" s="8">
        <f t="shared" si="84"/>
        <v>0</v>
      </c>
      <c r="BM153" s="8">
        <f t="shared" si="84"/>
        <v>0</v>
      </c>
      <c r="BN153" s="8">
        <f t="shared" si="84"/>
        <v>0</v>
      </c>
      <c r="BO153" s="8">
        <f t="shared" ref="BO153:CH153" si="85">BO101</f>
        <v>0</v>
      </c>
      <c r="BP153" s="8">
        <f t="shared" si="85"/>
        <v>0</v>
      </c>
      <c r="BQ153" s="8">
        <f t="shared" si="85"/>
        <v>0</v>
      </c>
      <c r="BR153" s="8">
        <f t="shared" si="85"/>
        <v>0</v>
      </c>
      <c r="BS153" s="8">
        <f t="shared" si="85"/>
        <v>0</v>
      </c>
      <c r="BT153" s="8">
        <f t="shared" si="85"/>
        <v>0</v>
      </c>
      <c r="BU153" s="8">
        <f t="shared" si="85"/>
        <v>0</v>
      </c>
      <c r="BV153" s="8">
        <f t="shared" si="85"/>
        <v>0</v>
      </c>
      <c r="BW153" s="8">
        <f t="shared" si="85"/>
        <v>0</v>
      </c>
      <c r="BX153" s="8">
        <f t="shared" si="85"/>
        <v>0</v>
      </c>
      <c r="BY153" s="8">
        <f t="shared" si="85"/>
        <v>0</v>
      </c>
      <c r="BZ153" s="8">
        <f t="shared" si="85"/>
        <v>0</v>
      </c>
      <c r="CA153" s="8">
        <f t="shared" si="85"/>
        <v>0</v>
      </c>
      <c r="CB153" s="8">
        <f t="shared" si="85"/>
        <v>0</v>
      </c>
      <c r="CC153" s="8">
        <f t="shared" si="85"/>
        <v>0</v>
      </c>
      <c r="CD153" s="8">
        <f t="shared" si="85"/>
        <v>0</v>
      </c>
      <c r="CE153" s="8">
        <f t="shared" si="85"/>
        <v>0</v>
      </c>
      <c r="CF153" s="8">
        <f t="shared" si="85"/>
        <v>0</v>
      </c>
      <c r="CG153" s="8">
        <f t="shared" si="85"/>
        <v>0</v>
      </c>
      <c r="CH153" s="8">
        <f t="shared" si="85"/>
        <v>0</v>
      </c>
      <c r="CI153" s="23"/>
      <c r="CJ153" s="54"/>
      <c r="CK153" s="54"/>
    </row>
    <row r="154" spans="1:89" ht="15" customHeight="1" x14ac:dyDescent="0.25">
      <c r="A154" s="7" t="s">
        <v>236</v>
      </c>
      <c r="B154" s="22"/>
      <c r="C154" s="8">
        <f t="shared" ref="C154:AH154" si="86">C107</f>
        <v>0</v>
      </c>
      <c r="D154" s="8">
        <f t="shared" si="86"/>
        <v>0</v>
      </c>
      <c r="E154" s="8">
        <f t="shared" si="86"/>
        <v>0</v>
      </c>
      <c r="F154" s="8">
        <f t="shared" si="86"/>
        <v>0</v>
      </c>
      <c r="G154" s="8">
        <f t="shared" si="86"/>
        <v>0</v>
      </c>
      <c r="H154" s="8">
        <f t="shared" si="86"/>
        <v>0</v>
      </c>
      <c r="I154" s="8">
        <f t="shared" si="86"/>
        <v>0</v>
      </c>
      <c r="J154" s="8">
        <f t="shared" si="86"/>
        <v>0</v>
      </c>
      <c r="K154" s="8">
        <f t="shared" si="86"/>
        <v>0</v>
      </c>
      <c r="L154" s="8">
        <f t="shared" si="86"/>
        <v>0</v>
      </c>
      <c r="M154" s="8">
        <f t="shared" si="86"/>
        <v>-250000</v>
      </c>
      <c r="N154" s="8">
        <f t="shared" si="86"/>
        <v>0</v>
      </c>
      <c r="O154" s="8">
        <f t="shared" si="86"/>
        <v>0</v>
      </c>
      <c r="P154" s="8">
        <f t="shared" si="86"/>
        <v>0</v>
      </c>
      <c r="Q154" s="8">
        <f t="shared" si="86"/>
        <v>0</v>
      </c>
      <c r="R154" s="8">
        <f t="shared" si="86"/>
        <v>0</v>
      </c>
      <c r="S154" s="8">
        <f t="shared" si="86"/>
        <v>0</v>
      </c>
      <c r="T154" s="8">
        <f t="shared" si="86"/>
        <v>0</v>
      </c>
      <c r="U154" s="8">
        <f t="shared" si="86"/>
        <v>0</v>
      </c>
      <c r="V154" s="8">
        <f t="shared" si="86"/>
        <v>0</v>
      </c>
      <c r="W154" s="8">
        <f t="shared" si="86"/>
        <v>0</v>
      </c>
      <c r="X154" s="8">
        <f t="shared" si="86"/>
        <v>0</v>
      </c>
      <c r="Y154" s="8">
        <f t="shared" si="86"/>
        <v>-250000</v>
      </c>
      <c r="Z154" s="8">
        <f t="shared" si="86"/>
        <v>0</v>
      </c>
      <c r="AA154" s="8">
        <f t="shared" si="86"/>
        <v>0</v>
      </c>
      <c r="AB154" s="8">
        <f t="shared" si="86"/>
        <v>0</v>
      </c>
      <c r="AC154" s="8">
        <f t="shared" si="86"/>
        <v>0</v>
      </c>
      <c r="AD154" s="8">
        <f t="shared" si="86"/>
        <v>0</v>
      </c>
      <c r="AE154" s="8">
        <f t="shared" si="86"/>
        <v>0</v>
      </c>
      <c r="AF154" s="8">
        <f t="shared" si="86"/>
        <v>0</v>
      </c>
      <c r="AG154" s="8">
        <f t="shared" si="86"/>
        <v>0</v>
      </c>
      <c r="AH154" s="8">
        <f t="shared" si="86"/>
        <v>0</v>
      </c>
      <c r="AI154" s="8">
        <f t="shared" ref="AI154:BN154" si="87">AI107</f>
        <v>0</v>
      </c>
      <c r="AJ154" s="8">
        <f t="shared" si="87"/>
        <v>0</v>
      </c>
      <c r="AK154" s="8">
        <f t="shared" si="87"/>
        <v>0</v>
      </c>
      <c r="AL154" s="8">
        <f t="shared" si="87"/>
        <v>0</v>
      </c>
      <c r="AM154" s="8">
        <f t="shared" si="87"/>
        <v>0</v>
      </c>
      <c r="AN154" s="8">
        <f t="shared" si="87"/>
        <v>0</v>
      </c>
      <c r="AO154" s="8">
        <f t="shared" si="87"/>
        <v>0</v>
      </c>
      <c r="AP154" s="8">
        <f t="shared" si="87"/>
        <v>0</v>
      </c>
      <c r="AQ154" s="8">
        <f t="shared" si="87"/>
        <v>0</v>
      </c>
      <c r="AR154" s="8">
        <f t="shared" si="87"/>
        <v>0</v>
      </c>
      <c r="AS154" s="8">
        <f t="shared" si="87"/>
        <v>0</v>
      </c>
      <c r="AT154" s="8">
        <f t="shared" si="87"/>
        <v>0</v>
      </c>
      <c r="AU154" s="8">
        <f t="shared" si="87"/>
        <v>0</v>
      </c>
      <c r="AV154" s="8">
        <f t="shared" si="87"/>
        <v>0</v>
      </c>
      <c r="AW154" s="8">
        <f t="shared" si="87"/>
        <v>0</v>
      </c>
      <c r="AX154" s="8">
        <f t="shared" si="87"/>
        <v>0</v>
      </c>
      <c r="AY154" s="8">
        <f t="shared" si="87"/>
        <v>0</v>
      </c>
      <c r="AZ154" s="8">
        <f t="shared" si="87"/>
        <v>0</v>
      </c>
      <c r="BA154" s="8">
        <f t="shared" si="87"/>
        <v>0</v>
      </c>
      <c r="BB154" s="8">
        <f t="shared" si="87"/>
        <v>0</v>
      </c>
      <c r="BC154" s="8">
        <f t="shared" si="87"/>
        <v>0</v>
      </c>
      <c r="BD154" s="8">
        <f t="shared" si="87"/>
        <v>0</v>
      </c>
      <c r="BE154" s="8">
        <f t="shared" si="87"/>
        <v>0</v>
      </c>
      <c r="BF154" s="8">
        <f t="shared" si="87"/>
        <v>0</v>
      </c>
      <c r="BG154" s="8">
        <f t="shared" si="87"/>
        <v>0</v>
      </c>
      <c r="BH154" s="8">
        <f t="shared" si="87"/>
        <v>0</v>
      </c>
      <c r="BI154" s="8">
        <f t="shared" si="87"/>
        <v>0</v>
      </c>
      <c r="BJ154" s="8">
        <f t="shared" si="87"/>
        <v>0</v>
      </c>
      <c r="BK154" s="8">
        <f t="shared" si="87"/>
        <v>0</v>
      </c>
      <c r="BL154" s="8">
        <f t="shared" si="87"/>
        <v>0</v>
      </c>
      <c r="BM154" s="8">
        <f t="shared" si="87"/>
        <v>0</v>
      </c>
      <c r="BN154" s="8">
        <f t="shared" si="87"/>
        <v>0</v>
      </c>
      <c r="BO154" s="8">
        <f t="shared" ref="BO154:CH154" si="88">BO107</f>
        <v>0</v>
      </c>
      <c r="BP154" s="8">
        <f t="shared" si="88"/>
        <v>0</v>
      </c>
      <c r="BQ154" s="8">
        <f t="shared" si="88"/>
        <v>0</v>
      </c>
      <c r="BR154" s="8">
        <f t="shared" si="88"/>
        <v>0</v>
      </c>
      <c r="BS154" s="8">
        <f t="shared" si="88"/>
        <v>0</v>
      </c>
      <c r="BT154" s="8">
        <f t="shared" si="88"/>
        <v>0</v>
      </c>
      <c r="BU154" s="8">
        <f t="shared" si="88"/>
        <v>0</v>
      </c>
      <c r="BV154" s="8">
        <f t="shared" si="88"/>
        <v>0</v>
      </c>
      <c r="BW154" s="8">
        <f t="shared" si="88"/>
        <v>0</v>
      </c>
      <c r="BX154" s="8">
        <f t="shared" si="88"/>
        <v>0</v>
      </c>
      <c r="BY154" s="8">
        <f t="shared" si="88"/>
        <v>0</v>
      </c>
      <c r="BZ154" s="8">
        <f t="shared" si="88"/>
        <v>0</v>
      </c>
      <c r="CA154" s="8">
        <f t="shared" si="88"/>
        <v>0</v>
      </c>
      <c r="CB154" s="8">
        <f t="shared" si="88"/>
        <v>0</v>
      </c>
      <c r="CC154" s="8">
        <f t="shared" si="88"/>
        <v>0</v>
      </c>
      <c r="CD154" s="8">
        <f t="shared" si="88"/>
        <v>0</v>
      </c>
      <c r="CE154" s="8">
        <f t="shared" si="88"/>
        <v>0</v>
      </c>
      <c r="CF154" s="8">
        <f t="shared" si="88"/>
        <v>0</v>
      </c>
      <c r="CG154" s="8">
        <f t="shared" si="88"/>
        <v>0</v>
      </c>
      <c r="CH154" s="8">
        <f t="shared" si="88"/>
        <v>0</v>
      </c>
      <c r="CI154" s="23"/>
      <c r="CJ154" s="54"/>
      <c r="CK154" s="54"/>
    </row>
    <row r="155" spans="1:89" ht="15" customHeight="1" x14ac:dyDescent="0.25">
      <c r="A155" s="7" t="s">
        <v>237</v>
      </c>
      <c r="B155" s="22"/>
      <c r="C155" s="8">
        <v>200000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108</v>
      </c>
      <c r="B156" s="58"/>
      <c r="C156" s="59">
        <f t="shared" ref="C156:AH156" si="89">C151+C152+C153+C154+C155</f>
        <v>326003.91333333333</v>
      </c>
      <c r="D156" s="59">
        <f t="shared" si="89"/>
        <v>259626.82666666666</v>
      </c>
      <c r="E156" s="59">
        <f t="shared" si="89"/>
        <v>193249.74</v>
      </c>
      <c r="F156" s="59">
        <f t="shared" si="89"/>
        <v>103872.65333333331</v>
      </c>
      <c r="G156" s="59">
        <f t="shared" si="89"/>
        <v>37495.566666666637</v>
      </c>
      <c r="H156" s="59">
        <f t="shared" si="89"/>
        <v>-29714.850000000035</v>
      </c>
      <c r="I156" s="59">
        <f t="shared" si="89"/>
        <v>-226925.26666666672</v>
      </c>
      <c r="J156" s="59">
        <f t="shared" si="89"/>
        <v>-433510.68333333341</v>
      </c>
      <c r="K156" s="59">
        <f t="shared" si="89"/>
        <v>-661096.10000000009</v>
      </c>
      <c r="L156" s="59">
        <f t="shared" si="89"/>
        <v>-867681.51666666672</v>
      </c>
      <c r="M156" s="59">
        <f t="shared" si="89"/>
        <v>-1324266.9333333333</v>
      </c>
      <c r="N156" s="59">
        <f t="shared" si="89"/>
        <v>-1530852.35</v>
      </c>
      <c r="O156" s="59">
        <f t="shared" si="89"/>
        <v>-1737811.7666666668</v>
      </c>
      <c r="P156" s="59">
        <f t="shared" si="89"/>
        <v>-1944771.1833333336</v>
      </c>
      <c r="Q156" s="59">
        <f t="shared" si="89"/>
        <v>-2151730.6000000006</v>
      </c>
      <c r="R156" s="59">
        <f t="shared" si="89"/>
        <v>-2406056.2666666671</v>
      </c>
      <c r="S156" s="59">
        <f t="shared" si="89"/>
        <v>-2636921.9333333336</v>
      </c>
      <c r="T156" s="59">
        <f t="shared" si="89"/>
        <v>-2867787.6</v>
      </c>
      <c r="U156" s="59">
        <f t="shared" si="89"/>
        <v>-3098653.2666666666</v>
      </c>
      <c r="V156" s="59">
        <f t="shared" si="89"/>
        <v>-3329518.9333333331</v>
      </c>
      <c r="W156" s="59">
        <f t="shared" si="89"/>
        <v>-3460398.8432854447</v>
      </c>
      <c r="X156" s="59">
        <f t="shared" si="89"/>
        <v>-3561264.5099521112</v>
      </c>
      <c r="Y156" s="59">
        <f t="shared" si="89"/>
        <v>-3912130.1766187777</v>
      </c>
      <c r="Z156" s="59">
        <f t="shared" si="89"/>
        <v>-3955620.8432854442</v>
      </c>
      <c r="AA156" s="59">
        <f t="shared" si="89"/>
        <v>-4056867.9899521107</v>
      </c>
      <c r="AB156" s="59">
        <f t="shared" si="89"/>
        <v>-4158115.1366187772</v>
      </c>
      <c r="AC156" s="59">
        <f t="shared" si="89"/>
        <v>-4201987.2832854437</v>
      </c>
      <c r="AD156" s="59">
        <f t="shared" si="89"/>
        <v>-4327163.6299521104</v>
      </c>
      <c r="AE156" s="59">
        <f t="shared" si="89"/>
        <v>-4428410.7766187768</v>
      </c>
      <c r="AF156" s="59">
        <f t="shared" si="89"/>
        <v>-4529657.9232854433</v>
      </c>
      <c r="AG156" s="59">
        <f t="shared" si="89"/>
        <v>-4640405.0699521098</v>
      </c>
      <c r="AH156" s="59">
        <f t="shared" si="89"/>
        <v>-4751152.2166187763</v>
      </c>
      <c r="AI156" s="59">
        <f t="shared" ref="AI156:BN156" si="90">AI151+AI152+AI153+AI154+AI155</f>
        <v>-4883747.7632854432</v>
      </c>
      <c r="AJ156" s="59">
        <f t="shared" si="90"/>
        <v>-4994494.9099521097</v>
      </c>
      <c r="AK156" s="59">
        <f t="shared" si="90"/>
        <v>-5105242.0566187762</v>
      </c>
      <c r="AL156" s="59">
        <f t="shared" si="90"/>
        <v>-5215989.2032854427</v>
      </c>
      <c r="AM156" s="59">
        <f t="shared" si="90"/>
        <v>-5327125.4595521092</v>
      </c>
      <c r="AN156" s="59">
        <f t="shared" si="90"/>
        <v>-5438261.7158187758</v>
      </c>
      <c r="AO156" s="59">
        <f t="shared" si="90"/>
        <v>-5549397.9720854424</v>
      </c>
      <c r="AP156" s="59">
        <f t="shared" si="90"/>
        <v>-5684942.012352109</v>
      </c>
      <c r="AQ156" s="59">
        <f t="shared" si="90"/>
        <v>-5796078.2686187755</v>
      </c>
      <c r="AR156" s="59">
        <f t="shared" si="90"/>
        <v>-5907214.5248854421</v>
      </c>
      <c r="AS156" s="59">
        <f t="shared" si="90"/>
        <v>-6018350.7811521087</v>
      </c>
      <c r="AT156" s="59">
        <f t="shared" si="90"/>
        <v>-6129487.0374187753</v>
      </c>
      <c r="AU156" s="59">
        <f t="shared" si="90"/>
        <v>-6262908.6616854416</v>
      </c>
      <c r="AV156" s="59">
        <f t="shared" si="90"/>
        <v>-6374044.9179521082</v>
      </c>
      <c r="AW156" s="59">
        <f t="shared" si="90"/>
        <v>-6485181.1742187748</v>
      </c>
      <c r="AX156" s="59">
        <f t="shared" si="90"/>
        <v>-6596317.4304854413</v>
      </c>
      <c r="AY156" s="59">
        <f t="shared" si="90"/>
        <v>-6707850.5785441082</v>
      </c>
      <c r="AZ156" s="59">
        <f t="shared" si="90"/>
        <v>-6819383.726602775</v>
      </c>
      <c r="BA156" s="59">
        <f t="shared" si="90"/>
        <v>-6930916.8746614419</v>
      </c>
      <c r="BB156" s="59">
        <f t="shared" si="90"/>
        <v>-7067345.9624001086</v>
      </c>
      <c r="BC156" s="59">
        <f t="shared" si="90"/>
        <v>-7178879.1104587754</v>
      </c>
      <c r="BD156" s="59">
        <f t="shared" si="90"/>
        <v>-7290412.2585174423</v>
      </c>
      <c r="BE156" s="59">
        <f t="shared" si="90"/>
        <v>-7401945.4065761091</v>
      </c>
      <c r="BF156" s="59">
        <f t="shared" si="90"/>
        <v>-7513478.554634776</v>
      </c>
      <c r="BG156" s="59">
        <f t="shared" si="90"/>
        <v>-7647742.7780534429</v>
      </c>
      <c r="BH156" s="59">
        <f t="shared" si="90"/>
        <v>-7759275.9261121098</v>
      </c>
      <c r="BI156" s="59">
        <f t="shared" si="90"/>
        <v>-7870809.0741707766</v>
      </c>
      <c r="BJ156" s="59">
        <f t="shared" si="90"/>
        <v>-7982342.2222294435</v>
      </c>
      <c r="BK156" s="59">
        <f t="shared" si="90"/>
        <v>-8094280.1999159502</v>
      </c>
      <c r="BL156" s="59">
        <f t="shared" si="90"/>
        <v>-8206218.1776024569</v>
      </c>
      <c r="BM156" s="59">
        <f t="shared" si="90"/>
        <v>-8318156.1552889636</v>
      </c>
      <c r="BN156" s="59">
        <f t="shared" si="90"/>
        <v>-8455487.9914490711</v>
      </c>
      <c r="BO156" s="59">
        <f t="shared" ref="BO156:CT156" si="91">BO151+BO152+BO153+BO154+BO155</f>
        <v>-8567425.9691355769</v>
      </c>
      <c r="BP156" s="59">
        <f t="shared" si="91"/>
        <v>-8627850.4268220831</v>
      </c>
      <c r="BQ156" s="59">
        <f t="shared" si="91"/>
        <v>-8739788.4045085888</v>
      </c>
      <c r="BR156" s="59">
        <f t="shared" si="91"/>
        <v>-8851726.3821950946</v>
      </c>
      <c r="BS156" s="59">
        <f t="shared" si="91"/>
        <v>-8919088.0567488018</v>
      </c>
      <c r="BT156" s="59">
        <f t="shared" si="91"/>
        <v>-9031026.0344353076</v>
      </c>
      <c r="BU156" s="59">
        <f t="shared" si="91"/>
        <v>-9142964.0121218134</v>
      </c>
      <c r="BV156" s="59">
        <f t="shared" si="91"/>
        <v>-9187139.9898083191</v>
      </c>
      <c r="BW156" s="59">
        <f t="shared" si="91"/>
        <v>-9299490.8937152233</v>
      </c>
      <c r="BX156" s="59">
        <f t="shared" si="91"/>
        <v>-9411841.7976221275</v>
      </c>
      <c r="BY156" s="59">
        <f t="shared" si="91"/>
        <v>-9456430.7015290316</v>
      </c>
      <c r="BZ156" s="59">
        <f t="shared" si="91"/>
        <v>-9594683.3410790078</v>
      </c>
      <c r="CA156" s="59">
        <f t="shared" si="91"/>
        <v>-9707034.244985912</v>
      </c>
      <c r="CB156" s="59">
        <f t="shared" si="91"/>
        <v>-9742886.1488928162</v>
      </c>
      <c r="CC156" s="59">
        <f t="shared" si="91"/>
        <v>-9855237.0527997203</v>
      </c>
      <c r="CD156" s="59">
        <f t="shared" si="91"/>
        <v>-9967587.9567066245</v>
      </c>
      <c r="CE156" s="59">
        <f t="shared" si="91"/>
        <v>-10027089.271418072</v>
      </c>
      <c r="CF156" s="59">
        <f t="shared" si="91"/>
        <v>-10139440.175324976</v>
      </c>
      <c r="CG156" s="59">
        <f t="shared" si="91"/>
        <v>-10251791.079231881</v>
      </c>
      <c r="CH156" s="59">
        <f t="shared" si="91"/>
        <v>-10281034.956532305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239</v>
      </c>
      <c r="B159" s="22"/>
      <c r="C159" s="8">
        <f t="shared" ref="C159:AH159" si="92">C146+C151</f>
        <v>1263529</v>
      </c>
      <c r="D159" s="8">
        <f t="shared" si="92"/>
        <v>1494545.0221832513</v>
      </c>
      <c r="E159" s="8">
        <f t="shared" si="92"/>
        <v>1492257.2967907039</v>
      </c>
      <c r="F159" s="8">
        <f t="shared" si="92"/>
        <v>1461322.5151365187</v>
      </c>
      <c r="G159" s="8">
        <f t="shared" si="92"/>
        <v>1866249.3033068157</v>
      </c>
      <c r="H159" s="8">
        <f t="shared" si="92"/>
        <v>1974995.1127867736</v>
      </c>
      <c r="I159" s="8">
        <f t="shared" si="92"/>
        <v>2087193.6990359561</v>
      </c>
      <c r="J159" s="8">
        <f t="shared" si="92"/>
        <v>2399761.0186560638</v>
      </c>
      <c r="K159" s="8">
        <f t="shared" si="92"/>
        <v>2754264.2561241114</v>
      </c>
      <c r="L159" s="8">
        <f t="shared" si="92"/>
        <v>2855053.8348878459</v>
      </c>
      <c r="M159" s="8">
        <f t="shared" si="92"/>
        <v>2985517.7033446464</v>
      </c>
      <c r="N159" s="8">
        <f t="shared" si="92"/>
        <v>2872041.9831953207</v>
      </c>
      <c r="O159" s="8">
        <f t="shared" si="92"/>
        <v>2981877.2670315956</v>
      </c>
      <c r="P159" s="8">
        <f t="shared" si="92"/>
        <v>2455720.6805503555</v>
      </c>
      <c r="Q159" s="8">
        <f t="shared" si="92"/>
        <v>2724108.9714029767</v>
      </c>
      <c r="R159" s="8">
        <f t="shared" si="92"/>
        <v>3111721.8833894134</v>
      </c>
      <c r="S159" s="8">
        <f t="shared" si="92"/>
        <v>3292701.7022052421</v>
      </c>
      <c r="T159" s="8">
        <f t="shared" si="92"/>
        <v>3309680.4298430244</v>
      </c>
      <c r="U159" s="8">
        <f t="shared" si="92"/>
        <v>3296621.4776123459</v>
      </c>
      <c r="V159" s="8">
        <f t="shared" si="92"/>
        <v>3330140.8867831118</v>
      </c>
      <c r="W159" s="8">
        <f t="shared" si="92"/>
        <v>3318340.8444267162</v>
      </c>
      <c r="X159" s="8">
        <f t="shared" si="92"/>
        <v>3395503.9833378051</v>
      </c>
      <c r="Y159" s="8">
        <f t="shared" si="92"/>
        <v>3458941.0326572666</v>
      </c>
      <c r="Z159" s="8">
        <f t="shared" si="92"/>
        <v>3286713.3239782839</v>
      </c>
      <c r="AA159" s="8">
        <f t="shared" si="92"/>
        <v>3405046.5013560653</v>
      </c>
      <c r="AB159" s="8">
        <f t="shared" si="92"/>
        <v>3495097.0726203574</v>
      </c>
      <c r="AC159" s="8">
        <f t="shared" si="92"/>
        <v>3463102.5300326953</v>
      </c>
      <c r="AD159" s="8">
        <f t="shared" si="92"/>
        <v>2846372.3500910569</v>
      </c>
      <c r="AE159" s="8">
        <f t="shared" si="92"/>
        <v>2798232.446363966</v>
      </c>
      <c r="AF159" s="8">
        <f t="shared" si="92"/>
        <v>2812134.7939492119</v>
      </c>
      <c r="AG159" s="8">
        <f t="shared" si="92"/>
        <v>2827334.1048653787</v>
      </c>
      <c r="AH159" s="8">
        <f t="shared" si="92"/>
        <v>2998874.630827032</v>
      </c>
      <c r="AI159" s="8">
        <f t="shared" ref="AI159:BN159" si="93">AI146+AI151</f>
        <v>3035884.5328027364</v>
      </c>
      <c r="AJ159" s="8">
        <f t="shared" si="93"/>
        <v>3263791.0305925338</v>
      </c>
      <c r="AK159" s="8">
        <f t="shared" si="93"/>
        <v>3221139.5212413771</v>
      </c>
      <c r="AL159" s="8">
        <f t="shared" si="93"/>
        <v>3218921.0530598145</v>
      </c>
      <c r="AM159" s="8">
        <f t="shared" si="93"/>
        <v>3343356.2256939542</v>
      </c>
      <c r="AN159" s="8">
        <f t="shared" si="93"/>
        <v>3327587.7601017803</v>
      </c>
      <c r="AO159" s="8">
        <f t="shared" si="93"/>
        <v>3329504.9381487165</v>
      </c>
      <c r="AP159" s="8">
        <f t="shared" si="93"/>
        <v>3402175.1782211829</v>
      </c>
      <c r="AQ159" s="8">
        <f t="shared" si="93"/>
        <v>3455990.3515023012</v>
      </c>
      <c r="AR159" s="8">
        <f t="shared" si="93"/>
        <v>3507381.83952819</v>
      </c>
      <c r="AS159" s="8">
        <f t="shared" si="93"/>
        <v>3846421.5737909861</v>
      </c>
      <c r="AT159" s="8">
        <f t="shared" si="93"/>
        <v>3848189.2470333353</v>
      </c>
      <c r="AU159" s="8">
        <f t="shared" si="93"/>
        <v>3889923.4554854259</v>
      </c>
      <c r="AV159" s="8">
        <f t="shared" si="93"/>
        <v>3880332.5791488541</v>
      </c>
      <c r="AW159" s="8">
        <f t="shared" si="93"/>
        <v>3920953.3971233992</v>
      </c>
      <c r="AX159" s="8">
        <f t="shared" si="93"/>
        <v>3993628.5115048857</v>
      </c>
      <c r="AY159" s="8">
        <f t="shared" si="93"/>
        <v>4092748.4952879371</v>
      </c>
      <c r="AZ159" s="8">
        <f t="shared" si="93"/>
        <v>4263214.8529463094</v>
      </c>
      <c r="BA159" s="8">
        <f t="shared" si="93"/>
        <v>4271507.6867052661</v>
      </c>
      <c r="BB159" s="8">
        <f t="shared" si="93"/>
        <v>4340836.2384088524</v>
      </c>
      <c r="BC159" s="8">
        <f t="shared" si="93"/>
        <v>4380968.2784365695</v>
      </c>
      <c r="BD159" s="8">
        <f t="shared" si="93"/>
        <v>4488905.1598210009</v>
      </c>
      <c r="BE159" s="8">
        <f t="shared" si="93"/>
        <v>4476161.0064096004</v>
      </c>
      <c r="BF159" s="8">
        <f t="shared" si="93"/>
        <v>4507293.7500536749</v>
      </c>
      <c r="BG159" s="8">
        <f t="shared" si="93"/>
        <v>4799795.6874509901</v>
      </c>
      <c r="BH159" s="8">
        <f t="shared" si="93"/>
        <v>4773130.0740550598</v>
      </c>
      <c r="BI159" s="8">
        <f t="shared" si="93"/>
        <v>4648035.6610191297</v>
      </c>
      <c r="BJ159" s="8">
        <f t="shared" si="93"/>
        <v>4552873.8502559261</v>
      </c>
      <c r="BK159" s="8">
        <f t="shared" si="93"/>
        <v>4494563.2919277884</v>
      </c>
      <c r="BL159" s="8">
        <f t="shared" si="93"/>
        <v>4518393.2151735639</v>
      </c>
      <c r="BM159" s="8">
        <f t="shared" si="93"/>
        <v>4379158.1871206388</v>
      </c>
      <c r="BN159" s="8">
        <f t="shared" si="93"/>
        <v>4306237.7353664143</v>
      </c>
      <c r="BO159" s="8">
        <f t="shared" ref="BO159:CH159" si="94">BO146+BO151</f>
        <v>4208957.1978658624</v>
      </c>
      <c r="BP159" s="8">
        <f t="shared" si="94"/>
        <v>4185264.0188389122</v>
      </c>
      <c r="BQ159" s="8">
        <f t="shared" si="94"/>
        <v>4097542.5107859876</v>
      </c>
      <c r="BR159" s="8">
        <f t="shared" si="94"/>
        <v>4007099.7067590374</v>
      </c>
      <c r="BS159" s="8">
        <f t="shared" si="94"/>
        <v>3947681.0983489696</v>
      </c>
      <c r="BT159" s="8">
        <f t="shared" si="94"/>
        <v>4054318.7378768958</v>
      </c>
      <c r="BU159" s="8">
        <f t="shared" si="94"/>
        <v>3999553.4947265685</v>
      </c>
      <c r="BV159" s="8">
        <f t="shared" si="94"/>
        <v>3979385.1842061114</v>
      </c>
      <c r="BW159" s="8">
        <f t="shared" si="94"/>
        <v>4068639.5011207182</v>
      </c>
      <c r="BX159" s="8">
        <f t="shared" si="94"/>
        <v>4176973.4584127944</v>
      </c>
      <c r="BY159" s="8">
        <f t="shared" si="94"/>
        <v>4126617.3994711041</v>
      </c>
      <c r="BZ159" s="8">
        <f t="shared" si="94"/>
        <v>4214095.8916657772</v>
      </c>
      <c r="CA159" s="8">
        <f t="shared" si="94"/>
        <v>4211836.2918862086</v>
      </c>
      <c r="CB159" s="8">
        <f t="shared" si="94"/>
        <v>4321495.7426847778</v>
      </c>
      <c r="CC159" s="8">
        <f t="shared" si="94"/>
        <v>4356735.5506262034</v>
      </c>
      <c r="CD159" s="8">
        <f t="shared" si="94"/>
        <v>4313120.6670091879</v>
      </c>
      <c r="CE159" s="8">
        <f t="shared" si="94"/>
        <v>4263506.2095285356</v>
      </c>
      <c r="CF159" s="8">
        <f t="shared" si="94"/>
        <v>4342628.2941654176</v>
      </c>
      <c r="CG159" s="8">
        <f t="shared" si="94"/>
        <v>4208211.6897691824</v>
      </c>
      <c r="CH159" s="8">
        <f t="shared" si="94"/>
        <v>4062580.8443015181</v>
      </c>
      <c r="CI159" s="23"/>
      <c r="CJ159" s="54"/>
      <c r="CK159" s="54"/>
    </row>
    <row r="160" spans="1:89" ht="15" customHeight="1" x14ac:dyDescent="0.25">
      <c r="A160" s="7" t="s">
        <v>109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-534457.4504663538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-685925.81752062065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-35486.114176418218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-184962.46456689519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-267839.24847186176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-86492.866886558593</v>
      </c>
      <c r="CI160" s="23"/>
      <c r="CJ160" s="54"/>
      <c r="CK160" s="54"/>
    </row>
    <row r="161" spans="1:89" ht="15" customHeight="1" x14ac:dyDescent="0.25">
      <c r="A161" s="57" t="s">
        <v>110</v>
      </c>
      <c r="B161" s="58"/>
      <c r="C161" s="59">
        <f t="shared" ref="C161:AH161" si="95">C159+C147+C152+C153+C154+C155+C160</f>
        <v>1494545.0221832513</v>
      </c>
      <c r="D161" s="59">
        <f t="shared" si="95"/>
        <v>1492257.2967907039</v>
      </c>
      <c r="E161" s="59">
        <f t="shared" si="95"/>
        <v>1461322.5151365187</v>
      </c>
      <c r="F161" s="59">
        <f t="shared" si="95"/>
        <v>1866249.3033068154</v>
      </c>
      <c r="G161" s="59">
        <f t="shared" si="95"/>
        <v>1974995.1127867736</v>
      </c>
      <c r="H161" s="59">
        <f t="shared" si="95"/>
        <v>2087193.6990359563</v>
      </c>
      <c r="I161" s="59">
        <f t="shared" si="95"/>
        <v>2399761.0186560638</v>
      </c>
      <c r="J161" s="59">
        <f t="shared" si="95"/>
        <v>2754264.2561241118</v>
      </c>
      <c r="K161" s="59">
        <f t="shared" si="95"/>
        <v>2855053.8348878459</v>
      </c>
      <c r="L161" s="59">
        <f t="shared" si="95"/>
        <v>2985517.7033446464</v>
      </c>
      <c r="M161" s="59">
        <f t="shared" si="95"/>
        <v>2872041.9831953207</v>
      </c>
      <c r="N161" s="59">
        <f t="shared" si="95"/>
        <v>2447419.8165652412</v>
      </c>
      <c r="O161" s="59">
        <f t="shared" si="95"/>
        <v>2455720.680550355</v>
      </c>
      <c r="P161" s="59">
        <f t="shared" si="95"/>
        <v>2724108.9714029767</v>
      </c>
      <c r="Q161" s="59">
        <f t="shared" si="95"/>
        <v>3111721.8833894138</v>
      </c>
      <c r="R161" s="59">
        <f t="shared" si="95"/>
        <v>3292701.7022052421</v>
      </c>
      <c r="S161" s="59">
        <f t="shared" si="95"/>
        <v>3309680.4298430239</v>
      </c>
      <c r="T161" s="59">
        <f t="shared" si="95"/>
        <v>3296621.4776123459</v>
      </c>
      <c r="U161" s="59">
        <f t="shared" si="95"/>
        <v>3330140.8867831123</v>
      </c>
      <c r="V161" s="59">
        <f t="shared" si="95"/>
        <v>3318340.8444267157</v>
      </c>
      <c r="W161" s="59">
        <f t="shared" si="95"/>
        <v>3395503.9833378051</v>
      </c>
      <c r="X161" s="59">
        <f t="shared" si="95"/>
        <v>3458941.0326572661</v>
      </c>
      <c r="Y161" s="59">
        <f t="shared" si="95"/>
        <v>3286713.3239782839</v>
      </c>
      <c r="Z161" s="59">
        <f t="shared" si="95"/>
        <v>2719120.683835445</v>
      </c>
      <c r="AA161" s="59">
        <f t="shared" si="95"/>
        <v>3495097.0726203574</v>
      </c>
      <c r="AB161" s="59">
        <f t="shared" si="95"/>
        <v>3463102.5300326953</v>
      </c>
      <c r="AC161" s="59">
        <f t="shared" si="95"/>
        <v>2846372.3500910569</v>
      </c>
      <c r="AD161" s="59">
        <f t="shared" si="95"/>
        <v>2798232.446363966</v>
      </c>
      <c r="AE161" s="59">
        <f t="shared" si="95"/>
        <v>2812134.7939492124</v>
      </c>
      <c r="AF161" s="59">
        <f t="shared" si="95"/>
        <v>2827334.1048653787</v>
      </c>
      <c r="AG161" s="59">
        <f t="shared" si="95"/>
        <v>2998874.6308270316</v>
      </c>
      <c r="AH161" s="59">
        <f t="shared" si="95"/>
        <v>3035884.5328027359</v>
      </c>
      <c r="AI161" s="59">
        <f t="shared" ref="AI161:BN161" si="96">AI159+AI147+AI152+AI153+AI154+AI155+AI160</f>
        <v>3263791.0305925342</v>
      </c>
      <c r="AJ161" s="59">
        <f t="shared" si="96"/>
        <v>3221139.5212413771</v>
      </c>
      <c r="AK161" s="59">
        <f t="shared" si="96"/>
        <v>3218921.053059814</v>
      </c>
      <c r="AL161" s="59">
        <f t="shared" si="96"/>
        <v>3307870.1115175351</v>
      </c>
      <c r="AM161" s="59">
        <f t="shared" si="96"/>
        <v>3327587.7601017803</v>
      </c>
      <c r="AN161" s="59">
        <f t="shared" si="96"/>
        <v>3329504.9381487169</v>
      </c>
      <c r="AO161" s="59">
        <f t="shared" si="96"/>
        <v>3402175.178221182</v>
      </c>
      <c r="AP161" s="59">
        <f t="shared" si="96"/>
        <v>3455990.3515023012</v>
      </c>
      <c r="AQ161" s="59">
        <f t="shared" si="96"/>
        <v>3507381.8395281904</v>
      </c>
      <c r="AR161" s="59">
        <f t="shared" si="96"/>
        <v>3846421.573790987</v>
      </c>
      <c r="AS161" s="59">
        <f t="shared" si="96"/>
        <v>3848189.2470333353</v>
      </c>
      <c r="AT161" s="59">
        <f t="shared" si="96"/>
        <v>3889923.455485425</v>
      </c>
      <c r="AU161" s="59">
        <f t="shared" si="96"/>
        <v>3880332.5791488527</v>
      </c>
      <c r="AV161" s="59">
        <f t="shared" si="96"/>
        <v>3920953.3971233983</v>
      </c>
      <c r="AW161" s="59">
        <f t="shared" si="96"/>
        <v>3993628.5115048848</v>
      </c>
      <c r="AX161" s="59">
        <f t="shared" si="96"/>
        <v>3907786.0307210409</v>
      </c>
      <c r="AY161" s="59">
        <f t="shared" si="96"/>
        <v>4263214.8529463103</v>
      </c>
      <c r="AZ161" s="59">
        <f t="shared" si="96"/>
        <v>4271507.6867052661</v>
      </c>
      <c r="BA161" s="59">
        <f t="shared" si="96"/>
        <v>4340836.2384088533</v>
      </c>
      <c r="BB161" s="59">
        <f t="shared" si="96"/>
        <v>4380968.2784365695</v>
      </c>
      <c r="BC161" s="59">
        <f t="shared" si="96"/>
        <v>4488905.1598210009</v>
      </c>
      <c r="BD161" s="59">
        <f t="shared" si="96"/>
        <v>4476161.0064096013</v>
      </c>
      <c r="BE161" s="59">
        <f t="shared" si="96"/>
        <v>4507293.7500536749</v>
      </c>
      <c r="BF161" s="59">
        <f t="shared" si="96"/>
        <v>4799795.6874509891</v>
      </c>
      <c r="BG161" s="59">
        <f t="shared" si="96"/>
        <v>4773130.0740550598</v>
      </c>
      <c r="BH161" s="59">
        <f t="shared" si="96"/>
        <v>4648035.6610191297</v>
      </c>
      <c r="BI161" s="59">
        <f t="shared" si="96"/>
        <v>4552873.8502559271</v>
      </c>
      <c r="BJ161" s="59">
        <f t="shared" si="96"/>
        <v>4226724.0434559267</v>
      </c>
      <c r="BK161" s="59">
        <f t="shared" si="96"/>
        <v>4518393.2151735639</v>
      </c>
      <c r="BL161" s="59">
        <f t="shared" si="96"/>
        <v>4379158.1871206379</v>
      </c>
      <c r="BM161" s="59">
        <f t="shared" si="96"/>
        <v>4306237.7353664143</v>
      </c>
      <c r="BN161" s="59">
        <f t="shared" si="96"/>
        <v>4208957.1978658624</v>
      </c>
      <c r="BO161" s="59">
        <f t="shared" ref="BO161:CT161" si="97">BO159+BO147+BO152+BO153+BO154+BO155+BO160</f>
        <v>4185264.0188389104</v>
      </c>
      <c r="BP161" s="59">
        <f t="shared" si="97"/>
        <v>4097542.5107859867</v>
      </c>
      <c r="BQ161" s="59">
        <f t="shared" si="97"/>
        <v>4007099.7067590361</v>
      </c>
      <c r="BR161" s="59">
        <f t="shared" si="97"/>
        <v>3947681.0983489687</v>
      </c>
      <c r="BS161" s="59">
        <f t="shared" si="97"/>
        <v>4054318.7378768958</v>
      </c>
      <c r="BT161" s="59">
        <f t="shared" si="97"/>
        <v>3999553.4947265675</v>
      </c>
      <c r="BU161" s="59">
        <f t="shared" si="97"/>
        <v>3979385.1842061104</v>
      </c>
      <c r="BV161" s="59">
        <f t="shared" si="97"/>
        <v>4068639.5011207182</v>
      </c>
      <c r="BW161" s="59">
        <f t="shared" si="97"/>
        <v>4176973.4584127953</v>
      </c>
      <c r="BX161" s="59">
        <f t="shared" si="97"/>
        <v>4126617.3994711051</v>
      </c>
      <c r="BY161" s="59">
        <f t="shared" si="97"/>
        <v>4214095.8916657781</v>
      </c>
      <c r="BZ161" s="59">
        <f t="shared" si="97"/>
        <v>4211836.2918862104</v>
      </c>
      <c r="CA161" s="59">
        <f t="shared" si="97"/>
        <v>4321495.7426847788</v>
      </c>
      <c r="CB161" s="59">
        <f t="shared" si="97"/>
        <v>4356735.5506262053</v>
      </c>
      <c r="CC161" s="59">
        <f t="shared" si="97"/>
        <v>4313120.6670091888</v>
      </c>
      <c r="CD161" s="59">
        <f t="shared" si="97"/>
        <v>4263506.2095285375</v>
      </c>
      <c r="CE161" s="59">
        <f t="shared" si="97"/>
        <v>4342628.2941654185</v>
      </c>
      <c r="CF161" s="59">
        <f t="shared" si="97"/>
        <v>4208211.6897691824</v>
      </c>
      <c r="CG161" s="59">
        <f t="shared" si="97"/>
        <v>4062580.844301519</v>
      </c>
      <c r="CH161" s="59">
        <f t="shared" si="97"/>
        <v>3900108.8736511772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240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241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242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243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244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8" t="s">
        <v>245</v>
      </c>
      <c r="B1" s="219"/>
      <c r="C1" s="219"/>
      <c r="D1" s="219"/>
      <c r="E1" s="21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246</v>
      </c>
      <c r="C2" s="3" t="s">
        <v>247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253</v>
      </c>
      <c r="J2" s="3" t="s">
        <v>254</v>
      </c>
      <c r="K2" s="3" t="s">
        <v>255</v>
      </c>
      <c r="L2" s="3" t="s">
        <v>256</v>
      </c>
      <c r="M2" s="3" t="s">
        <v>257</v>
      </c>
      <c r="N2" s="3" t="s">
        <v>258</v>
      </c>
      <c r="O2" s="3" t="s">
        <v>259</v>
      </c>
      <c r="P2" s="3" t="s">
        <v>260</v>
      </c>
      <c r="Q2" s="3" t="s">
        <v>261</v>
      </c>
      <c r="R2" s="3" t="s">
        <v>262</v>
      </c>
      <c r="S2" s="3" t="s">
        <v>263</v>
      </c>
      <c r="T2" s="3" t="s">
        <v>264</v>
      </c>
      <c r="U2" s="3" t="s">
        <v>265</v>
      </c>
      <c r="V2" s="3" t="s">
        <v>266</v>
      </c>
      <c r="W2" s="3" t="s">
        <v>267</v>
      </c>
      <c r="X2" s="3" t="s">
        <v>268</v>
      </c>
      <c r="Y2" s="3" t="s">
        <v>269</v>
      </c>
      <c r="Z2" s="3" t="s">
        <v>270</v>
      </c>
      <c r="AA2" s="3" t="s">
        <v>271</v>
      </c>
      <c r="AB2" s="3" t="s">
        <v>272</v>
      </c>
      <c r="AC2" s="3" t="s">
        <v>273</v>
      </c>
    </row>
    <row r="3" spans="1:29" ht="15" customHeight="1" x14ac:dyDescent="0.25">
      <c r="A3" s="4" t="s">
        <v>75</v>
      </c>
      <c r="B3" s="63">
        <f>Model!C7+Model!D7+Model!E7</f>
        <v>13885253.699266504</v>
      </c>
      <c r="C3" s="63">
        <f>Model!F7+Model!G7+Model!H7</f>
        <v>17611879.547728192</v>
      </c>
      <c r="D3" s="63">
        <f>Model!I7+Model!J7+Model!K7</f>
        <v>20872339.243874777</v>
      </c>
      <c r="E3" s="63">
        <f>Model!L7+Model!M7+Model!N7</f>
        <v>21844454.363001734</v>
      </c>
      <c r="F3" s="63">
        <f>Model!O7+Model!P7+Model!Q7</f>
        <v>24422091.790786527</v>
      </c>
      <c r="G3" s="63">
        <f>Model!R7+Model!S7+Model!T7</f>
        <v>21333125.166748282</v>
      </c>
      <c r="H3" s="63">
        <f>Model!U7+Model!V7+Model!W7</f>
        <v>19810331.630762</v>
      </c>
      <c r="I3" s="63">
        <f>Model!X7+Model!Y7+Model!Z7</f>
        <v>17143021.497728001</v>
      </c>
      <c r="J3" s="63">
        <f>Model!AA7+Model!AB7+Model!AC7</f>
        <v>13569035.117488001</v>
      </c>
      <c r="K3" s="63">
        <f>Model!AD7+Model!AE7+Model!AF7</f>
        <v>10431100.051765</v>
      </c>
      <c r="L3" s="63">
        <f>Model!AG7+Model!AH7+Model!AI7</f>
        <v>12310324.011073001</v>
      </c>
      <c r="M3" s="63">
        <f>Model!AJ7+Model!AK7+Model!AL7</f>
        <v>13963855.058484001</v>
      </c>
      <c r="N3" s="63">
        <f>Model!AM7+Model!AN7+Model!AO7</f>
        <v>15148701.488293998</v>
      </c>
      <c r="O3" s="63">
        <f>Model!AP7+Model!AQ7+Model!AR7</f>
        <v>16731606.921916001</v>
      </c>
      <c r="P3" s="63">
        <f>Model!AS7+Model!AT7+Model!AU7</f>
        <v>16400007.356072001</v>
      </c>
      <c r="Q3" s="63">
        <f>Model!AV7+Model!AW7+Model!AX7</f>
        <v>16893173.614079997</v>
      </c>
      <c r="R3" s="63">
        <f>Model!AY7+Model!AZ7+Model!BA7</f>
        <v>15815467.349224001</v>
      </c>
      <c r="S3" s="63">
        <f>Model!BB7+Model!BC7+Model!BD7</f>
        <v>14754621.951639999</v>
      </c>
      <c r="T3" s="63">
        <f>Model!BE7+Model!BF7+Model!BG7</f>
        <v>13795487.005208001</v>
      </c>
      <c r="U3" s="63">
        <f>Model!BH7+Model!BI7+Model!BJ7</f>
        <v>11995131</v>
      </c>
      <c r="V3" s="63">
        <f>Model!BK7+Model!BL7+Model!BM7</f>
        <v>11838930</v>
      </c>
      <c r="W3" s="63">
        <f>Model!BN7+Model!BO7+Model!BP7</f>
        <v>11802108</v>
      </c>
      <c r="X3" s="63">
        <f>Model!BQ7+Model!BR7+Model!BS7</f>
        <v>12761586</v>
      </c>
      <c r="Y3" s="63">
        <f>Model!BT7+Model!BU7+Model!BV7</f>
        <v>13774956</v>
      </c>
      <c r="Z3" s="63">
        <f>Model!BW7+Model!BX7+Model!BY7</f>
        <v>14504085</v>
      </c>
      <c r="AA3" s="63">
        <f>Model!BZ7+Model!CA7+Model!CB7</f>
        <v>15004098</v>
      </c>
      <c r="AB3" s="63">
        <f>Model!CC7+Model!CD7+Model!CE7</f>
        <v>13672746</v>
      </c>
      <c r="AC3" s="63">
        <f>Model!CF7+Model!CG7+Model!CH7</f>
        <v>10628505</v>
      </c>
    </row>
    <row r="4" spans="1:2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77</v>
      </c>
      <c r="B5" s="8">
        <f>Model!C8+Model!D8+Model!E8</f>
        <v>508276.35353084409</v>
      </c>
      <c r="C5" s="8">
        <f>Model!F8+Model!G8+Model!H8</f>
        <v>707075.17950486997</v>
      </c>
      <c r="D5" s="8">
        <f>Model!I8+Model!J8+Model!K8</f>
        <v>948502.30162337655</v>
      </c>
      <c r="E5" s="8">
        <f>Model!L8+Model!M8+Model!N8</f>
        <v>933450.08772321418</v>
      </c>
      <c r="F5" s="8">
        <f>Model!O8+Model!P8+Model!Q8</f>
        <v>1207065.2508725647</v>
      </c>
      <c r="G5" s="8">
        <f>Model!R8+Model!S8+Model!T8</f>
        <v>837932.88358360389</v>
      </c>
      <c r="H5" s="8">
        <f>Model!U8+Model!V8+Model!W8</f>
        <v>728550.55545860378</v>
      </c>
      <c r="I5" s="8">
        <f>Model!X8+Model!Y8+Model!Z8</f>
        <v>704050.55545860366</v>
      </c>
      <c r="J5" s="8">
        <f>Model!AA8+Model!AB8+Model!AC8</f>
        <v>734648.35156249988</v>
      </c>
      <c r="K5" s="8">
        <f>Model!AD8+Model!AE8+Model!AF8</f>
        <v>795843.94377029198</v>
      </c>
      <c r="L5" s="8">
        <f>Model!AG8+Model!AH8+Model!AI8</f>
        <v>1001764.7110186686</v>
      </c>
      <c r="M5" s="8">
        <f>Model!AJ8+Model!AK8+Model!AL8</f>
        <v>717201.68303571409</v>
      </c>
      <c r="N5" s="8">
        <f>Model!AM8+Model!AN8+Model!AO8</f>
        <v>678362.00600649347</v>
      </c>
      <c r="O5" s="8">
        <f>Model!AP8+Model!AQ8+Model!AR8</f>
        <v>861641.47840909078</v>
      </c>
      <c r="P5" s="8">
        <f>Model!AS8+Model!AT8+Model!AU8</f>
        <v>673475.16428571416</v>
      </c>
      <c r="Q5" s="8">
        <f>Model!AV8+Model!AW8+Model!AX8</f>
        <v>746527.11233766226</v>
      </c>
      <c r="R5" s="8">
        <f>Model!AY8+Model!AZ8+Model!BA8</f>
        <v>775747.89155844145</v>
      </c>
      <c r="S5" s="8">
        <f>Model!BB8+Model!BC8+Model!BD8</f>
        <v>761137.50194805185</v>
      </c>
      <c r="T5" s="8">
        <f>Model!BE8+Model!BF8+Model!BG8</f>
        <v>856502.83896103874</v>
      </c>
      <c r="U5" s="8">
        <f>Model!BH8+Model!BI8+Model!BJ8</f>
        <v>555194.80519480514</v>
      </c>
      <c r="V5" s="8">
        <f>Model!BK8+Model!BL8+Model!BM8</f>
        <v>584415.58441558434</v>
      </c>
      <c r="W5" s="8">
        <f>Model!BN8+Model!BO8+Model!BP8</f>
        <v>569805.19480519462</v>
      </c>
      <c r="X5" s="8">
        <f>Model!BQ8+Model!BR8+Model!BS8</f>
        <v>664772.72727272706</v>
      </c>
      <c r="Y5" s="8">
        <f>Model!BT8+Model!BU8+Model!BV8</f>
        <v>664772.72727272706</v>
      </c>
      <c r="Z5" s="8">
        <f>Model!BW8+Model!BX8+Model!BY8</f>
        <v>693993.50649350637</v>
      </c>
      <c r="AA5" s="8">
        <f>Model!BZ8+Model!CA8+Model!CB8</f>
        <v>679383.11688311677</v>
      </c>
      <c r="AB5" s="8">
        <f>Model!CC8+Model!CD8+Model!CE8</f>
        <v>606331.16883116867</v>
      </c>
      <c r="AC5" s="8">
        <f>Model!CF8+Model!CG8+Model!CH8</f>
        <v>460227.27272727265</v>
      </c>
    </row>
    <row r="6" spans="1:29" ht="15" customHeight="1" x14ac:dyDescent="0.25">
      <c r="A6" s="7" t="s">
        <v>78</v>
      </c>
      <c r="B6" s="8">
        <f>Model!C9+Model!D9+Model!E9</f>
        <v>642418.39355372626</v>
      </c>
      <c r="C6" s="8">
        <f>Model!F9+Model!G9+Model!H9</f>
        <v>814835.33621794381</v>
      </c>
      <c r="D6" s="8">
        <f>Model!I9+Model!J9+Model!K9</f>
        <v>983036.9820623881</v>
      </c>
      <c r="E6" s="8">
        <f>Model!L9+Model!M9+Model!N9</f>
        <v>1010660.6320544633</v>
      </c>
      <c r="F6" s="8">
        <f>Model!O9+Model!P9+Model!Q9</f>
        <v>1194101.0747360648</v>
      </c>
      <c r="G6" s="8">
        <f>Model!R9+Model!S9+Model!T9</f>
        <v>1036134.3194031266</v>
      </c>
      <c r="H6" s="8">
        <f>Model!U9+Model!V9+Model!W9</f>
        <v>925372.27106609882</v>
      </c>
      <c r="I6" s="8">
        <f>Model!X9+Model!Y9+Model!Z9</f>
        <v>793143.04007345438</v>
      </c>
      <c r="J6" s="8">
        <f>Model!AA9+Model!AB9+Model!AC9</f>
        <v>660967.79033832462</v>
      </c>
      <c r="K6" s="8">
        <f>Model!AD9+Model!AE9+Model!AF9</f>
        <v>482607.71343393251</v>
      </c>
      <c r="L6" s="8">
        <f>Model!AG9+Model!AH9+Model!AI9</f>
        <v>725961.06138892937</v>
      </c>
      <c r="M6" s="8">
        <f>Model!AJ9+Model!AK9+Model!AL9</f>
        <v>684638.301407133</v>
      </c>
      <c r="N6" s="8">
        <f>Model!AM9+Model!AN9+Model!AO9</f>
        <v>700873.36431230349</v>
      </c>
      <c r="O6" s="8">
        <f>Model!AP9+Model!AQ9+Model!AR9</f>
        <v>884335.96148474992</v>
      </c>
      <c r="P6" s="8">
        <f>Model!AS9+Model!AT9+Model!AU9</f>
        <v>758766.57410398044</v>
      </c>
      <c r="Q6" s="8">
        <f>Model!AV9+Model!AW9+Model!AX9</f>
        <v>781583.51948259736</v>
      </c>
      <c r="R6" s="8">
        <f>Model!AY9+Model!AZ9+Model!BA9</f>
        <v>775553.27833260363</v>
      </c>
      <c r="S6" s="8">
        <f>Model!BB9+Model!BC9+Model!BD9</f>
        <v>719166.76237295452</v>
      </c>
      <c r="T6" s="8">
        <f>Model!BE9+Model!BF9+Model!BG9</f>
        <v>775492.41501368186</v>
      </c>
      <c r="U6" s="8">
        <f>Model!BH9+Model!BI9+Model!BJ9</f>
        <v>554969.53490259731</v>
      </c>
      <c r="V6" s="8">
        <f>Model!BK9+Model!BL9+Model!BM9</f>
        <v>591573.87175324664</v>
      </c>
      <c r="W6" s="8">
        <f>Model!BN9+Model!BO9+Model!BP9</f>
        <v>582565.06168831163</v>
      </c>
      <c r="X6" s="8">
        <f>Model!BQ9+Model!BR9+Model!BS9</f>
        <v>626956.49512987002</v>
      </c>
      <c r="Y6" s="8">
        <f>Model!BT9+Model!BU9+Model!BV9</f>
        <v>637315.33441558434</v>
      </c>
      <c r="Z6" s="8">
        <f>Model!BW9+Model!BX9+Model!BY9</f>
        <v>714880.5560064934</v>
      </c>
      <c r="AA6" s="8">
        <f>Model!BZ9+Model!CA9+Model!CB9</f>
        <v>730709.07954545447</v>
      </c>
      <c r="AB6" s="8">
        <f>Model!CC9+Model!CD9+Model!CE9</f>
        <v>669112.43668831163</v>
      </c>
      <c r="AC6" s="8">
        <f>Model!CF9+Model!CG9+Model!CH9</f>
        <v>491740.89691558434</v>
      </c>
    </row>
    <row r="7" spans="1:29" ht="15" customHeight="1" x14ac:dyDescent="0.25">
      <c r="A7" s="7" t="s">
        <v>79</v>
      </c>
      <c r="B7" s="8">
        <f>Model!C10+Model!D10+Model!E10</f>
        <v>129262.37305194806</v>
      </c>
      <c r="C7" s="8">
        <f>Model!F10+Model!G10+Model!H10</f>
        <v>195528.64837662337</v>
      </c>
      <c r="D7" s="8">
        <f>Model!I10+Model!J10+Model!K10</f>
        <v>277286.84116612555</v>
      </c>
      <c r="E7" s="8">
        <f>Model!L10+Model!M10+Model!N10</f>
        <v>277632.55736607144</v>
      </c>
      <c r="F7" s="8">
        <f>Model!O10+Model!P10+Model!Q10</f>
        <v>368837.61174918833</v>
      </c>
      <c r="G7" s="8">
        <f>Model!R10+Model!S10+Model!T10</f>
        <v>254001.9872362013</v>
      </c>
      <c r="H7" s="8">
        <f>Model!U10+Model!V10+Model!W10</f>
        <v>234683.5184862013</v>
      </c>
      <c r="I7" s="8">
        <f>Model!X10+Model!Y10+Model!Z10</f>
        <v>234683.5184862013</v>
      </c>
      <c r="J7" s="8">
        <f>Model!AA10+Model!AB10+Model!AC10</f>
        <v>244882.78385416669</v>
      </c>
      <c r="K7" s="8">
        <f>Model!AD10+Model!AE10+Model!AF10</f>
        <v>265281.31459009741</v>
      </c>
      <c r="L7" s="8">
        <f>Model!AG10+Model!AH10+Model!AI10</f>
        <v>333921.57033955632</v>
      </c>
      <c r="M7" s="8">
        <f>Model!AJ10+Model!AK10+Model!AL10</f>
        <v>239067.22767857142</v>
      </c>
      <c r="N7" s="8">
        <f>Model!AM10+Model!AN10+Model!AO10</f>
        <v>226120.66866883117</v>
      </c>
      <c r="O7" s="8">
        <f>Model!AP10+Model!AQ10+Model!AR10</f>
        <v>287213.82613636367</v>
      </c>
      <c r="P7" s="8">
        <f>Model!AS10+Model!AT10+Model!AU10</f>
        <v>224491.72142857141</v>
      </c>
      <c r="Q7" s="8">
        <f>Model!AV10+Model!AW10+Model!AX10</f>
        <v>248842.37077922077</v>
      </c>
      <c r="R7" s="8">
        <f>Model!AY10+Model!AZ10+Model!BA10</f>
        <v>258582.63051948056</v>
      </c>
      <c r="S7" s="8">
        <f>Model!BB10+Model!BC10+Model!BD10</f>
        <v>253712.50064935067</v>
      </c>
      <c r="T7" s="8">
        <f>Model!BE10+Model!BF10+Model!BG10</f>
        <v>285500.94632034632</v>
      </c>
      <c r="U7" s="8">
        <f>Model!BH10+Model!BI10+Model!BJ10</f>
        <v>185064.93506493507</v>
      </c>
      <c r="V7" s="8">
        <f>Model!BK10+Model!BL10+Model!BM10</f>
        <v>194805.19480519483</v>
      </c>
      <c r="W7" s="8">
        <f>Model!BN10+Model!BO10+Model!BP10</f>
        <v>189935.06493506496</v>
      </c>
      <c r="X7" s="8">
        <f>Model!BQ10+Model!BR10+Model!BS10</f>
        <v>221590.90909090909</v>
      </c>
      <c r="Y7" s="8">
        <f>Model!BT10+Model!BU10+Model!BV10</f>
        <v>221590.90909090906</v>
      </c>
      <c r="Z7" s="8">
        <f>Model!BW10+Model!BX10+Model!BY10</f>
        <v>231331.16883116885</v>
      </c>
      <c r="AA7" s="8">
        <f>Model!BZ10+Model!CA10+Model!CB10</f>
        <v>226461.03896103898</v>
      </c>
      <c r="AB7" s="8">
        <f>Model!CC10+Model!CD10+Model!CE10</f>
        <v>202110.38961038963</v>
      </c>
      <c r="AC7" s="8">
        <f>Model!CF10+Model!CG10+Model!CH10</f>
        <v>153409.09090909091</v>
      </c>
    </row>
    <row r="8" spans="1:29" ht="15" customHeight="1" x14ac:dyDescent="0.25">
      <c r="A8" s="7" t="s">
        <v>80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81</v>
      </c>
      <c r="B9" s="10">
        <f>Model!C12+Model!D12+Model!E12</f>
        <v>1279957.1201365185</v>
      </c>
      <c r="C9" s="10">
        <f>Model!F12+Model!G12+Model!H12</f>
        <v>2361965.8840994374</v>
      </c>
      <c r="D9" s="10">
        <f>Model!I12+Model!J12+Model!K12</f>
        <v>2969837.0248518898</v>
      </c>
      <c r="E9" s="10">
        <f>Model!L12+Model!M12+Model!N12</f>
        <v>2221743.2771437489</v>
      </c>
      <c r="F9" s="10">
        <f>Model!O12+Model!P12+Model!Q12</f>
        <v>3449005.4873578181</v>
      </c>
      <c r="G9" s="10">
        <f>Model!R12+Model!S12+Model!T12</f>
        <v>2128069.190222932</v>
      </c>
      <c r="H9" s="10">
        <f>Model!U12+Model!V12+Model!W12</f>
        <v>1888606.3450109039</v>
      </c>
      <c r="I9" s="10">
        <f>Model!X12+Model!Y12+Model!Z12</f>
        <v>1731877.1140182593</v>
      </c>
      <c r="J9" s="10">
        <f>Model!AA12+Model!AB12+Model!AC12</f>
        <v>2260818.4057549909</v>
      </c>
      <c r="K9" s="10">
        <f>Model!AD12+Model!AE12+Model!AF12</f>
        <v>1543732.9717943221</v>
      </c>
      <c r="L9" s="10">
        <f>Model!AG12+Model!AH12+Model!AI12</f>
        <v>2061647.3427471544</v>
      </c>
      <c r="M9" s="10">
        <f>Model!AJ12+Model!AK12+Model!AL12</f>
        <v>1640907.2121214187</v>
      </c>
      <c r="N9" s="10">
        <f>Model!AM12+Model!AN12+Model!AO12</f>
        <v>1605356.038987628</v>
      </c>
      <c r="O9" s="10">
        <f>Model!AP12+Model!AQ12+Model!AR12</f>
        <v>2033191.2660302045</v>
      </c>
      <c r="P9" s="10">
        <f>Model!AS12+Model!AT12+Model!AU12</f>
        <v>1656733.4598182661</v>
      </c>
      <c r="Q9" s="10">
        <f>Model!AV12+Model!AW12+Model!AX12</f>
        <v>1776953.0025994803</v>
      </c>
      <c r="R9" s="10">
        <f>Model!AY12+Model!AZ12+Model!BA12</f>
        <v>1809883.8004105256</v>
      </c>
      <c r="S9" s="10">
        <f>Model!BB12+Model!BC12+Model!BD12</f>
        <v>1734016.7649703566</v>
      </c>
      <c r="T9" s="10">
        <f>Model!BE12+Model!BF12+Model!BG12</f>
        <v>1917496.2002950667</v>
      </c>
      <c r="U9" s="10">
        <f>Model!BH12+Model!BI12+Model!BJ12</f>
        <v>1295229.2751623373</v>
      </c>
      <c r="V9" s="10">
        <f>Model!BK12+Model!BL12+Model!BM12</f>
        <v>1370794.6509740257</v>
      </c>
      <c r="W9" s="10">
        <f>Model!BN12+Model!BO12+Model!BP12</f>
        <v>1342305.3214285714</v>
      </c>
      <c r="X9" s="10">
        <f>Model!BQ12+Model!BR12+Model!BS12</f>
        <v>1513320.1314935063</v>
      </c>
      <c r="Y9" s="10">
        <f>Model!BT12+Model!BU12+Model!BV12</f>
        <v>1523678.9707792206</v>
      </c>
      <c r="Z9" s="10">
        <f>Model!BW12+Model!BX12+Model!BY12</f>
        <v>1640205.2313311687</v>
      </c>
      <c r="AA9" s="10">
        <f>Model!BZ12+Model!CA12+Model!CB12</f>
        <v>1636553.2353896103</v>
      </c>
      <c r="AB9" s="10">
        <f>Model!CC12+Model!CD12+Model!CE12</f>
        <v>1477553.9951298698</v>
      </c>
      <c r="AC9" s="10">
        <f>Model!CF12+Model!CG12+Model!CH12</f>
        <v>1105377.2605519481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83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84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85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86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-1225163.5949999997</v>
      </c>
      <c r="F15" s="10">
        <f>Model!O39+Model!P39+Model!Q39</f>
        <v>-2698282.6210000003</v>
      </c>
      <c r="G15" s="10">
        <f>Model!R39+Model!S39+Model!T39</f>
        <v>-1227112.5959999999</v>
      </c>
      <c r="H15" s="10">
        <f>Model!U39+Model!V39+Model!W39</f>
        <v>-1197112.5959999999</v>
      </c>
      <c r="I15" s="10">
        <f>Model!X39+Model!Y39+Model!Z39</f>
        <v>-1227112.5959999999</v>
      </c>
      <c r="J15" s="10">
        <f>Model!AA39+Model!AB39+Model!AC39</f>
        <v>-2573126.1170199998</v>
      </c>
      <c r="K15" s="10">
        <f>Model!AD39+Model!AE39+Model!AF39</f>
        <v>-1235100.5770199997</v>
      </c>
      <c r="L15" s="10">
        <f>Model!AG39+Model!AH39+Model!AI39</f>
        <v>-1271100.5770199997</v>
      </c>
      <c r="M15" s="10">
        <f>Model!AJ39+Model!AK39+Model!AL39</f>
        <v>-1229100.5770199997</v>
      </c>
      <c r="N15" s="10">
        <f>Model!AM39+Model!AN39+Model!AO39</f>
        <v>-1213128.3176603999</v>
      </c>
      <c r="O15" s="10">
        <f>Model!AP39+Model!AQ39+Model!AR39</f>
        <v>-1231128.3176603999</v>
      </c>
      <c r="P15" s="10">
        <f>Model!AS39+Model!AT39+Model!AU39</f>
        <v>-1267128.3176603999</v>
      </c>
      <c r="Q15" s="10">
        <f>Model!AV39+Model!AW39+Model!AX39</f>
        <v>-1231128.3176603999</v>
      </c>
      <c r="R15" s="10">
        <f>Model!AY39+Model!AZ39+Model!BA39</f>
        <v>-1227196.613113608</v>
      </c>
      <c r="S15" s="10">
        <f>Model!BB39+Model!BC39+Model!BD39</f>
        <v>-1239196.613113608</v>
      </c>
      <c r="T15" s="10">
        <f>Model!BE39+Model!BF39+Model!BG39</f>
        <v>-1263196.613113608</v>
      </c>
      <c r="U15" s="10">
        <f>Model!BH39+Model!BI39+Model!BJ39</f>
        <v>-1239196.613113608</v>
      </c>
      <c r="V15" s="10">
        <f>Model!BK39+Model!BL39+Model!BM39</f>
        <v>-1223306.2744758802</v>
      </c>
      <c r="W15" s="10">
        <f>Model!BN39+Model!BO39+Model!BP39</f>
        <v>-1241306.2744758802</v>
      </c>
      <c r="X15" s="10">
        <f>Model!BQ39+Model!BR39+Model!BS39</f>
        <v>-1265306.2744758802</v>
      </c>
      <c r="Y15" s="10">
        <f>Model!BT39+Model!BU39+Model!BV39</f>
        <v>-1241306.2744758802</v>
      </c>
      <c r="Z15" s="10">
        <f>Model!BW39+Model!BX39+Model!BY39</f>
        <v>-1225458.1290653977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87</v>
      </c>
      <c r="B16" s="14">
        <f>Model!C41+Model!D41+Model!E41</f>
        <v>196924.77513651852</v>
      </c>
      <c r="C16" s="14">
        <f>Model!F41+Model!G41+Model!H41</f>
        <v>848835.77389943716</v>
      </c>
      <c r="D16" s="14">
        <f>Model!I41+Model!J41+Model!K41</f>
        <v>1399241.3858518901</v>
      </c>
      <c r="E16" s="14">
        <f>Model!L41+Model!M41+Model!N41</f>
        <v>996579.68214374897</v>
      </c>
      <c r="F16" s="14">
        <f>Model!O41+Model!P41+Model!Q41</f>
        <v>750722.86635781801</v>
      </c>
      <c r="G16" s="14">
        <f>Model!R41+Model!S41+Model!T41</f>
        <v>900956.59422293189</v>
      </c>
      <c r="H16" s="14">
        <f>Model!U41+Model!V41+Model!W41</f>
        <v>691493.74901090399</v>
      </c>
      <c r="I16" s="14">
        <f>Model!X41+Model!Y41+Model!Z41</f>
        <v>504764.51801825961</v>
      </c>
      <c r="J16" s="14">
        <f>Model!AA41+Model!AB41+Model!AC41</f>
        <v>-312307.71126500872</v>
      </c>
      <c r="K16" s="14">
        <f>Model!AD41+Model!AE41+Model!AF41</f>
        <v>308632.39477432217</v>
      </c>
      <c r="L16" s="14">
        <f>Model!AG41+Model!AH41+Model!AI41</f>
        <v>790546.76572715444</v>
      </c>
      <c r="M16" s="14">
        <f>Model!AJ41+Model!AK41+Model!AL41</f>
        <v>411806.63510141883</v>
      </c>
      <c r="N16" s="14">
        <f>Model!AM41+Model!AN41+Model!AO41</f>
        <v>392227.72132722801</v>
      </c>
      <c r="O16" s="14">
        <f>Model!AP41+Model!AQ41+Model!AR41</f>
        <v>802062.94836980442</v>
      </c>
      <c r="P16" s="14">
        <f>Model!AS41+Model!AT41+Model!AU41</f>
        <v>389605.14215786615</v>
      </c>
      <c r="Q16" s="14">
        <f>Model!AV41+Model!AW41+Model!AX41</f>
        <v>545824.68493908038</v>
      </c>
      <c r="R16" s="14">
        <f>Model!AY41+Model!AZ41+Model!BA41</f>
        <v>582687.18729691778</v>
      </c>
      <c r="S16" s="14">
        <f>Model!BB41+Model!BC41+Model!BD41</f>
        <v>494820.15185674874</v>
      </c>
      <c r="T16" s="14">
        <f>Model!BE41+Model!BF41+Model!BG41</f>
        <v>654299.58718145883</v>
      </c>
      <c r="U16" s="14">
        <f>Model!BH41+Model!BI41+Model!BJ41</f>
        <v>56032.662048729486</v>
      </c>
      <c r="V16" s="14">
        <f>Model!BK41+Model!BL41+Model!BM41</f>
        <v>147488.37649814558</v>
      </c>
      <c r="W16" s="14">
        <f>Model!BN41+Model!BO41+Model!BP41</f>
        <v>100999.04695269105</v>
      </c>
      <c r="X16" s="14">
        <f>Model!BQ41+Model!BR41+Model!BS41</f>
        <v>248013.85701762605</v>
      </c>
      <c r="Y16" s="14">
        <f>Model!BT41+Model!BU41+Model!BV41</f>
        <v>282372.69630334049</v>
      </c>
      <c r="Z16" s="14">
        <f>Model!BW41+Model!BX41+Model!BY41</f>
        <v>414747.1022657709</v>
      </c>
      <c r="AA16" s="14">
        <f>Model!BZ41+Model!CA41+Model!CB41</f>
        <v>429095.10632421251</v>
      </c>
      <c r="AB16" s="14">
        <f>Model!CC41+Model!CD41+Model!CE41</f>
        <v>270095.86606447218</v>
      </c>
      <c r="AC16" s="14">
        <f>Model!CF41+Model!CG41+Model!CH41</f>
        <v>-102080.86851344979</v>
      </c>
    </row>
    <row r="17" spans="1:29" ht="15" customHeight="1" x14ac:dyDescent="0.25">
      <c r="A17" s="7" t="s">
        <v>88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0.35937681387090759</v>
      </c>
      <c r="D17" s="15">
        <f>IF((Model!I12+Model!J12+Model!K12)&lt;&gt;0,(Model!I41+Model!J41+Model!K41)/(Model!I12+Model!J12+Model!K12),0)</f>
        <v>0.47115089957559952</v>
      </c>
      <c r="E17" s="15">
        <f>IF((Model!L12+Model!M12+Model!N12)&lt;&gt;0,(Model!L41+Model!M41+Model!N41)/(Model!L12+Model!M12+Model!N12),0)</f>
        <v>0.44855753245484864</v>
      </c>
      <c r="F17" s="15">
        <f>IF((Model!O12+Model!P12+Model!Q12)&lt;&gt;0,(Model!O41+Model!P41+Model!Q41)/(Model!O12+Model!P12+Model!Q12),0)</f>
        <v>0.21766357551751092</v>
      </c>
      <c r="G17" s="15">
        <f>IF((Model!R12+Model!S12+Model!T12)&lt;&gt;0,(Model!R41+Model!S41+Model!T41)/(Model!R12+Model!S12+Model!T12),0)</f>
        <v>0.42336809271156711</v>
      </c>
      <c r="H17" s="15">
        <f>IF((Model!U12+Model!V12+Model!W12)&lt;&gt;0,(Model!U41+Model!V41+Model!W41)/(Model!U12+Model!V12+Model!W12),0)</f>
        <v>0.36613969387406226</v>
      </c>
      <c r="I17" s="15">
        <f>IF((Model!X12+Model!Y12+Model!Z12)&lt;&gt;0,(Model!X41+Model!Y41+Model!Z41)/(Model!X12+Model!Y12+Model!Z12),0)</f>
        <v>0.29145515806668132</v>
      </c>
      <c r="J17" s="15">
        <f>IF((Model!AA12+Model!AB12+Model!AC12)&lt;&gt;0,(Model!AA41+Model!AB41+Model!AC41)/(Model!AA12+Model!AB12+Model!AC12),0)</f>
        <v>-0.13813922890490396</v>
      </c>
      <c r="K17" s="15">
        <f>IF((Model!AD12+Model!AE12+Model!AF12)&lt;&gt;0,(Model!AD41+Model!AE41+Model!AF41)/(Model!AD12+Model!AE12+Model!AF12),0)</f>
        <v>0.19992602374463148</v>
      </c>
      <c r="L17" s="15">
        <f>IF((Model!AG12+Model!AH12+Model!AI12)&lt;&gt;0,(Model!AG41+Model!AH41+Model!AI41)/(Model!AG12+Model!AH12+Model!AI12),0)</f>
        <v>0.38345392508970388</v>
      </c>
      <c r="M17" s="15">
        <f>IF((Model!AJ12+Model!AK12+Model!AL12)&lt;&gt;0,(Model!AJ41+Model!AK41+Model!AL41)/(Model!AJ12+Model!AK12+Model!AL12),0)</f>
        <v>0.25096277964981439</v>
      </c>
      <c r="N17" s="15">
        <f>IF((Model!AM12+Model!AN12+Model!AO12)&lt;&gt;0,(Model!AM41+Model!AN41+Model!AO41)/(Model!AM12+Model!AN12+Model!AO12),0)</f>
        <v>0.24432444380037668</v>
      </c>
      <c r="O17" s="15">
        <f>IF((Model!AP12+Model!AQ12+Model!AR12)&lt;&gt;0,(Model!AP41+Model!AQ41+Model!AR41)/(Model!AP12+Model!AQ12+Model!AR12),0)</f>
        <v>0.39448475004313205</v>
      </c>
      <c r="P17" s="15">
        <f>IF((Model!AS12+Model!AT12+Model!AU12)&lt;&gt;0,(Model!AS41+Model!AT41+Model!AU41)/(Model!AS12+Model!AT12+Model!AU12),0)</f>
        <v>0.23516464875442519</v>
      </c>
      <c r="Q17" s="15">
        <f>IF((Model!AV12+Model!AW12+Model!AX12)&lt;&gt;0,(Model!AV41+Model!AW41+Model!AX41)/(Model!AV12+Model!AW12+Model!AX12),0)</f>
        <v>0.30716889199691882</v>
      </c>
      <c r="R17" s="15">
        <f>IF((Model!AY12+Model!AZ12+Model!BA12)&lt;&gt;0,(Model!AY41+Model!AZ41+Model!BA41)/(Model!AY12+Model!AZ12+Model!BA12),0)</f>
        <v>0.32194729140332112</v>
      </c>
      <c r="S17" s="15">
        <f>IF((Model!BB12+Model!BC12+Model!BD12)&lt;&gt;0,(Model!BB41+Model!BC41+Model!BD41)/(Model!BB12+Model!BC12+Model!BD12),0)</f>
        <v>0.28536065040017522</v>
      </c>
      <c r="T17" s="15">
        <f>IF((Model!BE12+Model!BF12+Model!BG12)&lt;&gt;0,(Model!BE41+Model!BF41+Model!BG41)/(Model!BE12+Model!BF12+Model!BG12),0)</f>
        <v>0.3412260149880737</v>
      </c>
      <c r="U17" s="15">
        <f>IF((Model!BH12+Model!BI12+Model!BJ12)&lt;&gt;0,(Model!BH41+Model!BI41+Model!BJ41)/(Model!BH12+Model!BI12+Model!BJ12),0)</f>
        <v>4.3260805730094887E-2</v>
      </c>
      <c r="V17" s="15">
        <f>IF((Model!BK12+Model!BL12+Model!BM12)&lt;&gt;0,(Model!BK41+Model!BL41+Model!BM41)/(Model!BK12+Model!BL12+Model!BM12),0)</f>
        <v>0.10759334112760573</v>
      </c>
      <c r="W17" s="15">
        <f>IF((Model!BN12+Model!BO12+Model!BP12)&lt;&gt;0,(Model!BN41+Model!BO41+Model!BP41)/(Model!BN12+Model!BO12+Model!BP12),0)</f>
        <v>7.5242975901489456E-2</v>
      </c>
      <c r="X17" s="15">
        <f>IF((Model!BQ12+Model!BR12+Model!BS12)&lt;&gt;0,(Model!BQ41+Model!BR41+Model!BS41)/(Model!BQ12+Model!BR12+Model!BS12),0)</f>
        <v>0.1638872383022219</v>
      </c>
      <c r="Y17" s="15">
        <f>IF((Model!BT12+Model!BU12+Model!BV12)&lt;&gt;0,(Model!BT41+Model!BU41+Model!BV41)/(Model!BT12+Model!BU12+Model!BV12),0)</f>
        <v>0.18532295957260145</v>
      </c>
      <c r="Z17" s="15">
        <f>IF((Model!BW12+Model!BX12+Model!BY12)&lt;&gt;0,(Model!BW41+Model!BX41+Model!BY41)/(Model!BW12+Model!BX12+Model!BY12),0)</f>
        <v>0.25286293101819196</v>
      </c>
      <c r="AA17" s="15">
        <f>IF((Model!BZ12+Model!CA12+Model!CB12)&lt;&gt;0,(Model!BZ41+Model!CA41+Model!CB41)/(Model!BZ12+Model!CA12+Model!CB12),0)</f>
        <v>0.26219440776215192</v>
      </c>
      <c r="AB17" s="15">
        <f>IF((Model!CC12+Model!CD12+Model!CE12)&lt;&gt;0,(Model!CC41+Model!CD41+Model!CE41)/(Model!CC12+Model!CD12+Model!CE12),0)</f>
        <v>0.18279932033260962</v>
      </c>
      <c r="AC17" s="15">
        <f>IF((Model!CF12+Model!CG12+Model!CH12)&lt;&gt;0,(Model!CF41+Model!CG41+Model!CH41)/(Model!CF12+Model!CG12+Model!CH12),0)</f>
        <v>-9.2349347283006117E-2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89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100218.75</v>
      </c>
      <c r="F19" s="17">
        <f>Model!O64+Model!P64+Model!Q64</f>
        <v>100218.75</v>
      </c>
      <c r="G19" s="17">
        <f>Model!R64+Model!S64+Model!T64</f>
        <v>28500</v>
      </c>
      <c r="H19" s="17">
        <f>Model!U64+Model!V64+Model!W64</f>
        <v>85875</v>
      </c>
      <c r="I19" s="17">
        <f>Model!X64+Model!Y64+Model!Z64</f>
        <v>85875</v>
      </c>
      <c r="J19" s="17">
        <f>Model!AA64+Model!AB64+Model!AC64</f>
        <v>85875</v>
      </c>
      <c r="K19" s="17">
        <f>Model!AD64+Model!AE64+Model!AF64</f>
        <v>28500</v>
      </c>
      <c r="L19" s="17">
        <f>Model!AG64+Model!AH64+Model!AI64</f>
        <v>0</v>
      </c>
      <c r="M19" s="17">
        <f>Model!AJ64+Model!AK64+Model!AL64</f>
        <v>0</v>
      </c>
      <c r="N19" s="17">
        <f>Model!AM64+Model!AN64+Model!AO64</f>
        <v>0</v>
      </c>
      <c r="O19" s="17">
        <f>Model!AP64+Model!AQ64+Model!AR64</f>
        <v>81683</v>
      </c>
      <c r="P19" s="17">
        <f>Model!AS64+Model!AT64+Model!AU64</f>
        <v>81682</v>
      </c>
      <c r="Q19" s="17">
        <f>Model!AV64+Model!AW64+Model!AX64</f>
        <v>81682</v>
      </c>
      <c r="R19" s="17">
        <f>Model!AY64+Model!AZ64+Model!BA64</f>
        <v>933521</v>
      </c>
      <c r="S19" s="17">
        <f>Model!BB64+Model!BC64+Model!BD64</f>
        <v>130878</v>
      </c>
      <c r="T19" s="17">
        <f>Model!BE64+Model!BF64+Model!BG64</f>
        <v>130876</v>
      </c>
      <c r="U19" s="17">
        <f>Model!BH64+Model!BI64+Model!BJ64</f>
        <v>130876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90</v>
      </c>
      <c r="B20" s="8">
        <f>Model!C85+Model!D85+Model!E85</f>
        <v>-329975</v>
      </c>
      <c r="C20" s="8">
        <f>Model!F85+Model!G85+Model!H85</f>
        <v>-352975.00000000006</v>
      </c>
      <c r="D20" s="8">
        <f>Model!I85+Model!J85+Model!K85</f>
        <v>-350975</v>
      </c>
      <c r="E20" s="8">
        <f>Model!L85+Model!M85+Model!N85</f>
        <v>-329975</v>
      </c>
      <c r="F20" s="8">
        <f>Model!O85+Model!P85+Model!Q85</f>
        <v>-331097</v>
      </c>
      <c r="G20" s="8">
        <f>Model!R85+Model!S85+Model!T85</f>
        <v>-354557.00000000006</v>
      </c>
      <c r="H20" s="8">
        <f>Model!U85+Model!V85+Model!W85</f>
        <v>-352517</v>
      </c>
      <c r="I20" s="8">
        <f>Model!X85+Model!Y85+Model!Z85</f>
        <v>-331097</v>
      </c>
      <c r="J20" s="8">
        <f>Model!AA85+Model!AB85+Model!AC85</f>
        <v>-332241.44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-484848.71172071039</v>
      </c>
      <c r="AA20" s="8">
        <f>Model!BZ85+Model!CA85+Model!CB85</f>
        <v>-517472.44736378238</v>
      </c>
      <c r="AB20" s="8">
        <f>Model!CC85+Model!CD85+Model!CE85</f>
        <v>-515219.12252525438</v>
      </c>
      <c r="AC20" s="8">
        <f>Model!CF85+Model!CG85+Model!CH85</f>
        <v>-484961.68511423119</v>
      </c>
    </row>
    <row r="21" spans="1:29" ht="15" customHeight="1" x14ac:dyDescent="0.25">
      <c r="A21" s="13" t="s">
        <v>91</v>
      </c>
      <c r="B21" s="14">
        <f>Model!C87+Model!D87+Model!E87</f>
        <v>-199131.26</v>
      </c>
      <c r="C21" s="14">
        <f>Model!F87+Model!G87+Model!H87</f>
        <v>-222964.59000000003</v>
      </c>
      <c r="D21" s="14">
        <f>Model!I87+Model!J87+Model!K87</f>
        <v>-241381.25</v>
      </c>
      <c r="E21" s="14">
        <f>Model!L87+Model!M87+Model!N87</f>
        <v>-229756.25</v>
      </c>
      <c r="F21" s="14">
        <f>Model!O87+Model!P87+Model!Q87</f>
        <v>-230878.25</v>
      </c>
      <c r="G21" s="14">
        <f>Model!R87+Model!S87+Model!T87</f>
        <v>-326057.00000000006</v>
      </c>
      <c r="H21" s="14">
        <f>Model!U87+Model!V87+Model!W87</f>
        <v>-266642</v>
      </c>
      <c r="I21" s="14">
        <f>Model!X87+Model!Y87+Model!Z87</f>
        <v>-245222</v>
      </c>
      <c r="J21" s="14">
        <f>Model!AA87+Model!AB87+Model!AC87</f>
        <v>-246366.44</v>
      </c>
      <c r="K21" s="14">
        <f>Model!AD87+Model!AE87+Model!AF87</f>
        <v>-327670.64</v>
      </c>
      <c r="L21" s="14">
        <f>Model!AG87+Model!AH87+Model!AI87</f>
        <v>-354089.84</v>
      </c>
      <c r="M21" s="14">
        <f>Model!AJ87+Model!AK87+Model!AL87</f>
        <v>-332241.44</v>
      </c>
      <c r="N21" s="14">
        <f>Model!AM87+Model!AN87+Model!AO87</f>
        <v>-333408.76880000002</v>
      </c>
      <c r="O21" s="14">
        <f>Model!AP87+Model!AQ87+Model!AR87</f>
        <v>-357816.55280000006</v>
      </c>
      <c r="P21" s="14">
        <f>Model!AS87+Model!AT87+Model!AU87</f>
        <v>-355694.13679999998</v>
      </c>
      <c r="Q21" s="14">
        <f>Model!AV87+Model!AW87+Model!AX87</f>
        <v>-333408.76880000008</v>
      </c>
      <c r="R21" s="14">
        <f>Model!AY87+Model!AZ87+Model!BA87</f>
        <v>-334599.44417599996</v>
      </c>
      <c r="S21" s="14">
        <f>Model!BB87+Model!BC87+Model!BD87</f>
        <v>-359495.38385600003</v>
      </c>
      <c r="T21" s="14">
        <f>Model!BE87+Model!BF87+Model!BG87</f>
        <v>-357330.51953600004</v>
      </c>
      <c r="U21" s="14">
        <f>Model!BH87+Model!BI87+Model!BJ87</f>
        <v>-334599.44417600002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-269290.71172071039</v>
      </c>
      <c r="AA21" s="14">
        <f>Model!BZ87+Model!CA87+Model!CB87</f>
        <v>-286455.44736378238</v>
      </c>
      <c r="AB21" s="14">
        <f>Model!CC87+Model!CD87+Model!CE87</f>
        <v>-284203.12252525438</v>
      </c>
      <c r="AC21" s="14">
        <f>Model!CF87+Model!CG87+Model!CH87</f>
        <v>-253945.68511423119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92</v>
      </c>
      <c r="B23" s="14">
        <f>Model!C96+Model!D96+Model!E96</f>
        <v>-2206.4848634814844</v>
      </c>
      <c r="C23" s="14">
        <f>Model!F96+Model!G96+Model!H96</f>
        <v>625871.18389943731</v>
      </c>
      <c r="D23" s="14">
        <f>Model!I96+Model!J96+Model!K96</f>
        <v>1157860.1358518898</v>
      </c>
      <c r="E23" s="14">
        <f>Model!L96+Model!M96+Model!N96</f>
        <v>766823.43214374897</v>
      </c>
      <c r="F23" s="14">
        <f>Model!O96+Model!P96+Model!Q96</f>
        <v>519844.61635781778</v>
      </c>
      <c r="G23" s="14">
        <f>Model!R96+Model!S96+Model!T96</f>
        <v>574899.59422293177</v>
      </c>
      <c r="H23" s="14">
        <f>Model!U96+Model!V96+Model!W96</f>
        <v>424851.74901090399</v>
      </c>
      <c r="I23" s="14">
        <f>Model!X96+Model!Y96+Model!Z96</f>
        <v>259542.51801825955</v>
      </c>
      <c r="J23" s="14">
        <f>Model!AA96+Model!AB96+Model!AC96</f>
        <v>-558674.15126500872</v>
      </c>
      <c r="K23" s="14">
        <f>Model!AD96+Model!AE96+Model!AF96</f>
        <v>-19038.245225677849</v>
      </c>
      <c r="L23" s="14">
        <f>Model!AG96+Model!AH96+Model!AI96</f>
        <v>436456.92572715442</v>
      </c>
      <c r="M23" s="14">
        <f>Model!AJ96+Model!AK96+Model!AL96</f>
        <v>79565.195101418882</v>
      </c>
      <c r="N23" s="14">
        <f>Model!AM96+Model!AN96+Model!AO96</f>
        <v>58818.952527227928</v>
      </c>
      <c r="O23" s="14">
        <f>Model!AP96+Model!AQ96+Model!AR96</f>
        <v>444246.39556980436</v>
      </c>
      <c r="P23" s="14">
        <f>Model!AS96+Model!AT96+Model!AU96</f>
        <v>33911.005357866175</v>
      </c>
      <c r="Q23" s="14">
        <f>Model!AV96+Model!AW96+Model!AX96</f>
        <v>212415.91613908031</v>
      </c>
      <c r="R23" s="14">
        <f>Model!AY96+Model!AZ96+Model!BA96</f>
        <v>248087.74312091788</v>
      </c>
      <c r="S23" s="14">
        <f>Model!BB96+Model!BC96+Model!BD96</f>
        <v>135324.76800074882</v>
      </c>
      <c r="T23" s="14">
        <f>Model!BE96+Model!BF96+Model!BG96</f>
        <v>296969.0676454588</v>
      </c>
      <c r="U23" s="14">
        <f>Model!BH96+Model!BI96+Model!BJ96</f>
        <v>-278566.78212727042</v>
      </c>
      <c r="V23" s="14">
        <f>Model!BK96+Model!BL96+Model!BM96</f>
        <v>-188325.55656137457</v>
      </c>
      <c r="W23" s="14">
        <f>Model!BN96+Model!BO96+Model!BP96</f>
        <v>-208695.22458042903</v>
      </c>
      <c r="X23" s="14">
        <f>Model!BQ96+Model!BR96+Model!BS96</f>
        <v>-43223.772909093997</v>
      </c>
      <c r="Y23" s="14">
        <f>Model!BT96+Model!BU96+Model!BV96</f>
        <v>14320.763243820402</v>
      </c>
      <c r="Z23" s="14">
        <f>Model!BW96+Model!BX96+Model!BY96</f>
        <v>145456.39054506039</v>
      </c>
      <c r="AA23" s="14">
        <f>Model!BZ96+Model!CA96+Model!CB96</f>
        <v>142639.65896043001</v>
      </c>
      <c r="AB23" s="14">
        <f>Model!CC96+Model!CD96+Model!CE96</f>
        <v>-14107.25646078214</v>
      </c>
      <c r="AC23" s="14">
        <f>Model!CF96+Model!CG96+Model!CH96</f>
        <v>-356026.55362768105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94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95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96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97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98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100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101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102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103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500000</v>
      </c>
      <c r="N36" s="8">
        <f>Model!AO108</f>
        <v>500000</v>
      </c>
      <c r="O36" s="8">
        <f>Model!AR108</f>
        <v>500000</v>
      </c>
      <c r="P36" s="8">
        <f>Model!AU108</f>
        <v>500000</v>
      </c>
      <c r="Q36" s="8">
        <f>Model!AX108</f>
        <v>500000</v>
      </c>
      <c r="R36" s="8">
        <f>Model!BA108</f>
        <v>500000</v>
      </c>
      <c r="S36" s="8">
        <f>Model!BD108</f>
        <v>500000</v>
      </c>
      <c r="T36" s="8">
        <f>Model!BG108</f>
        <v>500000</v>
      </c>
      <c r="U36" s="8">
        <f>Model!BJ108</f>
        <v>500000</v>
      </c>
      <c r="V36" s="8">
        <f>Model!BM108</f>
        <v>500000</v>
      </c>
      <c r="W36" s="8">
        <f>Model!BP108</f>
        <v>500000</v>
      </c>
      <c r="X36" s="8">
        <f>Model!BS108</f>
        <v>500000</v>
      </c>
      <c r="Y36" s="8">
        <f>Model!BV108</f>
        <v>500000</v>
      </c>
      <c r="Z36" s="8">
        <f>Model!BY108</f>
        <v>500000</v>
      </c>
      <c r="AA36" s="8">
        <f>Model!CB108</f>
        <v>500000</v>
      </c>
      <c r="AB36" s="8">
        <f>Model!CE108</f>
        <v>500000</v>
      </c>
      <c r="AC36" s="8">
        <f>Model!CH108</f>
        <v>500000</v>
      </c>
    </row>
    <row r="37" spans="1:29" ht="15" customHeight="1" x14ac:dyDescent="0.25">
      <c r="A37" s="7" t="s">
        <v>104</v>
      </c>
      <c r="B37" s="8">
        <f>Model!C155+Model!D155+Model!E155</f>
        <v>200000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105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106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107</v>
      </c>
      <c r="B42" s="19">
        <f>Model!E148</f>
        <v>1268072.7751365188</v>
      </c>
      <c r="C42" s="19">
        <f>Model!H148</f>
        <v>2116908.5490359562</v>
      </c>
      <c r="D42" s="19">
        <f>Model!K148</f>
        <v>3516149.934887846</v>
      </c>
      <c r="E42" s="19">
        <f>Model!N148</f>
        <v>4512729.6170315957</v>
      </c>
      <c r="F42" s="19">
        <f>Model!Q148</f>
        <v>5263452.4833894139</v>
      </c>
      <c r="G42" s="19">
        <f>Model!T148</f>
        <v>6164409.077612346</v>
      </c>
      <c r="H42" s="19">
        <f>Model!W148</f>
        <v>6855902.8266232498</v>
      </c>
      <c r="I42" s="19">
        <f>Model!Z148</f>
        <v>7360667.3446415095</v>
      </c>
      <c r="J42" s="19">
        <f>Model!AC148</f>
        <v>7048359.6333765006</v>
      </c>
      <c r="K42" s="19">
        <f>Model!AF148</f>
        <v>7356992.028150822</v>
      </c>
      <c r="L42" s="19">
        <f>Model!AI148</f>
        <v>8147538.7938779769</v>
      </c>
      <c r="M42" s="19">
        <f>Model!AL148</f>
        <v>8559345.4289793968</v>
      </c>
      <c r="N42" s="19">
        <f>Model!AO148</f>
        <v>8951573.1503066253</v>
      </c>
      <c r="O42" s="19">
        <f>Model!AR148</f>
        <v>9753636.0986764282</v>
      </c>
      <c r="P42" s="19">
        <f>Model!AU148</f>
        <v>10143241.240834296</v>
      </c>
      <c r="Q42" s="19">
        <f>Model!AX148</f>
        <v>10689065.925773378</v>
      </c>
      <c r="R42" s="19">
        <f>Model!BA148</f>
        <v>11271753.113070294</v>
      </c>
      <c r="S42" s="19">
        <f>Model!BD148</f>
        <v>11766573.264927043</v>
      </c>
      <c r="T42" s="19">
        <f>Model!BG148</f>
        <v>12420872.852108503</v>
      </c>
      <c r="U42" s="19">
        <f>Model!BJ148</f>
        <v>12476905.514157232</v>
      </c>
      <c r="V42" s="19">
        <f>Model!BM148</f>
        <v>12624393.890655378</v>
      </c>
      <c r="W42" s="19">
        <f>Model!BP148</f>
        <v>12725392.937608071</v>
      </c>
      <c r="X42" s="19">
        <f>Model!BS148</f>
        <v>12973406.794625698</v>
      </c>
      <c r="Y42" s="19">
        <f>Model!BV148</f>
        <v>13255779.490929037</v>
      </c>
      <c r="Z42" s="19">
        <f>Model!BY148</f>
        <v>13670526.593194809</v>
      </c>
      <c r="AA42" s="19">
        <f>Model!CB148</f>
        <v>14099621.69951902</v>
      </c>
      <c r="AB42" s="19">
        <f>Model!CE148</f>
        <v>14369717.56558349</v>
      </c>
      <c r="AC42" s="19">
        <f>Model!CH148</f>
        <v>14267636.697070042</v>
      </c>
    </row>
    <row r="43" spans="1:29" ht="15" customHeight="1" x14ac:dyDescent="0.25">
      <c r="A43" s="18" t="s">
        <v>108</v>
      </c>
      <c r="B43" s="19">
        <f>Model!E156</f>
        <v>193249.74</v>
      </c>
      <c r="C43" s="19">
        <f>Model!H156</f>
        <v>-29714.850000000035</v>
      </c>
      <c r="D43" s="19">
        <f>Model!K156</f>
        <v>-661096.10000000009</v>
      </c>
      <c r="E43" s="19">
        <f>Model!N156</f>
        <v>-1530852.35</v>
      </c>
      <c r="F43" s="19">
        <f>Model!Q156</f>
        <v>-2151730.6000000006</v>
      </c>
      <c r="G43" s="19">
        <f>Model!T156</f>
        <v>-2867787.6</v>
      </c>
      <c r="H43" s="19">
        <f>Model!W156</f>
        <v>-3460398.8432854447</v>
      </c>
      <c r="I43" s="19">
        <f>Model!Z156</f>
        <v>-3955620.8432854442</v>
      </c>
      <c r="J43" s="19">
        <f>Model!AC156</f>
        <v>-4201987.2832854437</v>
      </c>
      <c r="K43" s="19">
        <f>Model!AF156</f>
        <v>-4529657.9232854433</v>
      </c>
      <c r="L43" s="19">
        <f>Model!AI156</f>
        <v>-4883747.7632854432</v>
      </c>
      <c r="M43" s="19">
        <f>Model!AL156</f>
        <v>-5215989.2032854427</v>
      </c>
      <c r="N43" s="19">
        <f>Model!AO156</f>
        <v>-5549397.9720854424</v>
      </c>
      <c r="O43" s="19">
        <f>Model!AR156</f>
        <v>-5907214.5248854421</v>
      </c>
      <c r="P43" s="19">
        <f>Model!AU156</f>
        <v>-6262908.6616854416</v>
      </c>
      <c r="Q43" s="19">
        <f>Model!AX156</f>
        <v>-6596317.4304854413</v>
      </c>
      <c r="R43" s="19">
        <f>Model!BA156</f>
        <v>-6930916.8746614419</v>
      </c>
      <c r="S43" s="19">
        <f>Model!BD156</f>
        <v>-7290412.2585174423</v>
      </c>
      <c r="T43" s="19">
        <f>Model!BG156</f>
        <v>-7647742.7780534429</v>
      </c>
      <c r="U43" s="19">
        <f>Model!BJ156</f>
        <v>-7982342.2222294435</v>
      </c>
      <c r="V43" s="19">
        <f>Model!BM156</f>
        <v>-8318156.1552889636</v>
      </c>
      <c r="W43" s="19">
        <f>Model!BP156</f>
        <v>-8627850.4268220831</v>
      </c>
      <c r="X43" s="19">
        <f>Model!BS156</f>
        <v>-8919088.0567488018</v>
      </c>
      <c r="Y43" s="19">
        <f>Model!BV156</f>
        <v>-9187139.9898083191</v>
      </c>
      <c r="Z43" s="19">
        <f>Model!BY156</f>
        <v>-9456430.7015290316</v>
      </c>
      <c r="AA43" s="19">
        <f>Model!CB156</f>
        <v>-9742886.1488928162</v>
      </c>
      <c r="AB43" s="19">
        <f>Model!CE156</f>
        <v>-10027089.271418072</v>
      </c>
      <c r="AC43" s="19">
        <f>Model!CH156</f>
        <v>-10281034.956532305</v>
      </c>
    </row>
    <row r="44" spans="1:29" ht="15" customHeight="1" x14ac:dyDescent="0.25">
      <c r="A44" s="18" t="s">
        <v>109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-534457.4504663538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-685925.81752062065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-35486.114176418218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-184962.46456689519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-267839.24847186176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0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-86492.866886558593</v>
      </c>
    </row>
    <row r="45" spans="1:29" ht="15" customHeight="1" x14ac:dyDescent="0.25">
      <c r="A45" s="20" t="s">
        <v>110</v>
      </c>
      <c r="B45" s="21">
        <f>Model!E161</f>
        <v>1461322.5151365187</v>
      </c>
      <c r="C45" s="21">
        <f>Model!H161</f>
        <v>2087193.6990359563</v>
      </c>
      <c r="D45" s="21">
        <f>Model!K161</f>
        <v>2855053.8348878459</v>
      </c>
      <c r="E45" s="21">
        <f>Model!N161</f>
        <v>2447419.8165652412</v>
      </c>
      <c r="F45" s="21">
        <f>Model!Q161</f>
        <v>3111721.8833894138</v>
      </c>
      <c r="G45" s="21">
        <f>Model!T161</f>
        <v>3296621.4776123459</v>
      </c>
      <c r="H45" s="21">
        <f>Model!W161</f>
        <v>3395503.9833378051</v>
      </c>
      <c r="I45" s="21">
        <f>Model!Z161</f>
        <v>2719120.683835445</v>
      </c>
      <c r="J45" s="21">
        <f>Model!AC161</f>
        <v>2846372.3500910569</v>
      </c>
      <c r="K45" s="21">
        <f>Model!AF161</f>
        <v>2827334.1048653787</v>
      </c>
      <c r="L45" s="21">
        <f>Model!AI161</f>
        <v>3263791.0305925342</v>
      </c>
      <c r="M45" s="21">
        <f>Model!AL161</f>
        <v>3307870.1115175351</v>
      </c>
      <c r="N45" s="21">
        <f>Model!AO161</f>
        <v>3402175.178221182</v>
      </c>
      <c r="O45" s="21">
        <f>Model!AR161</f>
        <v>3846421.573790987</v>
      </c>
      <c r="P45" s="21">
        <f>Model!AU161</f>
        <v>3880332.5791488527</v>
      </c>
      <c r="Q45" s="21">
        <f>Model!AX161</f>
        <v>3907786.0307210409</v>
      </c>
      <c r="R45" s="21">
        <f>Model!BA161</f>
        <v>4340836.2384088533</v>
      </c>
      <c r="S45" s="21">
        <f>Model!BD161</f>
        <v>4476161.0064096013</v>
      </c>
      <c r="T45" s="21">
        <f>Model!BG161</f>
        <v>4773130.0740550598</v>
      </c>
      <c r="U45" s="21">
        <f>Model!BJ161</f>
        <v>4226724.0434559267</v>
      </c>
      <c r="V45" s="21">
        <f>Model!BM161</f>
        <v>4306237.7353664143</v>
      </c>
      <c r="W45" s="21">
        <f>Model!BP161</f>
        <v>4097542.5107859867</v>
      </c>
      <c r="X45" s="21">
        <f>Model!BS161</f>
        <v>4054318.7378768958</v>
      </c>
      <c r="Y45" s="21">
        <f>Model!BV161</f>
        <v>4068639.5011207182</v>
      </c>
      <c r="Z45" s="21">
        <f>Model!BY161</f>
        <v>4214095.8916657781</v>
      </c>
      <c r="AA45" s="21">
        <f>Model!CB161</f>
        <v>4356735.5506262053</v>
      </c>
      <c r="AB45" s="21">
        <f>Model!CE161</f>
        <v>4342628.2941654185</v>
      </c>
      <c r="AC45" s="21">
        <f>Model!CH161</f>
        <v>3900108.8736511772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8" t="s">
        <v>274</v>
      </c>
      <c r="B1" s="219"/>
      <c r="C1" s="219"/>
      <c r="D1" s="219"/>
      <c r="E1" s="219"/>
      <c r="F1" s="21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276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277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278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276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277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278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276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280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277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278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276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280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277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278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276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280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277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278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276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280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104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277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278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123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276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280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0</v>
      </c>
      <c r="M40" s="70">
        <f>Model!M84</f>
        <v>0</v>
      </c>
      <c r="N40" s="70">
        <f>Model!N84</f>
        <v>0</v>
      </c>
      <c r="O40" s="70">
        <f>Model!O84</f>
        <v>0</v>
      </c>
      <c r="P40" s="70">
        <f>Model!P84</f>
        <v>0</v>
      </c>
      <c r="Q40" s="70">
        <f>Model!Q84</f>
        <v>0</v>
      </c>
      <c r="R40" s="70">
        <f>Model!R84</f>
        <v>0</v>
      </c>
      <c r="S40" s="70">
        <f>Model!S84</f>
        <v>0</v>
      </c>
      <c r="T40" s="70">
        <f>Model!T84</f>
        <v>0</v>
      </c>
      <c r="U40" s="70">
        <f>Model!U84</f>
        <v>0</v>
      </c>
      <c r="V40" s="70">
        <f>Model!V84</f>
        <v>0</v>
      </c>
      <c r="W40" s="70">
        <f>Model!W84</f>
        <v>0</v>
      </c>
      <c r="X40" s="70">
        <f>Model!X84</f>
        <v>0</v>
      </c>
      <c r="Y40" s="70">
        <f>Model!Y84</f>
        <v>0</v>
      </c>
      <c r="Z40" s="70">
        <f>Model!Z84</f>
        <v>0</v>
      </c>
      <c r="AA40" s="70">
        <f>Model!AA84</f>
        <v>0</v>
      </c>
      <c r="AB40" s="70">
        <f>Model!AB84</f>
        <v>0</v>
      </c>
      <c r="AC40" s="70">
        <f>Model!AC84</f>
        <v>0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-73156</v>
      </c>
      <c r="BZ40" s="70">
        <f>Model!BZ84</f>
        <v>0</v>
      </c>
      <c r="CA40" s="70">
        <f>Model!CA84</f>
        <v>0</v>
      </c>
      <c r="CB40" s="70">
        <f>Model!CB84</f>
        <v>-73155</v>
      </c>
      <c r="CC40" s="70">
        <f>Model!CC84</f>
        <v>0</v>
      </c>
      <c r="CD40" s="70">
        <f>Model!CD84</f>
        <v>0</v>
      </c>
      <c r="CE40" s="70">
        <f>Model!CE84</f>
        <v>-73155</v>
      </c>
      <c r="CF40" s="70">
        <f>Model!CF84</f>
        <v>0</v>
      </c>
      <c r="CG40" s="70">
        <f>Model!CG84</f>
        <v>0</v>
      </c>
      <c r="CH40" s="70">
        <f>Model!CH84</f>
        <v>-73155</v>
      </c>
    </row>
    <row r="41" spans="1:86" ht="15" customHeight="1" x14ac:dyDescent="0.25">
      <c r="A41" s="28" t="s">
        <v>277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0</v>
      </c>
      <c r="M41" s="67">
        <f t="shared" si="36"/>
        <v>0</v>
      </c>
      <c r="N41" s="67">
        <f t="shared" si="36"/>
        <v>0</v>
      </c>
      <c r="O41" s="67">
        <f t="shared" si="36"/>
        <v>0</v>
      </c>
      <c r="P41" s="67">
        <f t="shared" si="36"/>
        <v>0</v>
      </c>
      <c r="Q41" s="67">
        <f t="shared" si="36"/>
        <v>0</v>
      </c>
      <c r="R41" s="67">
        <f t="shared" si="36"/>
        <v>0</v>
      </c>
      <c r="S41" s="67">
        <f t="shared" si="36"/>
        <v>0</v>
      </c>
      <c r="T41" s="67">
        <f t="shared" si="36"/>
        <v>0</v>
      </c>
      <c r="U41" s="67">
        <f t="shared" si="36"/>
        <v>0</v>
      </c>
      <c r="V41" s="67">
        <f t="shared" si="36"/>
        <v>0</v>
      </c>
      <c r="W41" s="67">
        <f t="shared" si="36"/>
        <v>0</v>
      </c>
      <c r="X41" s="67">
        <f t="shared" si="36"/>
        <v>0</v>
      </c>
      <c r="Y41" s="67">
        <f t="shared" si="36"/>
        <v>0</v>
      </c>
      <c r="Z41" s="67">
        <f t="shared" si="36"/>
        <v>0</v>
      </c>
      <c r="AA41" s="67">
        <f t="shared" si="36"/>
        <v>0</v>
      </c>
      <c r="AB41" s="67">
        <f t="shared" si="36"/>
        <v>0</v>
      </c>
      <c r="AC41" s="67">
        <f t="shared" si="36"/>
        <v>0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-73156</v>
      </c>
      <c r="BZ41" s="67">
        <f t="shared" si="38"/>
        <v>0</v>
      </c>
      <c r="CA41" s="67">
        <f t="shared" si="38"/>
        <v>0</v>
      </c>
      <c r="CB41" s="67">
        <f t="shared" si="38"/>
        <v>-73155</v>
      </c>
      <c r="CC41" s="67">
        <f t="shared" si="38"/>
        <v>0</v>
      </c>
      <c r="CD41" s="67">
        <f t="shared" si="38"/>
        <v>0</v>
      </c>
      <c r="CE41" s="67">
        <f t="shared" si="38"/>
        <v>-73155</v>
      </c>
      <c r="CF41" s="67">
        <f t="shared" si="38"/>
        <v>0</v>
      </c>
      <c r="CG41" s="67">
        <f t="shared" si="38"/>
        <v>0</v>
      </c>
      <c r="CH41" s="67">
        <f t="shared" si="38"/>
        <v>-73155</v>
      </c>
    </row>
    <row r="42" spans="1:86" ht="15" customHeight="1" x14ac:dyDescent="0.25">
      <c r="A42" s="60" t="s">
        <v>278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0</v>
      </c>
      <c r="M42" s="68">
        <f t="shared" si="39"/>
        <v>0</v>
      </c>
      <c r="N42" s="68">
        <f t="shared" si="39"/>
        <v>0</v>
      </c>
      <c r="O42" s="68">
        <f t="shared" si="39"/>
        <v>0</v>
      </c>
      <c r="P42" s="68">
        <f t="shared" si="39"/>
        <v>0</v>
      </c>
      <c r="Q42" s="68">
        <f t="shared" si="39"/>
        <v>0</v>
      </c>
      <c r="R42" s="68">
        <f t="shared" si="39"/>
        <v>0</v>
      </c>
      <c r="S42" s="68">
        <f t="shared" si="39"/>
        <v>0</v>
      </c>
      <c r="T42" s="68">
        <f t="shared" si="39"/>
        <v>0</v>
      </c>
      <c r="U42" s="68">
        <f t="shared" si="39"/>
        <v>0</v>
      </c>
      <c r="V42" s="68">
        <f t="shared" si="39"/>
        <v>0</v>
      </c>
      <c r="W42" s="68">
        <f t="shared" si="39"/>
        <v>0</v>
      </c>
      <c r="X42" s="68">
        <f t="shared" si="39"/>
        <v>0</v>
      </c>
      <c r="Y42" s="68">
        <f t="shared" si="39"/>
        <v>0</v>
      </c>
      <c r="Z42" s="68">
        <f t="shared" si="39"/>
        <v>0</v>
      </c>
      <c r="AA42" s="68">
        <f t="shared" si="39"/>
        <v>0</v>
      </c>
      <c r="AB42" s="68">
        <f t="shared" si="39"/>
        <v>0</v>
      </c>
      <c r="AC42" s="68">
        <f t="shared" si="39"/>
        <v>0</v>
      </c>
      <c r="AD42" s="68">
        <f t="shared" si="39"/>
        <v>0</v>
      </c>
      <c r="AE42" s="68">
        <f t="shared" si="39"/>
        <v>0</v>
      </c>
      <c r="AF42" s="68">
        <f t="shared" si="39"/>
        <v>0</v>
      </c>
      <c r="AG42" s="68">
        <f t="shared" si="39"/>
        <v>0</v>
      </c>
      <c r="AH42" s="68">
        <f t="shared" si="39"/>
        <v>0</v>
      </c>
      <c r="AI42" s="68">
        <f t="shared" si="39"/>
        <v>0</v>
      </c>
      <c r="AJ42" s="68">
        <f t="shared" ref="AJ42:BO42" si="40">AI42+AJ41</f>
        <v>0</v>
      </c>
      <c r="AK42" s="68">
        <f t="shared" si="40"/>
        <v>0</v>
      </c>
      <c r="AL42" s="68">
        <f t="shared" si="40"/>
        <v>0</v>
      </c>
      <c r="AM42" s="68">
        <f t="shared" si="40"/>
        <v>0</v>
      </c>
      <c r="AN42" s="68">
        <f t="shared" si="40"/>
        <v>0</v>
      </c>
      <c r="AO42" s="68">
        <f t="shared" si="40"/>
        <v>0</v>
      </c>
      <c r="AP42" s="68">
        <f t="shared" si="40"/>
        <v>0</v>
      </c>
      <c r="AQ42" s="68">
        <f t="shared" si="40"/>
        <v>0</v>
      </c>
      <c r="AR42" s="68">
        <f t="shared" si="40"/>
        <v>0</v>
      </c>
      <c r="AS42" s="68">
        <f t="shared" si="40"/>
        <v>0</v>
      </c>
      <c r="AT42" s="68">
        <f t="shared" si="40"/>
        <v>0</v>
      </c>
      <c r="AU42" s="68">
        <f t="shared" si="40"/>
        <v>0</v>
      </c>
      <c r="AV42" s="68">
        <f t="shared" si="40"/>
        <v>0</v>
      </c>
      <c r="AW42" s="68">
        <f t="shared" si="40"/>
        <v>0</v>
      </c>
      <c r="AX42" s="68">
        <f t="shared" si="40"/>
        <v>0</v>
      </c>
      <c r="AY42" s="68">
        <f t="shared" si="40"/>
        <v>0</v>
      </c>
      <c r="AZ42" s="68">
        <f t="shared" si="40"/>
        <v>0</v>
      </c>
      <c r="BA42" s="68">
        <f t="shared" si="40"/>
        <v>0</v>
      </c>
      <c r="BB42" s="68">
        <f t="shared" si="40"/>
        <v>0</v>
      </c>
      <c r="BC42" s="68">
        <f t="shared" si="40"/>
        <v>0</v>
      </c>
      <c r="BD42" s="68">
        <f t="shared" si="40"/>
        <v>0</v>
      </c>
      <c r="BE42" s="68">
        <f t="shared" si="40"/>
        <v>0</v>
      </c>
      <c r="BF42" s="68">
        <f t="shared" si="40"/>
        <v>0</v>
      </c>
      <c r="BG42" s="68">
        <f t="shared" si="40"/>
        <v>0</v>
      </c>
      <c r="BH42" s="68">
        <f t="shared" si="40"/>
        <v>0</v>
      </c>
      <c r="BI42" s="68">
        <f t="shared" si="40"/>
        <v>0</v>
      </c>
      <c r="BJ42" s="68">
        <f t="shared" si="40"/>
        <v>0</v>
      </c>
      <c r="BK42" s="68">
        <f t="shared" si="40"/>
        <v>0</v>
      </c>
      <c r="BL42" s="68">
        <f t="shared" si="40"/>
        <v>0</v>
      </c>
      <c r="BM42" s="68">
        <f t="shared" si="40"/>
        <v>0</v>
      </c>
      <c r="BN42" s="68">
        <f t="shared" si="40"/>
        <v>0</v>
      </c>
      <c r="BO42" s="68">
        <f t="shared" si="40"/>
        <v>0</v>
      </c>
      <c r="BP42" s="68">
        <f t="shared" ref="BP42:CU42" si="41">BO42+BP41</f>
        <v>0</v>
      </c>
      <c r="BQ42" s="68">
        <f t="shared" si="41"/>
        <v>0</v>
      </c>
      <c r="BR42" s="68">
        <f t="shared" si="41"/>
        <v>0</v>
      </c>
      <c r="BS42" s="68">
        <f t="shared" si="41"/>
        <v>0</v>
      </c>
      <c r="BT42" s="68">
        <f t="shared" si="41"/>
        <v>0</v>
      </c>
      <c r="BU42" s="68">
        <f t="shared" si="41"/>
        <v>0</v>
      </c>
      <c r="BV42" s="68">
        <f t="shared" si="41"/>
        <v>0</v>
      </c>
      <c r="BW42" s="68">
        <f t="shared" si="41"/>
        <v>0</v>
      </c>
      <c r="BX42" s="68">
        <f t="shared" si="41"/>
        <v>0</v>
      </c>
      <c r="BY42" s="68">
        <f t="shared" si="41"/>
        <v>-73156</v>
      </c>
      <c r="BZ42" s="68">
        <f t="shared" si="41"/>
        <v>-73156</v>
      </c>
      <c r="CA42" s="68">
        <f t="shared" si="41"/>
        <v>-73156</v>
      </c>
      <c r="CB42" s="68">
        <f t="shared" si="41"/>
        <v>-146311</v>
      </c>
      <c r="CC42" s="68">
        <f t="shared" si="41"/>
        <v>-146311</v>
      </c>
      <c r="CD42" s="68">
        <f t="shared" si="41"/>
        <v>-146311</v>
      </c>
      <c r="CE42" s="68">
        <f t="shared" si="41"/>
        <v>-219466</v>
      </c>
      <c r="CF42" s="68">
        <f t="shared" si="41"/>
        <v>-219466</v>
      </c>
      <c r="CG42" s="68">
        <f t="shared" si="41"/>
        <v>-219466</v>
      </c>
      <c r="CH42" s="68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281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282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23906.25</v>
      </c>
      <c r="M45" s="67">
        <f t="shared" si="42"/>
        <v>23906.25</v>
      </c>
      <c r="N45" s="67">
        <f t="shared" si="42"/>
        <v>23906.25</v>
      </c>
      <c r="O45" s="67">
        <f t="shared" si="42"/>
        <v>23906.25</v>
      </c>
      <c r="P45" s="67">
        <f t="shared" si="42"/>
        <v>23906.25</v>
      </c>
      <c r="Q45" s="67">
        <f t="shared" si="42"/>
        <v>23906.25</v>
      </c>
      <c r="R45" s="67">
        <f t="shared" si="42"/>
        <v>0</v>
      </c>
      <c r="S45" s="67">
        <f t="shared" si="42"/>
        <v>0</v>
      </c>
      <c r="T45" s="67">
        <f t="shared" si="42"/>
        <v>0</v>
      </c>
      <c r="U45" s="67">
        <f t="shared" si="42"/>
        <v>0</v>
      </c>
      <c r="V45" s="67">
        <f t="shared" si="42"/>
        <v>0</v>
      </c>
      <c r="W45" s="67">
        <f t="shared" si="42"/>
        <v>57375</v>
      </c>
      <c r="X45" s="67">
        <f t="shared" si="42"/>
        <v>0</v>
      </c>
      <c r="Y45" s="67">
        <f t="shared" si="42"/>
        <v>0</v>
      </c>
      <c r="Z45" s="67">
        <f t="shared" si="42"/>
        <v>57375</v>
      </c>
      <c r="AA45" s="67">
        <f t="shared" si="42"/>
        <v>0</v>
      </c>
      <c r="AB45" s="67">
        <f t="shared" si="42"/>
        <v>0</v>
      </c>
      <c r="AC45" s="67">
        <f t="shared" si="42"/>
        <v>57375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-5394</v>
      </c>
      <c r="BZ45" s="67">
        <f t="shared" si="44"/>
        <v>0</v>
      </c>
      <c r="CA45" s="67">
        <f t="shared" si="44"/>
        <v>0</v>
      </c>
      <c r="CB45" s="67">
        <f t="shared" si="44"/>
        <v>3344</v>
      </c>
      <c r="CC45" s="67">
        <f t="shared" si="44"/>
        <v>0</v>
      </c>
      <c r="CD45" s="67">
        <f t="shared" si="44"/>
        <v>0</v>
      </c>
      <c r="CE45" s="67">
        <f t="shared" si="44"/>
        <v>3344</v>
      </c>
      <c r="CF45" s="67">
        <f t="shared" si="44"/>
        <v>0</v>
      </c>
      <c r="CG45" s="67">
        <f t="shared" si="44"/>
        <v>0</v>
      </c>
      <c r="CH45" s="67">
        <f t="shared" si="44"/>
        <v>9952.0266064792231</v>
      </c>
    </row>
    <row r="46" spans="1:86" ht="15" customHeight="1" x14ac:dyDescent="0.25">
      <c r="A46" s="71" t="s">
        <v>283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304687.5</v>
      </c>
      <c r="M46" s="68">
        <f t="shared" si="45"/>
        <v>328593.75</v>
      </c>
      <c r="N46" s="68">
        <f t="shared" si="45"/>
        <v>352500</v>
      </c>
      <c r="O46" s="68">
        <f t="shared" si="45"/>
        <v>376406.25</v>
      </c>
      <c r="P46" s="68">
        <f t="shared" si="45"/>
        <v>400312.5</v>
      </c>
      <c r="Q46" s="68">
        <f t="shared" si="45"/>
        <v>424218.75</v>
      </c>
      <c r="R46" s="68">
        <f t="shared" si="45"/>
        <v>424218.75</v>
      </c>
      <c r="S46" s="68">
        <f t="shared" si="45"/>
        <v>424218.75</v>
      </c>
      <c r="T46" s="68">
        <f t="shared" si="45"/>
        <v>424218.75</v>
      </c>
      <c r="U46" s="68">
        <f t="shared" si="45"/>
        <v>424218.75</v>
      </c>
      <c r="V46" s="68">
        <f t="shared" si="45"/>
        <v>424218.75</v>
      </c>
      <c r="W46" s="68">
        <f t="shared" si="45"/>
        <v>481593.75</v>
      </c>
      <c r="X46" s="68">
        <f t="shared" si="45"/>
        <v>481593.75</v>
      </c>
      <c r="Y46" s="68">
        <f t="shared" si="45"/>
        <v>481593.75</v>
      </c>
      <c r="Z46" s="68">
        <f t="shared" si="45"/>
        <v>538968.75</v>
      </c>
      <c r="AA46" s="68">
        <f t="shared" si="45"/>
        <v>538968.75</v>
      </c>
      <c r="AB46" s="68">
        <f t="shared" si="45"/>
        <v>538968.75</v>
      </c>
      <c r="AC46" s="68">
        <f t="shared" si="45"/>
        <v>596343.75</v>
      </c>
      <c r="AD46" s="68">
        <f t="shared" si="45"/>
        <v>596343.75</v>
      </c>
      <c r="AE46" s="68">
        <f t="shared" si="45"/>
        <v>596343.75</v>
      </c>
      <c r="AF46" s="68">
        <f t="shared" si="45"/>
        <v>596343.75</v>
      </c>
      <c r="AG46" s="68">
        <f t="shared" si="45"/>
        <v>596343.75</v>
      </c>
      <c r="AH46" s="68">
        <f t="shared" si="45"/>
        <v>596343.75</v>
      </c>
      <c r="AI46" s="68">
        <f t="shared" si="45"/>
        <v>596343.75</v>
      </c>
      <c r="AJ46" s="68">
        <f t="shared" ref="AJ46:BO46" si="46">AI46+AJ45</f>
        <v>596343.75</v>
      </c>
      <c r="AK46" s="68">
        <f t="shared" si="46"/>
        <v>596343.75</v>
      </c>
      <c r="AL46" s="68">
        <f t="shared" si="46"/>
        <v>596343.75</v>
      </c>
      <c r="AM46" s="68">
        <f t="shared" si="46"/>
        <v>596343.75</v>
      </c>
      <c r="AN46" s="68">
        <f t="shared" si="46"/>
        <v>596343.75</v>
      </c>
      <c r="AO46" s="68">
        <f t="shared" si="46"/>
        <v>596343.75</v>
      </c>
      <c r="AP46" s="68">
        <f t="shared" si="46"/>
        <v>596343.75</v>
      </c>
      <c r="AQ46" s="68">
        <f t="shared" si="46"/>
        <v>596343.75</v>
      </c>
      <c r="AR46" s="68">
        <f t="shared" si="46"/>
        <v>596343.75</v>
      </c>
      <c r="AS46" s="68">
        <f t="shared" si="46"/>
        <v>596343.75</v>
      </c>
      <c r="AT46" s="68">
        <f t="shared" si="46"/>
        <v>596343.75</v>
      </c>
      <c r="AU46" s="68">
        <f t="shared" si="46"/>
        <v>596343.75</v>
      </c>
      <c r="AV46" s="68">
        <f t="shared" si="46"/>
        <v>596343.75</v>
      </c>
      <c r="AW46" s="68">
        <f t="shared" si="46"/>
        <v>596343.75</v>
      </c>
      <c r="AX46" s="68">
        <f t="shared" si="46"/>
        <v>596343.75</v>
      </c>
      <c r="AY46" s="68">
        <f t="shared" si="46"/>
        <v>596343.75</v>
      </c>
      <c r="AZ46" s="68">
        <f t="shared" si="46"/>
        <v>596343.75</v>
      </c>
      <c r="BA46" s="68">
        <f t="shared" si="46"/>
        <v>596343.75</v>
      </c>
      <c r="BB46" s="68">
        <f t="shared" si="46"/>
        <v>596343.75</v>
      </c>
      <c r="BC46" s="68">
        <f t="shared" si="46"/>
        <v>596343.75</v>
      </c>
      <c r="BD46" s="68">
        <f t="shared" si="46"/>
        <v>596343.75</v>
      </c>
      <c r="BE46" s="68">
        <f t="shared" si="46"/>
        <v>596343.75</v>
      </c>
      <c r="BF46" s="68">
        <f t="shared" si="46"/>
        <v>596343.75</v>
      </c>
      <c r="BG46" s="68">
        <f t="shared" si="46"/>
        <v>596343.75</v>
      </c>
      <c r="BH46" s="68">
        <f t="shared" si="46"/>
        <v>596343.75</v>
      </c>
      <c r="BI46" s="68">
        <f t="shared" si="46"/>
        <v>596343.75</v>
      </c>
      <c r="BJ46" s="68">
        <f t="shared" si="46"/>
        <v>596343.75</v>
      </c>
      <c r="BK46" s="68">
        <f t="shared" si="46"/>
        <v>596343.75</v>
      </c>
      <c r="BL46" s="68">
        <f t="shared" si="46"/>
        <v>596343.75</v>
      </c>
      <c r="BM46" s="68">
        <f t="shared" si="46"/>
        <v>596343.75</v>
      </c>
      <c r="BN46" s="68">
        <f t="shared" si="46"/>
        <v>596343.75</v>
      </c>
      <c r="BO46" s="68">
        <f t="shared" si="46"/>
        <v>596343.75</v>
      </c>
      <c r="BP46" s="68">
        <f t="shared" ref="BP46:CU46" si="47">BO46+BP45</f>
        <v>647857.27</v>
      </c>
      <c r="BQ46" s="68">
        <f t="shared" si="47"/>
        <v>647857.27</v>
      </c>
      <c r="BR46" s="68">
        <f t="shared" si="47"/>
        <v>647857.27</v>
      </c>
      <c r="BS46" s="68">
        <f t="shared" si="47"/>
        <v>715619.27</v>
      </c>
      <c r="BT46" s="68">
        <f t="shared" si="47"/>
        <v>715619.27</v>
      </c>
      <c r="BU46" s="68">
        <f t="shared" si="47"/>
        <v>715619.27</v>
      </c>
      <c r="BV46" s="68">
        <f t="shared" si="47"/>
        <v>783381.27</v>
      </c>
      <c r="BW46" s="68">
        <f t="shared" si="47"/>
        <v>783381.27</v>
      </c>
      <c r="BX46" s="68">
        <f t="shared" si="47"/>
        <v>783381.27</v>
      </c>
      <c r="BY46" s="68">
        <f t="shared" si="47"/>
        <v>777987.27</v>
      </c>
      <c r="BZ46" s="68">
        <f t="shared" si="47"/>
        <v>777987.27</v>
      </c>
      <c r="CA46" s="68">
        <f t="shared" si="47"/>
        <v>777987.27</v>
      </c>
      <c r="CB46" s="68">
        <f t="shared" si="47"/>
        <v>781331.27</v>
      </c>
      <c r="CC46" s="68">
        <f t="shared" si="47"/>
        <v>781331.27</v>
      </c>
      <c r="CD46" s="68">
        <f t="shared" si="47"/>
        <v>781331.27</v>
      </c>
      <c r="CE46" s="68">
        <f t="shared" si="47"/>
        <v>784675.27</v>
      </c>
      <c r="CF46" s="68">
        <f t="shared" si="47"/>
        <v>784675.27</v>
      </c>
      <c r="CG46" s="68">
        <f t="shared" si="47"/>
        <v>784675.27</v>
      </c>
      <c r="CH46" s="68">
        <f t="shared" si="47"/>
        <v>794627.29660647921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285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286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287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288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289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290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291</v>
      </c>
      <c r="B55" s="73" t="s">
        <v>292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293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8" t="s">
        <v>294</v>
      </c>
      <c r="B1" s="219"/>
      <c r="C1" s="219"/>
      <c r="D1" s="219"/>
      <c r="E1" s="219"/>
      <c r="F1" s="219"/>
      <c r="G1" s="219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295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296</v>
      </c>
      <c r="B4" s="6" t="s">
        <v>297</v>
      </c>
      <c r="C4" s="6" t="s">
        <v>298</v>
      </c>
      <c r="D4" s="6" t="s">
        <v>299</v>
      </c>
      <c r="E4" s="6" t="s">
        <v>300</v>
      </c>
      <c r="F4" s="6" t="s">
        <v>301</v>
      </c>
      <c r="G4" s="6" t="s">
        <v>302</v>
      </c>
      <c r="H4" s="1"/>
      <c r="I4" s="1"/>
    </row>
    <row r="5" spans="1:9" ht="15" customHeight="1" x14ac:dyDescent="0.25">
      <c r="A5" s="16" t="s">
        <v>303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304</v>
      </c>
      <c r="G5" s="61" t="s">
        <v>305</v>
      </c>
      <c r="H5" s="1"/>
      <c r="I5" s="1"/>
    </row>
    <row r="6" spans="1:9" ht="15" customHeight="1" x14ac:dyDescent="0.25">
      <c r="A6" s="16" t="s">
        <v>306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304</v>
      </c>
      <c r="G6" s="61" t="s">
        <v>305</v>
      </c>
      <c r="H6" s="1"/>
      <c r="I6" s="1"/>
    </row>
    <row r="7" spans="1:9" ht="15" customHeight="1" x14ac:dyDescent="0.25">
      <c r="A7" s="16" t="s">
        <v>307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304</v>
      </c>
      <c r="G7" s="61" t="s">
        <v>308</v>
      </c>
      <c r="H7" s="1"/>
      <c r="I7" s="1"/>
    </row>
    <row r="8" spans="1:9" ht="15" customHeight="1" x14ac:dyDescent="0.25">
      <c r="A8" s="16" t="s">
        <v>309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304</v>
      </c>
      <c r="G8" s="61" t="s">
        <v>310</v>
      </c>
      <c r="H8" s="1"/>
      <c r="I8" s="1"/>
    </row>
    <row r="9" spans="1:9" ht="15" customHeight="1" x14ac:dyDescent="0.25">
      <c r="A9" s="16" t="s">
        <v>311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304</v>
      </c>
      <c r="G9" s="61" t="s">
        <v>312</v>
      </c>
      <c r="H9" s="1"/>
      <c r="I9" s="1"/>
    </row>
    <row r="10" spans="1:9" ht="15" customHeight="1" x14ac:dyDescent="0.25">
      <c r="A10" s="16" t="s">
        <v>313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304</v>
      </c>
      <c r="G10" s="61" t="s">
        <v>314</v>
      </c>
      <c r="H10" s="1"/>
      <c r="I10" s="1"/>
    </row>
    <row r="11" spans="1:9" ht="15" customHeight="1" x14ac:dyDescent="0.25">
      <c r="A11" s="16" t="s">
        <v>315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304</v>
      </c>
      <c r="G11" s="61" t="s">
        <v>316</v>
      </c>
      <c r="H11" s="1"/>
      <c r="I11" s="1"/>
    </row>
    <row r="12" spans="1:9" ht="15" customHeight="1" x14ac:dyDescent="0.25">
      <c r="A12" s="16" t="s">
        <v>317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304</v>
      </c>
      <c r="G12" s="61" t="s">
        <v>318</v>
      </c>
      <c r="H12" s="1"/>
      <c r="I12" s="1"/>
    </row>
    <row r="13" spans="1:9" ht="15" customHeight="1" x14ac:dyDescent="0.25">
      <c r="A13" s="16" t="s">
        <v>319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304</v>
      </c>
      <c r="G13" s="61" t="s">
        <v>320</v>
      </c>
      <c r="H13" s="1"/>
      <c r="I13" s="1"/>
    </row>
    <row r="14" spans="1:9" ht="15" customHeight="1" x14ac:dyDescent="0.25">
      <c r="A14" s="16" t="s">
        <v>321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322</v>
      </c>
      <c r="G14" s="61" t="s">
        <v>323</v>
      </c>
      <c r="H14" s="1"/>
      <c r="I14" s="1"/>
    </row>
    <row r="15" spans="1:9" ht="15" customHeight="1" x14ac:dyDescent="0.25">
      <c r="A15" s="16" t="s">
        <v>324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304</v>
      </c>
      <c r="G15" s="61" t="s">
        <v>325</v>
      </c>
      <c r="H15" s="1"/>
      <c r="I15" s="1"/>
    </row>
    <row r="16" spans="1:9" ht="15" customHeight="1" x14ac:dyDescent="0.25">
      <c r="A16" s="16" t="s">
        <v>326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304</v>
      </c>
      <c r="G16" s="61" t="s">
        <v>327</v>
      </c>
      <c r="H16" s="1"/>
      <c r="I16" s="1"/>
    </row>
    <row r="17" spans="1:9" ht="15" customHeight="1" x14ac:dyDescent="0.25">
      <c r="A17" s="16" t="s">
        <v>328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304</v>
      </c>
      <c r="G17" s="61" t="s">
        <v>329</v>
      </c>
      <c r="H17" s="1"/>
      <c r="I17" s="1"/>
    </row>
    <row r="18" spans="1:9" ht="15" customHeight="1" x14ac:dyDescent="0.25">
      <c r="A18" s="16" t="s">
        <v>330</v>
      </c>
      <c r="B18" s="80">
        <v>10</v>
      </c>
      <c r="C18" s="81">
        <v>10</v>
      </c>
      <c r="D18" s="82">
        <v>5</v>
      </c>
      <c r="E18" s="82">
        <v>15</v>
      </c>
      <c r="F18" s="16" t="s">
        <v>331</v>
      </c>
      <c r="G18" s="61" t="s">
        <v>332</v>
      </c>
      <c r="H18" s="1"/>
      <c r="I18" s="1"/>
    </row>
    <row r="19" spans="1:9" ht="15" customHeight="1" x14ac:dyDescent="0.25">
      <c r="A19" s="16" t="s">
        <v>333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322</v>
      </c>
      <c r="G19" s="61" t="s">
        <v>334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335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336</v>
      </c>
      <c r="B23" s="6" t="s">
        <v>6</v>
      </c>
      <c r="C23" s="6" t="s">
        <v>337</v>
      </c>
      <c r="D23" s="6" t="s">
        <v>5</v>
      </c>
      <c r="E23" s="6" t="s">
        <v>338</v>
      </c>
      <c r="F23" s="6" t="s">
        <v>339</v>
      </c>
      <c r="G23" s="6" t="s">
        <v>340</v>
      </c>
      <c r="H23" s="1"/>
      <c r="I23" s="1"/>
    </row>
    <row r="24" spans="1:9" ht="15" customHeight="1" x14ac:dyDescent="0.25">
      <c r="A24" s="16" t="s">
        <v>275</v>
      </c>
      <c r="B24" s="84" t="str">
        <f>Projects!$G$2</f>
        <v>Yes</v>
      </c>
      <c r="C24" s="83">
        <v>5321971</v>
      </c>
      <c r="D24" s="16" t="s">
        <v>341</v>
      </c>
      <c r="E24" s="16" t="s">
        <v>342</v>
      </c>
      <c r="F24" s="16" t="s">
        <v>343</v>
      </c>
      <c r="G24" s="16" t="s">
        <v>343</v>
      </c>
      <c r="H24" s="1"/>
      <c r="I24" s="1"/>
    </row>
    <row r="25" spans="1:9" ht="15" customHeight="1" x14ac:dyDescent="0.25">
      <c r="A25" s="16" t="s">
        <v>279</v>
      </c>
      <c r="B25" s="84" t="str">
        <f>Projects!$G$3</f>
        <v>Yes</v>
      </c>
      <c r="C25" s="83">
        <v>19982132</v>
      </c>
      <c r="D25" s="16" t="s">
        <v>341</v>
      </c>
      <c r="E25" s="16" t="s">
        <v>344</v>
      </c>
      <c r="F25" s="16" t="s">
        <v>343</v>
      </c>
      <c r="G25" s="16" t="s">
        <v>343</v>
      </c>
      <c r="H25" s="1"/>
      <c r="I25" s="1"/>
    </row>
    <row r="26" spans="1:9" ht="15" customHeight="1" x14ac:dyDescent="0.25">
      <c r="A26" s="16" t="s">
        <v>223</v>
      </c>
      <c r="B26" s="84" t="str">
        <f>Projects!$G$4</f>
        <v>Yes</v>
      </c>
      <c r="C26" s="83">
        <v>11673185</v>
      </c>
      <c r="D26" s="16" t="s">
        <v>345</v>
      </c>
      <c r="E26" s="16" t="s">
        <v>346</v>
      </c>
      <c r="F26" s="16" t="s">
        <v>343</v>
      </c>
      <c r="G26" s="16" t="s">
        <v>13</v>
      </c>
      <c r="H26" s="1"/>
      <c r="I26" s="1"/>
    </row>
    <row r="27" spans="1:9" ht="15" customHeight="1" x14ac:dyDescent="0.25">
      <c r="A27" s="16" t="s">
        <v>224</v>
      </c>
      <c r="B27" s="84" t="str">
        <f>Projects!$G$5</f>
        <v>Yes</v>
      </c>
      <c r="C27" s="83">
        <v>13492534</v>
      </c>
      <c r="D27" s="16" t="s">
        <v>345</v>
      </c>
      <c r="E27" s="16" t="s">
        <v>346</v>
      </c>
      <c r="F27" s="16" t="s">
        <v>343</v>
      </c>
      <c r="G27" s="16" t="s">
        <v>13</v>
      </c>
      <c r="H27" s="1"/>
      <c r="I27" s="1"/>
    </row>
    <row r="28" spans="1:9" ht="15" customHeight="1" x14ac:dyDescent="0.25">
      <c r="A28" s="16" t="s">
        <v>347</v>
      </c>
      <c r="B28" s="84" t="str">
        <f>Projects!$G$6</f>
        <v>Yes</v>
      </c>
      <c r="C28" s="83">
        <v>4052747</v>
      </c>
      <c r="D28" s="16" t="s">
        <v>345</v>
      </c>
      <c r="E28" s="16" t="s">
        <v>348</v>
      </c>
      <c r="F28" s="16" t="s">
        <v>343</v>
      </c>
      <c r="G28" s="16" t="s">
        <v>13</v>
      </c>
      <c r="H28" s="1"/>
      <c r="I28" s="1"/>
    </row>
    <row r="29" spans="1:9" ht="15" customHeight="1" x14ac:dyDescent="0.25">
      <c r="A29" s="16" t="s">
        <v>115</v>
      </c>
      <c r="B29" s="84" t="str">
        <f>Projects!$G$7</f>
        <v>Yes</v>
      </c>
      <c r="C29" s="83">
        <v>42968448</v>
      </c>
      <c r="D29" s="16" t="s">
        <v>341</v>
      </c>
      <c r="E29" s="16" t="s">
        <v>349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225</v>
      </c>
      <c r="B30" s="84" t="str">
        <f>Projects!$G$8</f>
        <v>Yes</v>
      </c>
      <c r="C30" s="83">
        <v>13625772</v>
      </c>
      <c r="D30" s="16" t="s">
        <v>345</v>
      </c>
      <c r="E30" s="16" t="s">
        <v>348</v>
      </c>
      <c r="F30" s="16" t="s">
        <v>343</v>
      </c>
      <c r="G30" s="16" t="s">
        <v>13</v>
      </c>
      <c r="H30" s="1"/>
      <c r="I30" s="1"/>
    </row>
    <row r="31" spans="1:9" ht="15" customHeight="1" x14ac:dyDescent="0.25">
      <c r="A31" s="16" t="s">
        <v>226</v>
      </c>
      <c r="B31" s="84" t="str">
        <f>Projects!$G$9</f>
        <v>Yes</v>
      </c>
      <c r="C31" s="83">
        <v>15844883</v>
      </c>
      <c r="D31" s="16" t="s">
        <v>345</v>
      </c>
      <c r="E31" s="16" t="s">
        <v>350</v>
      </c>
      <c r="F31" s="16" t="s">
        <v>343</v>
      </c>
      <c r="G31" s="16" t="s">
        <v>13</v>
      </c>
      <c r="H31" s="1"/>
      <c r="I31" s="1"/>
    </row>
    <row r="32" spans="1:9" ht="15" customHeight="1" x14ac:dyDescent="0.25">
      <c r="A32" s="16" t="s">
        <v>119</v>
      </c>
      <c r="B32" s="84" t="str">
        <f>Projects!$G$10</f>
        <v>Yes</v>
      </c>
      <c r="C32" s="83">
        <v>21263405</v>
      </c>
      <c r="D32" s="16" t="s">
        <v>345</v>
      </c>
      <c r="E32" s="16" t="s">
        <v>348</v>
      </c>
      <c r="F32" s="16" t="s">
        <v>343</v>
      </c>
      <c r="G32" s="16" t="s">
        <v>13</v>
      </c>
      <c r="H32" s="1"/>
      <c r="I32" s="1"/>
    </row>
    <row r="33" spans="1:9" ht="15" customHeight="1" x14ac:dyDescent="0.25">
      <c r="A33" s="16" t="s">
        <v>116</v>
      </c>
      <c r="B33" s="84" t="str">
        <f>Projects!$G$11</f>
        <v>No</v>
      </c>
      <c r="C33" s="83">
        <v>9577109</v>
      </c>
      <c r="D33" s="16" t="s">
        <v>341</v>
      </c>
      <c r="E33" s="16" t="s">
        <v>348</v>
      </c>
      <c r="F33" s="16" t="s">
        <v>13</v>
      </c>
      <c r="G33" s="16" t="s">
        <v>343</v>
      </c>
      <c r="H33" s="1"/>
      <c r="I33" s="1"/>
    </row>
    <row r="34" spans="1:9" ht="15" customHeight="1" x14ac:dyDescent="0.25">
      <c r="A34" s="16" t="s">
        <v>117</v>
      </c>
      <c r="B34" s="84" t="str">
        <f>Projects!$G$12</f>
        <v>No</v>
      </c>
      <c r="C34" s="83">
        <v>7545203</v>
      </c>
      <c r="D34" s="16" t="s">
        <v>341</v>
      </c>
      <c r="E34" s="16" t="s">
        <v>348</v>
      </c>
      <c r="F34" s="16" t="s">
        <v>13</v>
      </c>
      <c r="G34" s="16" t="s">
        <v>343</v>
      </c>
      <c r="H34" s="1"/>
      <c r="I34" s="1"/>
    </row>
    <row r="35" spans="1:9" ht="15" customHeight="1" x14ac:dyDescent="0.25">
      <c r="A35" s="16" t="s">
        <v>120</v>
      </c>
      <c r="B35" s="84" t="str">
        <f>Projects!$G$13</f>
        <v>Yes</v>
      </c>
      <c r="C35" s="83">
        <v>45266770</v>
      </c>
      <c r="D35" s="16" t="s">
        <v>341</v>
      </c>
      <c r="E35" s="16" t="s">
        <v>350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123</v>
      </c>
      <c r="B36" s="84" t="str">
        <f>Projects!$G$14</f>
        <v>Yes</v>
      </c>
      <c r="C36" s="83">
        <v>41354632</v>
      </c>
      <c r="D36" s="16" t="s">
        <v>341</v>
      </c>
      <c r="E36" s="16" t="s">
        <v>350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351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352</v>
      </c>
      <c r="B40" s="85" t="s">
        <v>67</v>
      </c>
      <c r="C40" s="85" t="s">
        <v>68</v>
      </c>
      <c r="D40" s="85" t="s">
        <v>69</v>
      </c>
      <c r="E40" s="85" t="s">
        <v>70</v>
      </c>
      <c r="F40" s="85" t="s">
        <v>71</v>
      </c>
      <c r="G40" s="85" t="s">
        <v>72</v>
      </c>
      <c r="H40" s="85" t="s">
        <v>73</v>
      </c>
      <c r="I40" s="85" t="s">
        <v>74</v>
      </c>
    </row>
    <row r="41" spans="1:9" ht="15" customHeight="1" x14ac:dyDescent="0.25">
      <c r="A41" s="28" t="s">
        <v>81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87</v>
      </c>
      <c r="B42" s="87">
        <f>'Annual Summary'!B15</f>
        <v>-4166758.0941999997</v>
      </c>
      <c r="C42" s="87">
        <f>'Annual Summary'!C15</f>
        <v>-6347671.407999998</v>
      </c>
      <c r="D42" s="87">
        <f>'Annual Summary'!D15</f>
        <v>-6306439.8670599973</v>
      </c>
      <c r="E42" s="87">
        <f>'Annual Summary'!E15</f>
        <v>-4940485.5300012007</v>
      </c>
      <c r="F42" s="87">
        <f>'Annual Summary'!F15</f>
        <v>-4960718.1570012225</v>
      </c>
      <c r="G42" s="87">
        <f>'Annual Summary'!G15</f>
        <v>-4969115.43654125</v>
      </c>
      <c r="H42" s="87">
        <f>'Annual Summary'!H15</f>
        <v>-4881680.6616720725</v>
      </c>
      <c r="I42" s="87">
        <f>'Annual Summary'!I15</f>
        <v>-1207458.1290653977</v>
      </c>
    </row>
    <row r="43" spans="1:9" ht="15" customHeight="1" x14ac:dyDescent="0.25">
      <c r="A43" s="16" t="s">
        <v>88</v>
      </c>
      <c r="B43" s="75">
        <f>'Annual Summary'!B16</f>
        <v>2445001.9348878455</v>
      </c>
      <c r="C43" s="75">
        <f>'Annual Summary'!C16</f>
        <v>3339752.8917354024</v>
      </c>
      <c r="D43" s="75">
        <f>'Annual Summary'!D16</f>
        <v>1291635.9672547276</v>
      </c>
      <c r="E43" s="75">
        <f>'Annual Summary'!E16</f>
        <v>1995702.4469563174</v>
      </c>
      <c r="F43" s="75">
        <f>'Annual Summary'!F16</f>
        <v>2277631.6112742056</v>
      </c>
      <c r="G43" s="75">
        <f>'Annual Summary'!G16</f>
        <v>552533.9425171921</v>
      </c>
      <c r="H43" s="75">
        <f>'Annual Summary'!H16</f>
        <v>1396310.7709577959</v>
      </c>
      <c r="I43" s="75">
        <f>'Annual Summary'!I16</f>
        <v>-102080.86851344979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89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91</v>
      </c>
      <c r="B46" s="87">
        <f>'Annual Summary'!B20</f>
        <v>-1033924.9999999999</v>
      </c>
      <c r="C46" s="87">
        <f>'Annual Summary'!C20</f>
        <v>-1368146.0000000002</v>
      </c>
      <c r="D46" s="87">
        <f>'Annual Summary'!D20</f>
        <v>-1373598.9200000002</v>
      </c>
      <c r="E46" s="87">
        <f>'Annual Summary'!E20</f>
        <v>-1542525.8983999998</v>
      </c>
      <c r="F46" s="87">
        <f>'Annual Summary'!F20</f>
        <v>-2661791.1163680004</v>
      </c>
      <c r="G46" s="87">
        <f>'Annual Summary'!G20</f>
        <v>-1817905.2786953603</v>
      </c>
      <c r="H46" s="87">
        <f>'Annual Summary'!H20</f>
        <v>-1927994.2146692672</v>
      </c>
      <c r="I46" s="87">
        <f>'Annual Summary'!I20</f>
        <v>-484961.68511423119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92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110</v>
      </c>
      <c r="B50" s="89">
        <f>'Annual Summary'!B43</f>
        <v>-661096.10000000009</v>
      </c>
      <c r="C50" s="89">
        <f>'Annual Summary'!C43</f>
        <v>-3460398.8432854447</v>
      </c>
      <c r="D50" s="89">
        <f>'Annual Summary'!D43</f>
        <v>-4883747.7632854432</v>
      </c>
      <c r="E50" s="89">
        <f>'Annual Summary'!E43</f>
        <v>-6262908.6616854416</v>
      </c>
      <c r="F50" s="89">
        <f>'Annual Summary'!F43</f>
        <v>-7647742.7780534429</v>
      </c>
      <c r="G50" s="89">
        <f>'Annual Summary'!G43</f>
        <v>-8919088.0567488018</v>
      </c>
      <c r="H50" s="89">
        <f>'Annual Summary'!H43</f>
        <v>-10027089.271418072</v>
      </c>
      <c r="I50" s="89">
        <f>'Annual Summary'!I43</f>
        <v>-10281034.956532305</v>
      </c>
    </row>
    <row r="51" spans="1:9" ht="15" customHeight="1" x14ac:dyDescent="0.25">
      <c r="A51" s="88" t="s">
        <v>107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108</v>
      </c>
      <c r="B52" s="89">
        <f>'Annual Summary'!B42</f>
        <v>3516149.934887846</v>
      </c>
      <c r="C52" s="89">
        <f>'Annual Summary'!C42</f>
        <v>6855902.8266232498</v>
      </c>
      <c r="D52" s="89">
        <f>'Annual Summary'!D42</f>
        <v>8147538.7938779769</v>
      </c>
      <c r="E52" s="89">
        <f>'Annual Summary'!E42</f>
        <v>10143241.240834296</v>
      </c>
      <c r="F52" s="89">
        <f>'Annual Summary'!F42</f>
        <v>12420872.852108503</v>
      </c>
      <c r="G52" s="89">
        <f>'Annual Summary'!G42</f>
        <v>12973406.794625698</v>
      </c>
      <c r="H52" s="89">
        <f>'Annual Summary'!H42</f>
        <v>14369717.56558349</v>
      </c>
      <c r="I52" s="89">
        <f>'Annual Summary'!I42</f>
        <v>14267636.697070042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227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353</v>
      </c>
      <c r="B55" s="66">
        <f>'Annual Summary'!B37</f>
        <v>200000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354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355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356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357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358</v>
      </c>
      <c r="B69" s="6" t="s">
        <v>359</v>
      </c>
      <c r="C69" s="6" t="s">
        <v>360</v>
      </c>
      <c r="D69" s="6" t="s">
        <v>361</v>
      </c>
      <c r="E69" s="6" t="s">
        <v>362</v>
      </c>
      <c r="F69" s="6" t="s">
        <v>363</v>
      </c>
      <c r="G69" s="1"/>
      <c r="H69" s="1"/>
      <c r="I69" s="1"/>
    </row>
    <row r="70" spans="1:9" ht="15" customHeight="1" x14ac:dyDescent="0.25">
      <c r="A70" s="16" t="s">
        <v>364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365</v>
      </c>
      <c r="B71" s="83">
        <f>'Annual Summary'!B42</f>
        <v>3516149.934887846</v>
      </c>
      <c r="C71" s="79">
        <f>'Annual Summary'!C42</f>
        <v>6855902.8266232498</v>
      </c>
      <c r="D71" s="79">
        <f>'Annual Summary'!E42</f>
        <v>10143241.240834296</v>
      </c>
      <c r="E71" s="79">
        <f>'Annual Summary'!G42</f>
        <v>12973406.794625698</v>
      </c>
      <c r="F71" s="79">
        <f>'Annual Summary'!I42</f>
        <v>14267636.697070042</v>
      </c>
      <c r="G71" s="1"/>
      <c r="H71" s="1"/>
      <c r="I71" s="1"/>
    </row>
    <row r="72" spans="1:9" ht="15" customHeight="1" x14ac:dyDescent="0.25">
      <c r="A72" s="88" t="s">
        <v>366</v>
      </c>
      <c r="B72" s="94">
        <f>'Annual Summary'!B43</f>
        <v>-661096.10000000009</v>
      </c>
      <c r="C72" s="95">
        <f>'Annual Summary'!C43</f>
        <v>-3460398.8432854447</v>
      </c>
      <c r="D72" s="95">
        <f>'Annual Summary'!E43</f>
        <v>-6262908.6616854416</v>
      </c>
      <c r="E72" s="95">
        <f>'Annual Summary'!G43</f>
        <v>-8919088.0567488018</v>
      </c>
      <c r="F72" s="95">
        <f>'Annual Summary'!I43</f>
        <v>-10281034.956532305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367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336</v>
      </c>
      <c r="B76" s="6" t="s">
        <v>368</v>
      </c>
      <c r="C76" s="6" t="s">
        <v>369</v>
      </c>
      <c r="D76" s="6" t="s">
        <v>370</v>
      </c>
      <c r="E76" s="6" t="s">
        <v>371</v>
      </c>
      <c r="F76" s="6" t="s">
        <v>372</v>
      </c>
      <c r="G76" s="1"/>
      <c r="H76" s="1"/>
      <c r="I76" s="1"/>
    </row>
    <row r="77" spans="1:9" ht="15" customHeight="1" x14ac:dyDescent="0.25">
      <c r="A77" s="16" t="s">
        <v>116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373</v>
      </c>
      <c r="G77" s="1"/>
      <c r="H77" s="1"/>
      <c r="I77" s="1"/>
    </row>
    <row r="78" spans="1:9" ht="15" customHeight="1" x14ac:dyDescent="0.25">
      <c r="A78" s="16" t="s">
        <v>117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373</v>
      </c>
      <c r="G78" s="1"/>
      <c r="H78" s="1"/>
      <c r="I78" s="1"/>
    </row>
    <row r="79" spans="1:9" ht="15" customHeight="1" x14ac:dyDescent="0.25">
      <c r="A79" s="16" t="s">
        <v>115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374</v>
      </c>
      <c r="G79" s="1"/>
      <c r="H79" s="1"/>
      <c r="I79" s="1"/>
    </row>
    <row r="80" spans="1:9" ht="15" customHeight="1" x14ac:dyDescent="0.25">
      <c r="A80" s="16" t="s">
        <v>120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374</v>
      </c>
      <c r="G80" s="1"/>
      <c r="H80" s="1"/>
      <c r="I80" s="1"/>
    </row>
    <row r="81" spans="1:9" ht="15" customHeight="1" x14ac:dyDescent="0.25">
      <c r="A81" s="16" t="s">
        <v>123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375</v>
      </c>
      <c r="G81" s="1"/>
      <c r="H81" s="1"/>
      <c r="I81" s="1"/>
    </row>
    <row r="82" spans="1:9" ht="15" customHeight="1" x14ac:dyDescent="0.25">
      <c r="A82" s="28" t="s">
        <v>376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377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378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379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380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67</v>
      </c>
      <c r="C89" s="6" t="s">
        <v>68</v>
      </c>
      <c r="D89" s="6" t="s">
        <v>69</v>
      </c>
      <c r="E89" s="6" t="s">
        <v>70</v>
      </c>
      <c r="F89" s="6" t="s">
        <v>381</v>
      </c>
      <c r="G89" s="1"/>
      <c r="H89" s="1"/>
      <c r="I89" s="1"/>
    </row>
    <row r="90" spans="1:9" ht="15" customHeight="1" x14ac:dyDescent="0.25">
      <c r="A90" s="69" t="s">
        <v>382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383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384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385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386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67</v>
      </c>
      <c r="C97" s="6" t="s">
        <v>68</v>
      </c>
      <c r="D97" s="6" t="s">
        <v>69</v>
      </c>
      <c r="E97" s="6" t="s">
        <v>70</v>
      </c>
      <c r="F97" s="1"/>
      <c r="G97" s="1"/>
      <c r="H97" s="1"/>
      <c r="I97" s="1"/>
    </row>
    <row r="98" spans="1:9" ht="15" customHeight="1" x14ac:dyDescent="0.25">
      <c r="A98" s="16" t="s">
        <v>387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388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389</v>
      </c>
      <c r="B100" s="79">
        <f>'Annual Summary'!B43</f>
        <v>-661096.10000000009</v>
      </c>
      <c r="C100" s="79">
        <f>'Annual Summary'!C43</f>
        <v>-3460398.8432854447</v>
      </c>
      <c r="D100" s="79">
        <f>'Annual Summary'!D43</f>
        <v>-4883747.7632854432</v>
      </c>
      <c r="E100" s="79">
        <f>'Annual Summary'!E43</f>
        <v>-6262908.6616854416</v>
      </c>
      <c r="F100" s="1"/>
      <c r="G100" s="1"/>
      <c r="H100" s="1"/>
      <c r="I100" s="1"/>
    </row>
    <row r="101" spans="1:9" ht="15" customHeight="1" x14ac:dyDescent="0.25">
      <c r="A101" s="16" t="s">
        <v>390</v>
      </c>
      <c r="B101" s="79">
        <f>'Annual Summary'!B15*0.05</f>
        <v>-208337.90471</v>
      </c>
      <c r="C101" s="79">
        <f>'Annual Summary'!C15*0.05</f>
        <v>-317383.57039999991</v>
      </c>
      <c r="D101" s="79">
        <f>'Annual Summary'!D15*0.05</f>
        <v>-315321.99335299991</v>
      </c>
      <c r="E101" s="79">
        <f>'Annual Summary'!E15*0.05</f>
        <v>-247024.27650006005</v>
      </c>
      <c r="F101" s="1"/>
      <c r="G101" s="1"/>
      <c r="H101" s="1"/>
      <c r="I101" s="1"/>
    </row>
    <row r="102" spans="1:9" ht="15" customHeight="1" x14ac:dyDescent="0.25">
      <c r="A102" s="16" t="s">
        <v>391</v>
      </c>
      <c r="B102" s="79">
        <f>B100+B101</f>
        <v>-869434.00471000012</v>
      </c>
      <c r="C102" s="79">
        <f>C100+C101</f>
        <v>-3777782.4136854447</v>
      </c>
      <c r="D102" s="79">
        <f>D100+D101</f>
        <v>-5199069.7566384431</v>
      </c>
      <c r="E102" s="79">
        <f>E100+E101</f>
        <v>-6509932.9381855018</v>
      </c>
      <c r="F102" s="1"/>
      <c r="G102" s="1"/>
      <c r="H102" s="1"/>
      <c r="I102" s="1"/>
    </row>
    <row r="103" spans="1:9" ht="15" customHeight="1" x14ac:dyDescent="0.25">
      <c r="A103" s="28" t="s">
        <v>392</v>
      </c>
      <c r="B103" s="67">
        <f>B102-B99</f>
        <v>-869434.00471000012</v>
      </c>
      <c r="C103" s="67">
        <f>C102-C99</f>
        <v>-3777782.4136854447</v>
      </c>
      <c r="D103" s="67">
        <f>D102-D99</f>
        <v>-5199069.7566384431</v>
      </c>
      <c r="E103" s="67">
        <f>E102-E99</f>
        <v>-6509932.9381855018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393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394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395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396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397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398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399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68</v>
      </c>
      <c r="C114" s="6" t="s">
        <v>69</v>
      </c>
      <c r="D114" s="6" t="s">
        <v>70</v>
      </c>
      <c r="E114" s="6" t="s">
        <v>71</v>
      </c>
      <c r="F114" s="6" t="s">
        <v>381</v>
      </c>
      <c r="G114" s="1"/>
      <c r="H114" s="1"/>
      <c r="I114" s="1"/>
    </row>
    <row r="115" spans="1:9" ht="15" customHeight="1" x14ac:dyDescent="0.25">
      <c r="A115" s="16" t="s">
        <v>400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401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402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403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404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405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406</v>
      </c>
      <c r="C124" s="6" t="s">
        <v>407</v>
      </c>
      <c r="D124" s="6" t="s">
        <v>302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408</v>
      </c>
      <c r="B125" s="83">
        <v>1450000</v>
      </c>
      <c r="C125" s="25" t="s">
        <v>409</v>
      </c>
      <c r="D125" s="61" t="s">
        <v>410</v>
      </c>
      <c r="E125" s="1"/>
      <c r="F125" s="1"/>
      <c r="G125" s="1"/>
      <c r="H125" s="1"/>
      <c r="I125" s="1"/>
    </row>
    <row r="126" spans="1:9" ht="15" customHeight="1" x14ac:dyDescent="0.25">
      <c r="A126" s="16" t="s">
        <v>411</v>
      </c>
      <c r="B126" s="70">
        <v>-1450000</v>
      </c>
      <c r="C126" s="25" t="s">
        <v>412</v>
      </c>
      <c r="D126" s="61" t="s">
        <v>413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414</v>
      </c>
      <c r="B127" s="1"/>
      <c r="C127" s="25" t="s">
        <v>415</v>
      </c>
      <c r="D127" s="61" t="s">
        <v>416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417</v>
      </c>
      <c r="B128" s="67">
        <v>0</v>
      </c>
      <c r="C128" s="28" t="s">
        <v>418</v>
      </c>
      <c r="D128" s="28" t="s">
        <v>419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420</v>
      </c>
      <c r="B130" s="98">
        <v>362885</v>
      </c>
      <c r="C130" s="25" t="s">
        <v>421</v>
      </c>
      <c r="D130" s="61" t="s">
        <v>422</v>
      </c>
      <c r="E130" s="1"/>
      <c r="F130" s="1"/>
      <c r="G130" s="1"/>
      <c r="H130" s="1"/>
      <c r="I130" s="1"/>
    </row>
    <row r="131" spans="1:9" ht="15" customHeight="1" x14ac:dyDescent="0.25">
      <c r="A131" s="28" t="s">
        <v>423</v>
      </c>
      <c r="B131" s="67">
        <v>1812885</v>
      </c>
      <c r="C131" s="28" t="s">
        <v>424</v>
      </c>
      <c r="D131" s="28" t="s">
        <v>425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426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  <c r="K1" s="3" t="s">
        <v>436</v>
      </c>
      <c r="L1" s="3" t="s">
        <v>437</v>
      </c>
      <c r="M1" s="3" t="s">
        <v>438</v>
      </c>
      <c r="N1" s="3" t="s">
        <v>439</v>
      </c>
      <c r="O1" s="3" t="s">
        <v>440</v>
      </c>
      <c r="P1" s="3" t="s">
        <v>441</v>
      </c>
      <c r="Q1" s="3" t="s">
        <v>442</v>
      </c>
      <c r="R1" s="3" t="s">
        <v>443</v>
      </c>
      <c r="S1" s="3" t="s">
        <v>444</v>
      </c>
      <c r="T1" s="3" t="s">
        <v>445</v>
      </c>
      <c r="U1" s="3" t="s">
        <v>446</v>
      </c>
      <c r="V1" s="3" t="s">
        <v>447</v>
      </c>
      <c r="W1" s="3" t="s">
        <v>448</v>
      </c>
      <c r="X1" s="3" t="s">
        <v>449</v>
      </c>
      <c r="Y1" s="3" t="s">
        <v>450</v>
      </c>
      <c r="Z1" s="3" t="s">
        <v>451</v>
      </c>
      <c r="AA1" s="3" t="s">
        <v>452</v>
      </c>
      <c r="AB1" s="3" t="s">
        <v>453</v>
      </c>
      <c r="AC1" s="3" t="s">
        <v>454</v>
      </c>
      <c r="AD1" s="3" t="s">
        <v>455</v>
      </c>
      <c r="AE1" s="3" t="s">
        <v>456</v>
      </c>
      <c r="AF1" s="3" t="s">
        <v>457</v>
      </c>
      <c r="AG1" s="3" t="s">
        <v>458</v>
      </c>
      <c r="AH1" s="3" t="s">
        <v>459</v>
      </c>
      <c r="AI1" s="3" t="s">
        <v>460</v>
      </c>
      <c r="AJ1" s="3" t="s">
        <v>461</v>
      </c>
      <c r="AK1" s="3" t="s">
        <v>462</v>
      </c>
      <c r="AL1" s="3" t="s">
        <v>463</v>
      </c>
      <c r="AM1" s="3" t="s">
        <v>464</v>
      </c>
      <c r="AN1" s="3" t="s">
        <v>465</v>
      </c>
      <c r="AO1" s="3" t="s">
        <v>466</v>
      </c>
    </row>
    <row r="2" spans="1:41" ht="15" customHeight="1" x14ac:dyDescent="0.25">
      <c r="A2" s="99" t="s">
        <v>467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468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469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470</v>
      </c>
    </row>
    <row r="6" spans="1:41" ht="15" customHeight="1" x14ac:dyDescent="0.25">
      <c r="A6" s="99" t="s">
        <v>275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279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223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224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20" t="s">
        <v>471</v>
      </c>
      <c r="B1" s="219"/>
      <c r="C1" s="219"/>
      <c r="D1" s="219"/>
    </row>
    <row r="3" spans="1:4" ht="15" customHeight="1" x14ac:dyDescent="0.25">
      <c r="A3" s="6" t="s">
        <v>472</v>
      </c>
      <c r="B3" s="6"/>
      <c r="C3" s="6"/>
      <c r="D3" s="6"/>
    </row>
    <row r="4" spans="1:4" ht="15" customHeight="1" x14ac:dyDescent="0.25">
      <c r="A4" s="99" t="s">
        <v>473</v>
      </c>
      <c r="B4" s="100">
        <v>0.06</v>
      </c>
    </row>
    <row r="5" spans="1:4" ht="15" customHeight="1" x14ac:dyDescent="0.25">
      <c r="A5" s="99" t="s">
        <v>306</v>
      </c>
      <c r="B5" s="100">
        <v>0.06</v>
      </c>
    </row>
    <row r="6" spans="1:4" ht="15" customHeight="1" x14ac:dyDescent="0.25">
      <c r="A6" s="99" t="s">
        <v>474</v>
      </c>
      <c r="B6" s="100">
        <v>0.02</v>
      </c>
    </row>
    <row r="7" spans="1:4" ht="15" customHeight="1" x14ac:dyDescent="0.25">
      <c r="A7" s="99" t="s">
        <v>475</v>
      </c>
      <c r="B7" s="102">
        <f>B4+B5+B6</f>
        <v>0.13999999999999999</v>
      </c>
    </row>
    <row r="8" spans="1:4" ht="15" customHeight="1" x14ac:dyDescent="0.25">
      <c r="A8" s="99" t="s">
        <v>309</v>
      </c>
      <c r="B8" s="100">
        <v>9.1999999999999998E-2</v>
      </c>
    </row>
    <row r="9" spans="1:4" ht="15" customHeight="1" x14ac:dyDescent="0.25">
      <c r="A9" s="99" t="s">
        <v>476</v>
      </c>
      <c r="B9" s="102">
        <f>B7/(1+B7+B8)</f>
        <v>0.11363636363636363</v>
      </c>
    </row>
    <row r="10" spans="1:4" ht="15" customHeight="1" x14ac:dyDescent="0.25">
      <c r="A10" s="99" t="s">
        <v>477</v>
      </c>
      <c r="B10" s="102">
        <f>B4/(1+B7+B8)</f>
        <v>4.8701298701298697E-2</v>
      </c>
    </row>
    <row r="11" spans="1:4" ht="15" customHeight="1" x14ac:dyDescent="0.25">
      <c r="A11" s="99" t="s">
        <v>478</v>
      </c>
      <c r="B11" s="102">
        <f>B5/(1+B7+B8)</f>
        <v>4.8701298701298697E-2</v>
      </c>
    </row>
    <row r="12" spans="1:4" ht="15" customHeight="1" x14ac:dyDescent="0.25">
      <c r="A12" s="99" t="s">
        <v>479</v>
      </c>
      <c r="B12" s="102">
        <f>B6/(1+B7+B8)</f>
        <v>1.6233766233766236E-2</v>
      </c>
    </row>
    <row r="14" spans="1:4" ht="15" customHeight="1" x14ac:dyDescent="0.25">
      <c r="A14" s="6" t="s">
        <v>480</v>
      </c>
      <c r="B14" s="6"/>
      <c r="C14" s="6"/>
      <c r="D14" s="6"/>
    </row>
    <row r="15" spans="1:4" ht="15" customHeight="1" x14ac:dyDescent="0.25">
      <c r="A15" s="99" t="s">
        <v>313</v>
      </c>
      <c r="B15" s="100">
        <v>1.4999999999999999E-2</v>
      </c>
    </row>
    <row r="16" spans="1:4" ht="15" customHeight="1" x14ac:dyDescent="0.25">
      <c r="A16" s="99" t="s">
        <v>315</v>
      </c>
      <c r="B16" s="100">
        <v>7.4000000000000003E-3</v>
      </c>
    </row>
    <row r="17" spans="1:4" ht="15" customHeight="1" x14ac:dyDescent="0.25">
      <c r="A17" s="99" t="s">
        <v>317</v>
      </c>
      <c r="B17" s="100">
        <v>3.2500000000000001E-2</v>
      </c>
    </row>
    <row r="19" spans="1:4" ht="15" customHeight="1" x14ac:dyDescent="0.25">
      <c r="A19" s="6" t="s">
        <v>481</v>
      </c>
      <c r="B19" s="6"/>
      <c r="C19" s="6"/>
      <c r="D19" s="6"/>
    </row>
    <row r="20" spans="1:4" ht="15" customHeight="1" x14ac:dyDescent="0.25">
      <c r="A20" s="99" t="s">
        <v>482</v>
      </c>
      <c r="B20" s="100">
        <v>7.0000000000000007E-2</v>
      </c>
    </row>
    <row r="21" spans="1:4" ht="15" customHeight="1" x14ac:dyDescent="0.25">
      <c r="A21" s="99" t="s">
        <v>483</v>
      </c>
      <c r="B21" s="100">
        <v>5.0000000000000001E-3</v>
      </c>
    </row>
    <row r="22" spans="1:4" ht="15" customHeight="1" x14ac:dyDescent="0.25">
      <c r="A22" s="99" t="s">
        <v>484</v>
      </c>
      <c r="B22" s="100">
        <v>7.0000000000000007E-2</v>
      </c>
    </row>
    <row r="23" spans="1:4" ht="15" customHeight="1" x14ac:dyDescent="0.25">
      <c r="A23" s="99" t="s">
        <v>485</v>
      </c>
      <c r="B23" s="100">
        <v>0.02</v>
      </c>
    </row>
    <row r="25" spans="1:4" ht="15" customHeight="1" x14ac:dyDescent="0.25">
      <c r="A25" s="6" t="s">
        <v>486</v>
      </c>
      <c r="B25" s="6"/>
      <c r="C25" s="6"/>
      <c r="D25" s="6"/>
    </row>
    <row r="26" spans="1:4" ht="15" customHeight="1" x14ac:dyDescent="0.25">
      <c r="A26" s="99" t="s">
        <v>487</v>
      </c>
      <c r="B26" s="76">
        <v>0.02</v>
      </c>
    </row>
    <row r="28" spans="1:4" ht="15" customHeight="1" x14ac:dyDescent="0.25">
      <c r="A28" s="6" t="s">
        <v>488</v>
      </c>
      <c r="B28" s="6"/>
      <c r="C28" s="6"/>
      <c r="D28" s="6"/>
    </row>
    <row r="29" spans="1:4" ht="15" customHeight="1" x14ac:dyDescent="0.25">
      <c r="A29" s="99" t="s">
        <v>489</v>
      </c>
      <c r="B29" s="78">
        <v>1071148</v>
      </c>
    </row>
    <row r="30" spans="1:4" ht="15" customHeight="1" x14ac:dyDescent="0.25">
      <c r="A30" s="99" t="s">
        <v>490</v>
      </c>
      <c r="B30" s="78">
        <v>192381</v>
      </c>
    </row>
    <row r="32" spans="1:4" ht="15" customHeight="1" x14ac:dyDescent="0.25">
      <c r="A32" s="6" t="s">
        <v>491</v>
      </c>
      <c r="B32" s="6"/>
      <c r="C32" s="6"/>
      <c r="D32" s="6"/>
    </row>
    <row r="33" spans="1:4" ht="15" customHeight="1" x14ac:dyDescent="0.25">
      <c r="A33" s="99" t="s">
        <v>492</v>
      </c>
      <c r="B33" s="78">
        <v>1615485</v>
      </c>
    </row>
    <row r="34" spans="1:4" ht="15" customHeight="1" x14ac:dyDescent="0.25">
      <c r="A34" s="99" t="s">
        <v>493</v>
      </c>
      <c r="B34" s="100">
        <v>0.15</v>
      </c>
    </row>
    <row r="35" spans="1:4" ht="15" customHeight="1" x14ac:dyDescent="0.25">
      <c r="A35" s="99" t="s">
        <v>494</v>
      </c>
      <c r="B35" s="102">
        <f>B34/4</f>
        <v>3.7499999999999999E-2</v>
      </c>
    </row>
    <row r="36" spans="1:4" ht="15" customHeight="1" x14ac:dyDescent="0.25">
      <c r="A36" s="99" t="s">
        <v>495</v>
      </c>
      <c r="B36" s="78">
        <v>130000</v>
      </c>
    </row>
    <row r="37" spans="1:4" ht="15" customHeight="1" x14ac:dyDescent="0.25">
      <c r="A37" s="99" t="s">
        <v>496</v>
      </c>
      <c r="B37" s="103">
        <v>7</v>
      </c>
    </row>
    <row r="38" spans="1:4" ht="15" customHeight="1" x14ac:dyDescent="0.25">
      <c r="A38" s="104" t="s">
        <v>497</v>
      </c>
    </row>
    <row r="40" spans="1:4" ht="15" customHeight="1" x14ac:dyDescent="0.25">
      <c r="A40" s="6" t="s">
        <v>498</v>
      </c>
      <c r="B40" s="6"/>
      <c r="C40" s="6"/>
      <c r="D40" s="6"/>
    </row>
    <row r="41" spans="1:4" ht="15" customHeight="1" x14ac:dyDescent="0.25">
      <c r="A41" s="99" t="s">
        <v>499</v>
      </c>
      <c r="B41" s="78">
        <v>1000000</v>
      </c>
    </row>
    <row r="42" spans="1:4" ht="15" customHeight="1" x14ac:dyDescent="0.25">
      <c r="A42" s="99" t="s">
        <v>500</v>
      </c>
      <c r="B42" s="105">
        <f>B41*0.25</f>
        <v>250000</v>
      </c>
    </row>
    <row r="43" spans="1:4" ht="15" customHeight="1" x14ac:dyDescent="0.25">
      <c r="A43" s="99" t="s">
        <v>501</v>
      </c>
      <c r="B43" s="78">
        <v>1000000</v>
      </c>
    </row>
    <row r="44" spans="1:4" ht="15" customHeight="1" x14ac:dyDescent="0.25">
      <c r="A44" s="104" t="s">
        <v>502</v>
      </c>
    </row>
    <row r="46" spans="1:4" ht="15" customHeight="1" x14ac:dyDescent="0.25">
      <c r="A46" s="6" t="s">
        <v>503</v>
      </c>
      <c r="B46" s="6"/>
      <c r="C46" s="6"/>
      <c r="D46" s="6"/>
    </row>
    <row r="47" spans="1:4" ht="15" customHeight="1" x14ac:dyDescent="0.25">
      <c r="A47" s="99" t="s">
        <v>504</v>
      </c>
      <c r="B47" s="100">
        <v>0.01</v>
      </c>
    </row>
    <row r="48" spans="1:4" ht="15" customHeight="1" x14ac:dyDescent="0.25">
      <c r="A48" s="99" t="s">
        <v>505</v>
      </c>
      <c r="B48" s="100">
        <v>0.03</v>
      </c>
    </row>
    <row r="50" spans="1:4" ht="15" customHeight="1" x14ac:dyDescent="0.25">
      <c r="A50" s="6" t="s">
        <v>506</v>
      </c>
      <c r="B50" s="6"/>
      <c r="C50" s="106"/>
      <c r="D50" s="6"/>
    </row>
    <row r="51" spans="1:4" ht="15" customHeight="1" x14ac:dyDescent="0.25">
      <c r="A51" s="99" t="s">
        <v>116</v>
      </c>
      <c r="B51" s="78">
        <v>2000000</v>
      </c>
    </row>
    <row r="52" spans="1:4" ht="15" customHeight="1" x14ac:dyDescent="0.25">
      <c r="A52" s="99" t="s">
        <v>117</v>
      </c>
      <c r="B52" s="78">
        <v>2000000</v>
      </c>
    </row>
    <row r="53" spans="1:4" ht="15" customHeight="1" x14ac:dyDescent="0.25">
      <c r="A53" s="99" t="s">
        <v>115</v>
      </c>
      <c r="B53" s="78">
        <v>5000000</v>
      </c>
      <c r="C53" s="107"/>
    </row>
    <row r="54" spans="1:4" ht="15" customHeight="1" x14ac:dyDescent="0.25">
      <c r="A54" s="99" t="s">
        <v>120</v>
      </c>
      <c r="B54" s="78">
        <v>5000000</v>
      </c>
      <c r="C54" s="107"/>
    </row>
    <row r="55" spans="1:4" ht="15" customHeight="1" x14ac:dyDescent="0.25">
      <c r="A55" s="99" t="s">
        <v>123</v>
      </c>
      <c r="B55" s="78">
        <v>5000000</v>
      </c>
      <c r="C55" s="107"/>
    </row>
    <row r="57" spans="1:4" ht="15" customHeight="1" x14ac:dyDescent="0.25">
      <c r="A57" s="6" t="s">
        <v>507</v>
      </c>
      <c r="B57" s="6"/>
      <c r="C57" s="6"/>
      <c r="D57" s="6"/>
    </row>
    <row r="58" spans="1:4" ht="15" customHeight="1" x14ac:dyDescent="0.25">
      <c r="A58" s="99" t="s">
        <v>508</v>
      </c>
      <c r="B58" s="100">
        <v>0.15</v>
      </c>
    </row>
    <row r="59" spans="1:4" ht="15" customHeight="1" x14ac:dyDescent="0.25">
      <c r="A59" s="99" t="s">
        <v>509</v>
      </c>
      <c r="B59" s="102">
        <f>B58/4</f>
        <v>3.7499999999999999E-2</v>
      </c>
    </row>
    <row r="60" spans="1:4" ht="15" customHeight="1" x14ac:dyDescent="0.25">
      <c r="A60" s="99" t="s">
        <v>510</v>
      </c>
      <c r="B60" s="78">
        <v>0</v>
      </c>
    </row>
    <row r="61" spans="1:4" ht="15" customHeight="1" x14ac:dyDescent="0.25">
      <c r="A61" s="99" t="s">
        <v>511</v>
      </c>
      <c r="B61" s="78">
        <v>0</v>
      </c>
    </row>
    <row r="62" spans="1:4" ht="15" customHeight="1" x14ac:dyDescent="0.25">
      <c r="A62" s="99" t="s">
        <v>512</v>
      </c>
      <c r="B62" s="78">
        <v>1784000</v>
      </c>
    </row>
    <row r="63" spans="1:4" ht="15" customHeight="1" x14ac:dyDescent="0.25">
      <c r="A63" s="99" t="s">
        <v>513</v>
      </c>
      <c r="B63" s="78">
        <v>1766181</v>
      </c>
    </row>
    <row r="64" spans="1:4" ht="15" customHeight="1" x14ac:dyDescent="0.25">
      <c r="A64" s="104" t="s">
        <v>514</v>
      </c>
    </row>
    <row r="66" spans="1:2" ht="15" customHeight="1" x14ac:dyDescent="0.25">
      <c r="A66" s="4" t="s">
        <v>153</v>
      </c>
    </row>
    <row r="67" spans="1:2" ht="15" customHeight="1" x14ac:dyDescent="0.25">
      <c r="A67" s="107" t="s">
        <v>515</v>
      </c>
      <c r="B67" s="108">
        <v>833.33</v>
      </c>
    </row>
    <row r="68" spans="1:2" ht="15" customHeight="1" x14ac:dyDescent="0.25">
      <c r="A68" s="107" t="s">
        <v>516</v>
      </c>
      <c r="B68" s="107">
        <v>5</v>
      </c>
    </row>
    <row r="70" spans="1:2" ht="15" customHeight="1" x14ac:dyDescent="0.25">
      <c r="A70" s="109" t="s">
        <v>517</v>
      </c>
      <c r="B70" s="109"/>
    </row>
    <row r="71" spans="1:2" ht="15" customHeight="1" x14ac:dyDescent="0.25">
      <c r="A71" s="110" t="s">
        <v>518</v>
      </c>
      <c r="B71" s="111">
        <v>1134000</v>
      </c>
    </row>
    <row r="72" spans="1:2" ht="15" customHeight="1" x14ac:dyDescent="0.25">
      <c r="A72" s="112" t="s">
        <v>519</v>
      </c>
      <c r="B72" s="113">
        <v>50000</v>
      </c>
    </row>
    <row r="73" spans="1:2" ht="15" customHeight="1" x14ac:dyDescent="0.25">
      <c r="A73" s="110" t="s">
        <v>520</v>
      </c>
      <c r="B73" s="114">
        <v>14</v>
      </c>
    </row>
    <row r="74" spans="1:2" ht="15" customHeight="1" x14ac:dyDescent="0.25">
      <c r="A74" s="112" t="s">
        <v>219</v>
      </c>
      <c r="B74" s="113">
        <v>-1450000</v>
      </c>
    </row>
    <row r="75" spans="1:2" ht="15" customHeight="1" x14ac:dyDescent="0.25">
      <c r="A75" s="110" t="s">
        <v>521</v>
      </c>
      <c r="B75" s="111">
        <v>264927.15000000002</v>
      </c>
    </row>
    <row r="76" spans="1:2" ht="15" customHeight="1" x14ac:dyDescent="0.25">
      <c r="A76" s="112" t="s">
        <v>522</v>
      </c>
      <c r="B76" s="113">
        <v>883090.5</v>
      </c>
    </row>
    <row r="77" spans="1:2" ht="15" customHeight="1" x14ac:dyDescent="0.25">
      <c r="A77" s="110" t="s">
        <v>214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4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336</v>
      </c>
      <c r="B1" s="26" t="s">
        <v>523</v>
      </c>
      <c r="C1" s="26" t="s">
        <v>4</v>
      </c>
      <c r="D1" s="26" t="s">
        <v>338</v>
      </c>
      <c r="E1" s="26" t="s">
        <v>426</v>
      </c>
      <c r="F1" s="26" t="s">
        <v>524</v>
      </c>
      <c r="G1" s="26" t="s">
        <v>6</v>
      </c>
      <c r="H1" s="26" t="s">
        <v>525</v>
      </c>
      <c r="I1" s="26" t="s">
        <v>526</v>
      </c>
      <c r="J1" s="26" t="s">
        <v>527</v>
      </c>
      <c r="K1" s="26" t="s">
        <v>340</v>
      </c>
      <c r="L1" s="26" t="s">
        <v>5</v>
      </c>
      <c r="N1" s="26" t="s">
        <v>528</v>
      </c>
      <c r="O1" s="26" t="s">
        <v>529</v>
      </c>
      <c r="P1" s="26" t="s">
        <v>530</v>
      </c>
      <c r="Q1" s="26" t="s">
        <v>531</v>
      </c>
      <c r="R1" s="26" t="s">
        <v>532</v>
      </c>
      <c r="S1" s="26" t="s">
        <v>533</v>
      </c>
    </row>
    <row r="2" spans="1:19" ht="15" customHeight="1" x14ac:dyDescent="0.25">
      <c r="A2" s="99" t="s">
        <v>275</v>
      </c>
      <c r="B2" s="115">
        <v>7126075</v>
      </c>
      <c r="C2" s="116">
        <v>1</v>
      </c>
      <c r="D2" s="116">
        <v>8</v>
      </c>
      <c r="E2" s="116">
        <v>2</v>
      </c>
      <c r="F2" s="116" t="s">
        <v>343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343</v>
      </c>
      <c r="K2" s="116" t="s">
        <v>343</v>
      </c>
      <c r="L2" s="116" t="s">
        <v>534</v>
      </c>
      <c r="N2" s="115">
        <v>194932</v>
      </c>
      <c r="O2" s="115">
        <f>B2*Assumptions!$B$11</f>
        <v>347049.1071428571</v>
      </c>
      <c r="P2" s="115">
        <v>46323</v>
      </c>
      <c r="Q2" s="115">
        <f t="shared" ref="Q2:Q46" si="0">N2+O2+P2</f>
        <v>588304.10714285704</v>
      </c>
      <c r="R2" s="115">
        <f t="shared" ref="R2:R46" si="1">Q2*0.05</f>
        <v>29415.205357142855</v>
      </c>
      <c r="S2" s="99">
        <f t="shared" ref="S2:S46" si="2">C2+D2-1</f>
        <v>8</v>
      </c>
    </row>
    <row r="3" spans="1:19" ht="15" customHeight="1" x14ac:dyDescent="0.25">
      <c r="A3" s="99" t="s">
        <v>279</v>
      </c>
      <c r="B3" s="115">
        <v>20176449</v>
      </c>
      <c r="C3" s="116">
        <v>1</v>
      </c>
      <c r="D3" s="116">
        <v>16</v>
      </c>
      <c r="E3" s="116">
        <v>2</v>
      </c>
      <c r="F3" s="116" t="s">
        <v>343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343</v>
      </c>
      <c r="K3" s="116" t="s">
        <v>343</v>
      </c>
      <c r="L3" s="116" t="s">
        <v>534</v>
      </c>
      <c r="N3" s="115">
        <v>888067</v>
      </c>
      <c r="O3" s="115">
        <f>B3*Assumptions!$B$11</f>
        <v>982619.26948051935</v>
      </c>
      <c r="P3" s="115">
        <v>176626</v>
      </c>
      <c r="Q3" s="115">
        <f t="shared" si="0"/>
        <v>2047312.2694805195</v>
      </c>
      <c r="R3" s="115">
        <f t="shared" si="1"/>
        <v>102365.61347402597</v>
      </c>
      <c r="S3" s="99">
        <f t="shared" si="2"/>
        <v>16</v>
      </c>
    </row>
    <row r="4" spans="1:19" ht="15" customHeight="1" x14ac:dyDescent="0.25">
      <c r="A4" s="99" t="s">
        <v>223</v>
      </c>
      <c r="B4" s="115">
        <v>11929880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343</v>
      </c>
      <c r="K4" s="116" t="s">
        <v>13</v>
      </c>
      <c r="L4" s="116" t="s">
        <v>535</v>
      </c>
      <c r="N4" s="115">
        <f>B4*Assumptions!$B$10</f>
        <v>581000.64935064933</v>
      </c>
      <c r="O4" s="115">
        <f>B4*Assumptions!$B$11</f>
        <v>581000.64935064933</v>
      </c>
      <c r="P4" s="115">
        <f>B4*Assumptions!$B$12</f>
        <v>193666.88311688314</v>
      </c>
      <c r="Q4" s="115">
        <f t="shared" si="0"/>
        <v>1355668.1818181819</v>
      </c>
      <c r="R4" s="115">
        <f t="shared" si="1"/>
        <v>67783.409090909103</v>
      </c>
      <c r="S4" s="99">
        <f t="shared" si="2"/>
        <v>15</v>
      </c>
    </row>
    <row r="5" spans="1:19" ht="15" customHeight="1" x14ac:dyDescent="0.25">
      <c r="A5" s="99" t="s">
        <v>224</v>
      </c>
      <c r="B5" s="115">
        <v>14427884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343</v>
      </c>
      <c r="K5" s="116" t="s">
        <v>13</v>
      </c>
      <c r="L5" s="116" t="s">
        <v>535</v>
      </c>
      <c r="N5" s="115">
        <f>B5*Assumptions!$B$10</f>
        <v>702656.68831168825</v>
      </c>
      <c r="O5" s="115">
        <f>B5*Assumptions!$B$11</f>
        <v>702656.68831168825</v>
      </c>
      <c r="P5" s="115">
        <f>B5*Assumptions!$B$12</f>
        <v>234218.89610389614</v>
      </c>
      <c r="Q5" s="115">
        <f t="shared" si="0"/>
        <v>1639532.2727272727</v>
      </c>
      <c r="R5" s="115">
        <f t="shared" si="1"/>
        <v>81976.613636363647</v>
      </c>
      <c r="S5" s="99">
        <f t="shared" si="2"/>
        <v>15</v>
      </c>
    </row>
    <row r="6" spans="1:19" ht="15" customHeight="1" x14ac:dyDescent="0.25">
      <c r="A6" s="99" t="s">
        <v>347</v>
      </c>
      <c r="B6" s="115">
        <v>3623245</v>
      </c>
      <c r="C6" s="116">
        <v>1</v>
      </c>
      <c r="D6" s="116">
        <v>19</v>
      </c>
      <c r="E6" s="116">
        <v>3</v>
      </c>
      <c r="F6" s="116" t="s">
        <v>343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343</v>
      </c>
      <c r="K6" s="116" t="s">
        <v>13</v>
      </c>
      <c r="L6" s="116" t="s">
        <v>535</v>
      </c>
      <c r="N6" s="115">
        <v>245000</v>
      </c>
      <c r="O6" s="115">
        <f>B6*Assumptions!$B$11</f>
        <v>176456.737012987</v>
      </c>
      <c r="P6" s="115">
        <v>0</v>
      </c>
      <c r="Q6" s="115">
        <f t="shared" si="0"/>
        <v>421456.73701298703</v>
      </c>
      <c r="R6" s="115">
        <f t="shared" si="1"/>
        <v>21072.836850649353</v>
      </c>
      <c r="S6" s="99">
        <f t="shared" si="2"/>
        <v>19</v>
      </c>
    </row>
    <row r="7" spans="1:19" ht="15" customHeight="1" x14ac:dyDescent="0.25">
      <c r="A7" s="99" t="s">
        <v>115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534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225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343</v>
      </c>
      <c r="K8" s="116" t="s">
        <v>13</v>
      </c>
      <c r="L8" s="116" t="s">
        <v>535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226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343</v>
      </c>
      <c r="K9" s="116" t="s">
        <v>13</v>
      </c>
      <c r="L9" s="116" t="s">
        <v>535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119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343</v>
      </c>
      <c r="K10" s="116" t="s">
        <v>13</v>
      </c>
      <c r="L10" s="116" t="s">
        <v>535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116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343</v>
      </c>
      <c r="G11" s="116" t="s">
        <v>343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343</v>
      </c>
      <c r="L11" s="116" t="s">
        <v>534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117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343</v>
      </c>
      <c r="G12" s="116" t="s">
        <v>343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343</v>
      </c>
      <c r="L12" s="116" t="s">
        <v>534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120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534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123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534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121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343</v>
      </c>
      <c r="H15" s="116">
        <v>2</v>
      </c>
      <c r="I15" s="102">
        <f>IF(H15=1,Assumptions!$B$16,IF(H15=2,Assumptions!$B$17,0))</f>
        <v>3.2500000000000001E-2</v>
      </c>
      <c r="J15" s="116" t="s">
        <v>343</v>
      </c>
      <c r="K15" s="116" t="s">
        <v>13</v>
      </c>
      <c r="L15" s="116" t="s">
        <v>535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122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343</v>
      </c>
      <c r="H16" s="116">
        <v>2</v>
      </c>
      <c r="I16" s="102">
        <f>IF(H16=1,Assumptions!$B$16,IF(H16=2,Assumptions!$B$17,0))</f>
        <v>3.2500000000000001E-2</v>
      </c>
      <c r="J16" s="116" t="s">
        <v>343</v>
      </c>
      <c r="K16" s="116" t="s">
        <v>13</v>
      </c>
      <c r="L16" s="116" t="s">
        <v>535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  <row r="17" spans="1:19" ht="15" customHeight="1" x14ac:dyDescent="0.25">
      <c r="A17" s="99" t="s">
        <v>536</v>
      </c>
      <c r="B17" s="115">
        <v>18000000</v>
      </c>
      <c r="C17" s="116">
        <v>31</v>
      </c>
      <c r="D17" s="116">
        <v>19</v>
      </c>
      <c r="E17" s="116">
        <v>3</v>
      </c>
      <c r="F17" s="116" t="s">
        <v>343</v>
      </c>
      <c r="G17" s="116" t="s">
        <v>13</v>
      </c>
      <c r="H17" s="116">
        <v>0</v>
      </c>
      <c r="I17" s="102">
        <f>IF(H17=1,Assumptions!$B$16,IF(H17=2,Assumptions!$B$17,0))</f>
        <v>0</v>
      </c>
      <c r="J17" s="116" t="s">
        <v>343</v>
      </c>
      <c r="K17" s="116" t="s">
        <v>343</v>
      </c>
      <c r="L17" s="116" t="s">
        <v>535</v>
      </c>
      <c r="N17" s="115">
        <f>B17*Assumptions!$B$10</f>
        <v>876623.37662337651</v>
      </c>
      <c r="O17" s="115">
        <f>B17*Assumptions!$B$11</f>
        <v>876623.37662337651</v>
      </c>
      <c r="P17" s="115">
        <f>B17*Assumptions!$B$12</f>
        <v>292207.79220779223</v>
      </c>
      <c r="Q17" s="115">
        <f t="shared" si="0"/>
        <v>2045454.5454545452</v>
      </c>
      <c r="R17" s="115">
        <f t="shared" si="1"/>
        <v>102272.72727272726</v>
      </c>
      <c r="S17" s="99">
        <f t="shared" si="2"/>
        <v>49</v>
      </c>
    </row>
    <row r="18" spans="1:19" ht="15" customHeight="1" x14ac:dyDescent="0.25">
      <c r="A18" s="99" t="s">
        <v>537</v>
      </c>
      <c r="B18" s="115">
        <v>15000000</v>
      </c>
      <c r="C18" s="116">
        <v>35</v>
      </c>
      <c r="D18" s="116">
        <v>19</v>
      </c>
      <c r="E18" s="116">
        <v>3</v>
      </c>
      <c r="F18" s="116" t="s">
        <v>343</v>
      </c>
      <c r="G18" s="116" t="s">
        <v>13</v>
      </c>
      <c r="H18" s="116">
        <v>0</v>
      </c>
      <c r="I18" s="102">
        <f>IF(H18=1,Assumptions!$B$16,IF(H18=2,Assumptions!$B$17,0))</f>
        <v>0</v>
      </c>
      <c r="J18" s="116" t="s">
        <v>343</v>
      </c>
      <c r="K18" s="116" t="s">
        <v>343</v>
      </c>
      <c r="L18" s="116" t="s">
        <v>535</v>
      </c>
      <c r="N18" s="115">
        <f>B18*Assumptions!$B$10</f>
        <v>730519.48051948042</v>
      </c>
      <c r="O18" s="115">
        <f>B18*Assumptions!$B$11</f>
        <v>730519.48051948042</v>
      </c>
      <c r="P18" s="115">
        <f>B18*Assumptions!$B$12</f>
        <v>243506.49350649354</v>
      </c>
      <c r="Q18" s="115">
        <f t="shared" si="0"/>
        <v>1704545.4545454544</v>
      </c>
      <c r="R18" s="115">
        <f t="shared" si="1"/>
        <v>85227.272727272721</v>
      </c>
      <c r="S18" s="99">
        <f t="shared" si="2"/>
        <v>53</v>
      </c>
    </row>
    <row r="19" spans="1:19" ht="15" customHeight="1" x14ac:dyDescent="0.25">
      <c r="A19" s="99" t="s">
        <v>538</v>
      </c>
      <c r="B19" s="115">
        <v>15000000</v>
      </c>
      <c r="C19" s="116">
        <v>39</v>
      </c>
      <c r="D19" s="116">
        <v>19</v>
      </c>
      <c r="E19" s="116">
        <v>3</v>
      </c>
      <c r="F19" s="116" t="s">
        <v>343</v>
      </c>
      <c r="G19" s="116" t="s">
        <v>13</v>
      </c>
      <c r="H19" s="116">
        <v>0</v>
      </c>
      <c r="I19" s="102">
        <f>IF(H19=1,Assumptions!$B$16,IF(H19=2,Assumptions!$B$17,0))</f>
        <v>0</v>
      </c>
      <c r="J19" s="116" t="s">
        <v>343</v>
      </c>
      <c r="K19" s="116" t="s">
        <v>343</v>
      </c>
      <c r="L19" s="116" t="s">
        <v>535</v>
      </c>
      <c r="N19" s="115">
        <f>B19*Assumptions!$B$10</f>
        <v>730519.48051948042</v>
      </c>
      <c r="O19" s="115">
        <f>B19*Assumptions!$B$11</f>
        <v>730519.48051948042</v>
      </c>
      <c r="P19" s="115">
        <f>B19*Assumptions!$B$12</f>
        <v>243506.49350649354</v>
      </c>
      <c r="Q19" s="115">
        <f t="shared" si="0"/>
        <v>1704545.4545454544</v>
      </c>
      <c r="R19" s="115">
        <f t="shared" si="1"/>
        <v>85227.272727272721</v>
      </c>
      <c r="S19" s="99">
        <f t="shared" si="2"/>
        <v>57</v>
      </c>
    </row>
    <row r="20" spans="1:19" ht="15" customHeight="1" x14ac:dyDescent="0.25">
      <c r="A20" s="99" t="s">
        <v>539</v>
      </c>
      <c r="B20" s="115">
        <v>18000000</v>
      </c>
      <c r="C20" s="116">
        <v>43</v>
      </c>
      <c r="D20" s="116">
        <v>19</v>
      </c>
      <c r="E20" s="116">
        <v>3</v>
      </c>
      <c r="F20" s="116" t="s">
        <v>343</v>
      </c>
      <c r="G20" s="116" t="s">
        <v>13</v>
      </c>
      <c r="H20" s="116">
        <v>0</v>
      </c>
      <c r="I20" s="102">
        <f>IF(H20=1,Assumptions!$B$16,IF(H20=2,Assumptions!$B$17,0))</f>
        <v>0</v>
      </c>
      <c r="J20" s="116" t="s">
        <v>343</v>
      </c>
      <c r="K20" s="116" t="s">
        <v>343</v>
      </c>
      <c r="L20" s="116" t="s">
        <v>535</v>
      </c>
      <c r="N20" s="115">
        <f>B20*Assumptions!$B$10</f>
        <v>876623.37662337651</v>
      </c>
      <c r="O20" s="115">
        <f>B20*Assumptions!$B$11</f>
        <v>876623.37662337651</v>
      </c>
      <c r="P20" s="115">
        <f>B20*Assumptions!$B$12</f>
        <v>292207.79220779223</v>
      </c>
      <c r="Q20" s="115">
        <f t="shared" si="0"/>
        <v>2045454.5454545452</v>
      </c>
      <c r="R20" s="115">
        <f t="shared" si="1"/>
        <v>102272.72727272726</v>
      </c>
      <c r="S20" s="99">
        <f t="shared" si="2"/>
        <v>61</v>
      </c>
    </row>
    <row r="21" spans="1:19" ht="15" customHeight="1" x14ac:dyDescent="0.25">
      <c r="A21" s="99" t="s">
        <v>540</v>
      </c>
      <c r="B21" s="115">
        <v>15000000</v>
      </c>
      <c r="C21" s="116">
        <v>47</v>
      </c>
      <c r="D21" s="116">
        <v>19</v>
      </c>
      <c r="E21" s="116">
        <v>3</v>
      </c>
      <c r="F21" s="116" t="s">
        <v>343</v>
      </c>
      <c r="G21" s="116" t="s">
        <v>13</v>
      </c>
      <c r="H21" s="116">
        <v>0</v>
      </c>
      <c r="I21" s="102">
        <f>IF(H21=1,Assumptions!$B$16,IF(H21=2,Assumptions!$B$17,0))</f>
        <v>0</v>
      </c>
      <c r="J21" s="116" t="s">
        <v>343</v>
      </c>
      <c r="K21" s="116" t="s">
        <v>343</v>
      </c>
      <c r="L21" s="116" t="s">
        <v>535</v>
      </c>
      <c r="N21" s="115">
        <f>B21*Assumptions!$B$10</f>
        <v>730519.48051948042</v>
      </c>
      <c r="O21" s="115">
        <f>B21*Assumptions!$B$11</f>
        <v>730519.48051948042</v>
      </c>
      <c r="P21" s="115">
        <f>B21*Assumptions!$B$12</f>
        <v>243506.49350649354</v>
      </c>
      <c r="Q21" s="115">
        <f t="shared" si="0"/>
        <v>1704545.4545454544</v>
      </c>
      <c r="R21" s="115">
        <f t="shared" si="1"/>
        <v>85227.272727272721</v>
      </c>
      <c r="S21" s="99">
        <f t="shared" si="2"/>
        <v>65</v>
      </c>
    </row>
    <row r="22" spans="1:19" ht="15" customHeight="1" x14ac:dyDescent="0.25">
      <c r="A22" s="99" t="s">
        <v>541</v>
      </c>
      <c r="B22" s="115">
        <v>15000000</v>
      </c>
      <c r="C22" s="116">
        <v>51</v>
      </c>
      <c r="D22" s="116">
        <v>19</v>
      </c>
      <c r="E22" s="116">
        <v>3</v>
      </c>
      <c r="F22" s="116" t="s">
        <v>343</v>
      </c>
      <c r="G22" s="116" t="s">
        <v>13</v>
      </c>
      <c r="H22" s="116">
        <v>0</v>
      </c>
      <c r="I22" s="102">
        <f>IF(H22=1,Assumptions!$B$16,IF(H22=2,Assumptions!$B$17,0))</f>
        <v>0</v>
      </c>
      <c r="J22" s="116" t="s">
        <v>343</v>
      </c>
      <c r="K22" s="116" t="s">
        <v>343</v>
      </c>
      <c r="L22" s="116" t="s">
        <v>535</v>
      </c>
      <c r="N22" s="115">
        <f>B22*Assumptions!$B$10</f>
        <v>730519.48051948042</v>
      </c>
      <c r="O22" s="115">
        <f>B22*Assumptions!$B$11</f>
        <v>730519.48051948042</v>
      </c>
      <c r="P22" s="115">
        <f>B22*Assumptions!$B$12</f>
        <v>243506.49350649354</v>
      </c>
      <c r="Q22" s="115">
        <f t="shared" si="0"/>
        <v>1704545.4545454544</v>
      </c>
      <c r="R22" s="115">
        <f t="shared" si="1"/>
        <v>85227.272727272721</v>
      </c>
      <c r="S22" s="99">
        <f t="shared" si="2"/>
        <v>69</v>
      </c>
    </row>
    <row r="23" spans="1:19" ht="15" customHeight="1" x14ac:dyDescent="0.25">
      <c r="A23" s="99" t="s">
        <v>542</v>
      </c>
      <c r="B23" s="115">
        <v>18000000</v>
      </c>
      <c r="C23" s="116">
        <v>55</v>
      </c>
      <c r="D23" s="116">
        <v>19</v>
      </c>
      <c r="E23" s="116">
        <v>3</v>
      </c>
      <c r="F23" s="116" t="s">
        <v>343</v>
      </c>
      <c r="G23" s="116" t="s">
        <v>13</v>
      </c>
      <c r="H23" s="116">
        <v>0</v>
      </c>
      <c r="I23" s="102">
        <f>IF(H23=1,Assumptions!$B$16,IF(H23=2,Assumptions!$B$17,0))</f>
        <v>0</v>
      </c>
      <c r="J23" s="116" t="s">
        <v>343</v>
      </c>
      <c r="K23" s="116" t="s">
        <v>343</v>
      </c>
      <c r="L23" s="116" t="s">
        <v>535</v>
      </c>
      <c r="N23" s="115">
        <f>B23*Assumptions!$B$10</f>
        <v>876623.37662337651</v>
      </c>
      <c r="O23" s="115">
        <f>B23*Assumptions!$B$11</f>
        <v>876623.37662337651</v>
      </c>
      <c r="P23" s="115">
        <f>B23*Assumptions!$B$12</f>
        <v>292207.79220779223</v>
      </c>
      <c r="Q23" s="115">
        <f t="shared" si="0"/>
        <v>2045454.5454545452</v>
      </c>
      <c r="R23" s="115">
        <f t="shared" si="1"/>
        <v>102272.72727272726</v>
      </c>
      <c r="S23" s="99">
        <f t="shared" si="2"/>
        <v>73</v>
      </c>
    </row>
    <row r="24" spans="1:19" ht="15" customHeight="1" x14ac:dyDescent="0.25">
      <c r="A24" s="99" t="s">
        <v>543</v>
      </c>
      <c r="B24" s="115">
        <v>15000000</v>
      </c>
      <c r="C24" s="116">
        <v>59</v>
      </c>
      <c r="D24" s="116">
        <v>19</v>
      </c>
      <c r="E24" s="116">
        <v>3</v>
      </c>
      <c r="F24" s="116" t="s">
        <v>343</v>
      </c>
      <c r="G24" s="116" t="s">
        <v>13</v>
      </c>
      <c r="H24" s="116">
        <v>0</v>
      </c>
      <c r="I24" s="102">
        <f>IF(H24=1,Assumptions!$B$16,IF(H24=2,Assumptions!$B$17,0))</f>
        <v>0</v>
      </c>
      <c r="J24" s="116" t="s">
        <v>343</v>
      </c>
      <c r="K24" s="116" t="s">
        <v>343</v>
      </c>
      <c r="L24" s="116" t="s">
        <v>535</v>
      </c>
      <c r="N24" s="115">
        <f>B24*Assumptions!$B$10</f>
        <v>730519.48051948042</v>
      </c>
      <c r="O24" s="115">
        <f>B24*Assumptions!$B$11</f>
        <v>730519.48051948042</v>
      </c>
      <c r="P24" s="115">
        <f>B24*Assumptions!$B$12</f>
        <v>243506.49350649354</v>
      </c>
      <c r="Q24" s="115">
        <f t="shared" si="0"/>
        <v>1704545.4545454544</v>
      </c>
      <c r="R24" s="115">
        <f t="shared" si="1"/>
        <v>85227.272727272721</v>
      </c>
      <c r="S24" s="99">
        <f t="shared" si="2"/>
        <v>77</v>
      </c>
    </row>
    <row r="25" spans="1:19" ht="15" customHeight="1" x14ac:dyDescent="0.25">
      <c r="A25" s="99" t="s">
        <v>544</v>
      </c>
      <c r="B25" s="115">
        <v>15000000</v>
      </c>
      <c r="C25" s="116">
        <v>63</v>
      </c>
      <c r="D25" s="116">
        <v>19</v>
      </c>
      <c r="E25" s="116">
        <v>3</v>
      </c>
      <c r="F25" s="116" t="s">
        <v>343</v>
      </c>
      <c r="G25" s="116" t="s">
        <v>13</v>
      </c>
      <c r="H25" s="116">
        <v>0</v>
      </c>
      <c r="I25" s="102">
        <f>IF(H25=1,Assumptions!$B$16,IF(H25=2,Assumptions!$B$17,0))</f>
        <v>0</v>
      </c>
      <c r="J25" s="116" t="s">
        <v>343</v>
      </c>
      <c r="K25" s="116" t="s">
        <v>343</v>
      </c>
      <c r="L25" s="116" t="s">
        <v>535</v>
      </c>
      <c r="N25" s="115">
        <f>B25*Assumptions!$B$10</f>
        <v>730519.48051948042</v>
      </c>
      <c r="O25" s="115">
        <f>B25*Assumptions!$B$11</f>
        <v>730519.48051948042</v>
      </c>
      <c r="P25" s="115">
        <f>B25*Assumptions!$B$12</f>
        <v>243506.49350649354</v>
      </c>
      <c r="Q25" s="115">
        <f t="shared" si="0"/>
        <v>1704545.4545454544</v>
      </c>
      <c r="R25" s="115">
        <f t="shared" si="1"/>
        <v>85227.272727272721</v>
      </c>
      <c r="S25" s="99">
        <f t="shared" si="2"/>
        <v>81</v>
      </c>
    </row>
    <row r="26" spans="1:19" ht="15" customHeight="1" x14ac:dyDescent="0.25">
      <c r="A26" s="99" t="s">
        <v>545</v>
      </c>
      <c r="B26" s="115">
        <v>18000000</v>
      </c>
      <c r="C26" s="116">
        <v>67</v>
      </c>
      <c r="D26" s="116">
        <v>19</v>
      </c>
      <c r="E26" s="116">
        <v>3</v>
      </c>
      <c r="F26" s="116" t="s">
        <v>343</v>
      </c>
      <c r="G26" s="116" t="s">
        <v>13</v>
      </c>
      <c r="H26" s="116">
        <v>0</v>
      </c>
      <c r="I26" s="102">
        <f>IF(H26=1,Assumptions!$B$16,IF(H26=2,Assumptions!$B$17,0))</f>
        <v>0</v>
      </c>
      <c r="J26" s="116" t="s">
        <v>343</v>
      </c>
      <c r="K26" s="116" t="s">
        <v>343</v>
      </c>
      <c r="L26" s="116" t="s">
        <v>535</v>
      </c>
      <c r="N26" s="115">
        <f>B26*Assumptions!$B$10</f>
        <v>876623.37662337651</v>
      </c>
      <c r="O26" s="115">
        <f>B26*Assumptions!$B$11</f>
        <v>876623.37662337651</v>
      </c>
      <c r="P26" s="115">
        <f>B26*Assumptions!$B$12</f>
        <v>292207.79220779223</v>
      </c>
      <c r="Q26" s="115">
        <f t="shared" si="0"/>
        <v>2045454.5454545452</v>
      </c>
      <c r="R26" s="115">
        <f t="shared" si="1"/>
        <v>102272.72727272726</v>
      </c>
      <c r="S26" s="99">
        <f t="shared" si="2"/>
        <v>85</v>
      </c>
    </row>
    <row r="27" spans="1:19" ht="15" customHeight="1" x14ac:dyDescent="0.25">
      <c r="A27" s="99" t="s">
        <v>546</v>
      </c>
      <c r="B27" s="115">
        <v>15000000</v>
      </c>
      <c r="C27" s="116">
        <v>69</v>
      </c>
      <c r="D27" s="116">
        <v>19</v>
      </c>
      <c r="E27" s="116">
        <v>3</v>
      </c>
      <c r="F27" s="116" t="s">
        <v>343</v>
      </c>
      <c r="G27" s="116" t="s">
        <v>13</v>
      </c>
      <c r="H27" s="116">
        <v>0</v>
      </c>
      <c r="I27" s="102">
        <f>IF(H27=1,Assumptions!$B$16,IF(H27=2,Assumptions!$B$17,0))</f>
        <v>0</v>
      </c>
      <c r="J27" s="116" t="s">
        <v>343</v>
      </c>
      <c r="K27" s="116" t="s">
        <v>343</v>
      </c>
      <c r="L27" s="116" t="s">
        <v>535</v>
      </c>
      <c r="N27" s="115">
        <f>B27*Assumptions!$B$10</f>
        <v>730519.48051948042</v>
      </c>
      <c r="O27" s="115">
        <f>B27*Assumptions!$B$11</f>
        <v>730519.48051948042</v>
      </c>
      <c r="P27" s="115">
        <f>B27*Assumptions!$B$12</f>
        <v>243506.49350649354</v>
      </c>
      <c r="Q27" s="115">
        <f t="shared" si="0"/>
        <v>1704545.4545454544</v>
      </c>
      <c r="R27" s="115">
        <f t="shared" si="1"/>
        <v>85227.272727272721</v>
      </c>
      <c r="S27" s="99">
        <f t="shared" si="2"/>
        <v>87</v>
      </c>
    </row>
    <row r="28" spans="1:19" ht="15" customHeight="1" x14ac:dyDescent="0.25">
      <c r="A28" s="99" t="s">
        <v>547</v>
      </c>
      <c r="B28" s="115">
        <v>15000000</v>
      </c>
      <c r="C28" s="116">
        <v>71</v>
      </c>
      <c r="D28" s="116">
        <v>19</v>
      </c>
      <c r="E28" s="116">
        <v>3</v>
      </c>
      <c r="F28" s="116" t="s">
        <v>343</v>
      </c>
      <c r="G28" s="116" t="s">
        <v>13</v>
      </c>
      <c r="H28" s="116">
        <v>0</v>
      </c>
      <c r="I28" s="102">
        <f>IF(H28=1,Assumptions!$B$16,IF(H28=2,Assumptions!$B$17,0))</f>
        <v>0</v>
      </c>
      <c r="J28" s="116" t="s">
        <v>343</v>
      </c>
      <c r="K28" s="116" t="s">
        <v>343</v>
      </c>
      <c r="L28" s="116" t="s">
        <v>535</v>
      </c>
      <c r="N28" s="115">
        <f>B28*Assumptions!$B$10</f>
        <v>730519.48051948042</v>
      </c>
      <c r="O28" s="115">
        <f>B28*Assumptions!$B$11</f>
        <v>730519.48051948042</v>
      </c>
      <c r="P28" s="115">
        <f>B28*Assumptions!$B$12</f>
        <v>243506.49350649354</v>
      </c>
      <c r="Q28" s="115">
        <f t="shared" si="0"/>
        <v>1704545.4545454544</v>
      </c>
      <c r="R28" s="115">
        <f t="shared" si="1"/>
        <v>85227.272727272721</v>
      </c>
      <c r="S28" s="99">
        <f t="shared" si="2"/>
        <v>89</v>
      </c>
    </row>
    <row r="29" spans="1:19" ht="15" customHeight="1" x14ac:dyDescent="0.25">
      <c r="A29" s="99" t="s">
        <v>548</v>
      </c>
      <c r="B29" s="115">
        <v>15000000</v>
      </c>
      <c r="C29" s="116">
        <v>75</v>
      </c>
      <c r="D29" s="116">
        <v>19</v>
      </c>
      <c r="E29" s="116">
        <v>3</v>
      </c>
      <c r="F29" s="116" t="s">
        <v>343</v>
      </c>
      <c r="G29" s="116" t="s">
        <v>13</v>
      </c>
      <c r="H29" s="116">
        <v>0</v>
      </c>
      <c r="I29" s="102">
        <f>IF(H29=1,Assumptions!$B$16,IF(H29=2,Assumptions!$B$17,0))</f>
        <v>0</v>
      </c>
      <c r="J29" s="116" t="s">
        <v>343</v>
      </c>
      <c r="K29" s="116" t="s">
        <v>343</v>
      </c>
      <c r="L29" s="116" t="s">
        <v>535</v>
      </c>
      <c r="N29" s="115">
        <f>B29*Assumptions!$B$10</f>
        <v>730519.48051948042</v>
      </c>
      <c r="O29" s="115">
        <f>B29*Assumptions!$B$11</f>
        <v>730519.48051948042</v>
      </c>
      <c r="P29" s="115">
        <f>B29*Assumptions!$B$12</f>
        <v>243506.49350649354</v>
      </c>
      <c r="Q29" s="115">
        <f t="shared" si="0"/>
        <v>1704545.4545454544</v>
      </c>
      <c r="R29" s="115">
        <f t="shared" si="1"/>
        <v>85227.272727272721</v>
      </c>
      <c r="S29" s="99">
        <f t="shared" si="2"/>
        <v>93</v>
      </c>
    </row>
    <row r="30" spans="1:19" ht="15" customHeight="1" x14ac:dyDescent="0.25">
      <c r="A30" s="99" t="s">
        <v>549</v>
      </c>
      <c r="B30" s="115">
        <v>15000000</v>
      </c>
      <c r="C30" s="116">
        <v>50</v>
      </c>
      <c r="D30" s="116">
        <v>19</v>
      </c>
      <c r="E30" s="116">
        <v>3</v>
      </c>
      <c r="F30" s="116" t="s">
        <v>343</v>
      </c>
      <c r="G30" s="116" t="s">
        <v>343</v>
      </c>
      <c r="H30" s="116">
        <v>0</v>
      </c>
      <c r="I30" s="102">
        <f>IF(H30=1,Assumptions!$B$16,IF(H30=2,Assumptions!$B$17,0))</f>
        <v>0</v>
      </c>
      <c r="J30" s="116" t="s">
        <v>343</v>
      </c>
      <c r="K30" s="116" t="s">
        <v>343</v>
      </c>
      <c r="L30" s="116" t="s">
        <v>535</v>
      </c>
      <c r="N30" s="115">
        <f>B30*Assumptions!$B$10</f>
        <v>730519.48051948042</v>
      </c>
      <c r="O30" s="115">
        <f>B30*Assumptions!$B$11</f>
        <v>730519.48051948042</v>
      </c>
      <c r="P30" s="115">
        <f>B30*Assumptions!$B$12</f>
        <v>243506.49350649354</v>
      </c>
      <c r="Q30" s="115">
        <f t="shared" si="0"/>
        <v>1704545.4545454544</v>
      </c>
      <c r="R30" s="115">
        <f t="shared" si="1"/>
        <v>85227.272727272721</v>
      </c>
      <c r="S30" s="99">
        <f t="shared" si="2"/>
        <v>68</v>
      </c>
    </row>
    <row r="31" spans="1:19" ht="15" customHeight="1" x14ac:dyDescent="0.25">
      <c r="A31" s="99" t="s">
        <v>550</v>
      </c>
      <c r="B31" s="115">
        <v>18000000</v>
      </c>
      <c r="C31" s="116">
        <v>52</v>
      </c>
      <c r="D31" s="116">
        <v>19</v>
      </c>
      <c r="E31" s="116">
        <v>3</v>
      </c>
      <c r="F31" s="116" t="s">
        <v>343</v>
      </c>
      <c r="G31" s="116" t="s">
        <v>343</v>
      </c>
      <c r="H31" s="116">
        <v>0</v>
      </c>
      <c r="I31" s="102">
        <f>IF(H31=1,Assumptions!$B$16,IF(H31=2,Assumptions!$B$17,0))</f>
        <v>0</v>
      </c>
      <c r="J31" s="116" t="s">
        <v>343</v>
      </c>
      <c r="K31" s="116" t="s">
        <v>343</v>
      </c>
      <c r="L31" s="116" t="s">
        <v>535</v>
      </c>
      <c r="N31" s="115">
        <f>B31*Assumptions!$B$10</f>
        <v>876623.37662337651</v>
      </c>
      <c r="O31" s="115">
        <f>B31*Assumptions!$B$11</f>
        <v>876623.37662337651</v>
      </c>
      <c r="P31" s="115">
        <f>B31*Assumptions!$B$12</f>
        <v>292207.79220779223</v>
      </c>
      <c r="Q31" s="115">
        <f t="shared" si="0"/>
        <v>2045454.5454545452</v>
      </c>
      <c r="R31" s="115">
        <f t="shared" si="1"/>
        <v>102272.72727272726</v>
      </c>
      <c r="S31" s="99">
        <f t="shared" si="2"/>
        <v>70</v>
      </c>
    </row>
    <row r="32" spans="1:19" ht="15" customHeight="1" x14ac:dyDescent="0.25">
      <c r="A32" s="99" t="s">
        <v>551</v>
      </c>
      <c r="B32" s="115">
        <v>15000000</v>
      </c>
      <c r="C32" s="116">
        <v>54</v>
      </c>
      <c r="D32" s="116">
        <v>19</v>
      </c>
      <c r="E32" s="116">
        <v>3</v>
      </c>
      <c r="F32" s="116" t="s">
        <v>343</v>
      </c>
      <c r="G32" s="116" t="s">
        <v>343</v>
      </c>
      <c r="H32" s="116">
        <v>0</v>
      </c>
      <c r="I32" s="102">
        <f>IF(H32=1,Assumptions!$B$16,IF(H32=2,Assumptions!$B$17,0))</f>
        <v>0</v>
      </c>
      <c r="J32" s="116" t="s">
        <v>343</v>
      </c>
      <c r="K32" s="116" t="s">
        <v>343</v>
      </c>
      <c r="L32" s="116" t="s">
        <v>535</v>
      </c>
      <c r="N32" s="115">
        <f>B32*Assumptions!$B$10</f>
        <v>730519.48051948042</v>
      </c>
      <c r="O32" s="115">
        <f>B32*Assumptions!$B$11</f>
        <v>730519.48051948042</v>
      </c>
      <c r="P32" s="115">
        <f>B32*Assumptions!$B$12</f>
        <v>243506.49350649354</v>
      </c>
      <c r="Q32" s="115">
        <f t="shared" si="0"/>
        <v>1704545.4545454544</v>
      </c>
      <c r="R32" s="115">
        <f t="shared" si="1"/>
        <v>85227.272727272721</v>
      </c>
      <c r="S32" s="99">
        <f t="shared" si="2"/>
        <v>72</v>
      </c>
    </row>
    <row r="33" spans="1:19" ht="15" customHeight="1" x14ac:dyDescent="0.25">
      <c r="A33" s="99" t="s">
        <v>552</v>
      </c>
      <c r="B33" s="115">
        <v>15000000</v>
      </c>
      <c r="C33" s="116">
        <v>56</v>
      </c>
      <c r="D33" s="116">
        <v>19</v>
      </c>
      <c r="E33" s="116">
        <v>3</v>
      </c>
      <c r="F33" s="116" t="s">
        <v>343</v>
      </c>
      <c r="G33" s="116" t="s">
        <v>343</v>
      </c>
      <c r="H33" s="116">
        <v>0</v>
      </c>
      <c r="I33" s="102">
        <f>IF(H33=1,Assumptions!$B$16,IF(H33=2,Assumptions!$B$17,0))</f>
        <v>0</v>
      </c>
      <c r="J33" s="116" t="s">
        <v>343</v>
      </c>
      <c r="K33" s="116" t="s">
        <v>343</v>
      </c>
      <c r="L33" s="116" t="s">
        <v>535</v>
      </c>
      <c r="N33" s="115">
        <f>B33*Assumptions!$B$10</f>
        <v>730519.48051948042</v>
      </c>
      <c r="O33" s="115">
        <f>B33*Assumptions!$B$11</f>
        <v>730519.48051948042</v>
      </c>
      <c r="P33" s="115">
        <f>B33*Assumptions!$B$12</f>
        <v>243506.49350649354</v>
      </c>
      <c r="Q33" s="115">
        <f t="shared" si="0"/>
        <v>1704545.4545454544</v>
      </c>
      <c r="R33" s="115">
        <f t="shared" si="1"/>
        <v>85227.272727272721</v>
      </c>
      <c r="S33" s="99">
        <f t="shared" si="2"/>
        <v>74</v>
      </c>
    </row>
    <row r="34" spans="1:19" ht="15" customHeight="1" x14ac:dyDescent="0.25">
      <c r="A34" s="99" t="s">
        <v>553</v>
      </c>
      <c r="B34" s="115">
        <v>18000000</v>
      </c>
      <c r="C34" s="116">
        <v>58</v>
      </c>
      <c r="D34" s="116">
        <v>19</v>
      </c>
      <c r="E34" s="116">
        <v>3</v>
      </c>
      <c r="F34" s="116" t="s">
        <v>343</v>
      </c>
      <c r="G34" s="116" t="s">
        <v>343</v>
      </c>
      <c r="H34" s="116">
        <v>0</v>
      </c>
      <c r="I34" s="102">
        <f>IF(H34=1,Assumptions!$B$16,IF(H34=2,Assumptions!$B$17,0))</f>
        <v>0</v>
      </c>
      <c r="J34" s="116" t="s">
        <v>343</v>
      </c>
      <c r="K34" s="116" t="s">
        <v>343</v>
      </c>
      <c r="L34" s="116" t="s">
        <v>535</v>
      </c>
      <c r="N34" s="115">
        <f>B34*Assumptions!$B$10</f>
        <v>876623.37662337651</v>
      </c>
      <c r="O34" s="115">
        <f>B34*Assumptions!$B$11</f>
        <v>876623.37662337651</v>
      </c>
      <c r="P34" s="115">
        <f>B34*Assumptions!$B$12</f>
        <v>292207.79220779223</v>
      </c>
      <c r="Q34" s="115">
        <f t="shared" si="0"/>
        <v>2045454.5454545452</v>
      </c>
      <c r="R34" s="115">
        <f t="shared" si="1"/>
        <v>102272.72727272726</v>
      </c>
      <c r="S34" s="99">
        <f t="shared" si="2"/>
        <v>76</v>
      </c>
    </row>
    <row r="35" spans="1:19" ht="15" customHeight="1" x14ac:dyDescent="0.25">
      <c r="A35" s="99" t="s">
        <v>554</v>
      </c>
      <c r="B35" s="115">
        <v>15000000</v>
      </c>
      <c r="C35" s="116">
        <v>60</v>
      </c>
      <c r="D35" s="116">
        <v>19</v>
      </c>
      <c r="E35" s="116">
        <v>3</v>
      </c>
      <c r="F35" s="116" t="s">
        <v>343</v>
      </c>
      <c r="G35" s="116" t="s">
        <v>343</v>
      </c>
      <c r="H35" s="116">
        <v>0</v>
      </c>
      <c r="I35" s="102">
        <f>IF(H35=1,Assumptions!$B$16,IF(H35=2,Assumptions!$B$17,0))</f>
        <v>0</v>
      </c>
      <c r="J35" s="116" t="s">
        <v>343</v>
      </c>
      <c r="K35" s="116" t="s">
        <v>343</v>
      </c>
      <c r="L35" s="116" t="s">
        <v>535</v>
      </c>
      <c r="N35" s="115">
        <f>B35*Assumptions!$B$10</f>
        <v>730519.48051948042</v>
      </c>
      <c r="O35" s="115">
        <f>B35*Assumptions!$B$11</f>
        <v>730519.48051948042</v>
      </c>
      <c r="P35" s="115">
        <f>B35*Assumptions!$B$12</f>
        <v>243506.49350649354</v>
      </c>
      <c r="Q35" s="115">
        <f t="shared" si="0"/>
        <v>1704545.4545454544</v>
      </c>
      <c r="R35" s="115">
        <f t="shared" si="1"/>
        <v>85227.272727272721</v>
      </c>
      <c r="S35" s="99">
        <f t="shared" si="2"/>
        <v>78</v>
      </c>
    </row>
    <row r="36" spans="1:19" ht="15" customHeight="1" x14ac:dyDescent="0.25">
      <c r="A36" s="99" t="s">
        <v>555</v>
      </c>
      <c r="B36" s="115">
        <v>18000000</v>
      </c>
      <c r="C36" s="116">
        <v>62</v>
      </c>
      <c r="D36" s="116">
        <v>19</v>
      </c>
      <c r="E36" s="116">
        <v>3</v>
      </c>
      <c r="F36" s="116" t="s">
        <v>343</v>
      </c>
      <c r="G36" s="116" t="s">
        <v>343</v>
      </c>
      <c r="H36" s="116">
        <v>0</v>
      </c>
      <c r="I36" s="102">
        <f>IF(H36=1,Assumptions!$B$16,IF(H36=2,Assumptions!$B$17,0))</f>
        <v>0</v>
      </c>
      <c r="J36" s="116" t="s">
        <v>343</v>
      </c>
      <c r="K36" s="116" t="s">
        <v>343</v>
      </c>
      <c r="L36" s="116" t="s">
        <v>535</v>
      </c>
      <c r="N36" s="115">
        <f>B36*Assumptions!$B$10</f>
        <v>876623.37662337651</v>
      </c>
      <c r="O36" s="115">
        <f>B36*Assumptions!$B$11</f>
        <v>876623.37662337651</v>
      </c>
      <c r="P36" s="115">
        <f>B36*Assumptions!$B$12</f>
        <v>292207.79220779223</v>
      </c>
      <c r="Q36" s="115">
        <f t="shared" si="0"/>
        <v>2045454.5454545452</v>
      </c>
      <c r="R36" s="115">
        <f t="shared" si="1"/>
        <v>102272.72727272726</v>
      </c>
      <c r="S36" s="99">
        <f t="shared" si="2"/>
        <v>80</v>
      </c>
    </row>
    <row r="37" spans="1:19" ht="15" customHeight="1" x14ac:dyDescent="0.25">
      <c r="A37" s="99" t="s">
        <v>556</v>
      </c>
      <c r="B37" s="115">
        <v>15000000</v>
      </c>
      <c r="C37" s="116">
        <v>64</v>
      </c>
      <c r="D37" s="116">
        <v>19</v>
      </c>
      <c r="E37" s="116">
        <v>3</v>
      </c>
      <c r="F37" s="116" t="s">
        <v>343</v>
      </c>
      <c r="G37" s="116" t="s">
        <v>343</v>
      </c>
      <c r="H37" s="116">
        <v>0</v>
      </c>
      <c r="I37" s="102">
        <f>IF(H37=1,Assumptions!$B$16,IF(H37=2,Assumptions!$B$17,0))</f>
        <v>0</v>
      </c>
      <c r="J37" s="116" t="s">
        <v>343</v>
      </c>
      <c r="K37" s="116" t="s">
        <v>343</v>
      </c>
      <c r="L37" s="116" t="s">
        <v>535</v>
      </c>
      <c r="N37" s="115">
        <f>B37*Assumptions!$B$10</f>
        <v>730519.48051948042</v>
      </c>
      <c r="O37" s="115">
        <f>B37*Assumptions!$B$11</f>
        <v>730519.48051948042</v>
      </c>
      <c r="P37" s="115">
        <f>B37*Assumptions!$B$12</f>
        <v>243506.49350649354</v>
      </c>
      <c r="Q37" s="115">
        <f t="shared" si="0"/>
        <v>1704545.4545454544</v>
      </c>
      <c r="R37" s="115">
        <f t="shared" si="1"/>
        <v>85227.272727272721</v>
      </c>
      <c r="S37" s="99">
        <f t="shared" si="2"/>
        <v>82</v>
      </c>
    </row>
    <row r="38" spans="1:19" ht="15" customHeight="1" x14ac:dyDescent="0.25">
      <c r="A38" s="99" t="s">
        <v>557</v>
      </c>
      <c r="B38" s="115">
        <v>15000000</v>
      </c>
      <c r="C38" s="116">
        <v>66</v>
      </c>
      <c r="D38" s="116">
        <v>19</v>
      </c>
      <c r="E38" s="116">
        <v>3</v>
      </c>
      <c r="F38" s="116" t="s">
        <v>343</v>
      </c>
      <c r="G38" s="116" t="s">
        <v>343</v>
      </c>
      <c r="H38" s="116">
        <v>0</v>
      </c>
      <c r="I38" s="102">
        <f>IF(H38=1,Assumptions!$B$16,IF(H38=2,Assumptions!$B$17,0))</f>
        <v>0</v>
      </c>
      <c r="J38" s="116" t="s">
        <v>343</v>
      </c>
      <c r="K38" s="116" t="s">
        <v>343</v>
      </c>
      <c r="L38" s="116" t="s">
        <v>535</v>
      </c>
      <c r="N38" s="115">
        <f>B38*Assumptions!$B$10</f>
        <v>730519.48051948042</v>
      </c>
      <c r="O38" s="115">
        <f>B38*Assumptions!$B$11</f>
        <v>730519.48051948042</v>
      </c>
      <c r="P38" s="115">
        <f>B38*Assumptions!$B$12</f>
        <v>243506.49350649354</v>
      </c>
      <c r="Q38" s="115">
        <f t="shared" si="0"/>
        <v>1704545.4545454544</v>
      </c>
      <c r="R38" s="115">
        <f t="shared" si="1"/>
        <v>85227.272727272721</v>
      </c>
      <c r="S38" s="99">
        <f t="shared" si="2"/>
        <v>84</v>
      </c>
    </row>
    <row r="39" spans="1:19" ht="15" customHeight="1" x14ac:dyDescent="0.25">
      <c r="A39" s="99" t="s">
        <v>558</v>
      </c>
      <c r="B39" s="115">
        <v>18000000</v>
      </c>
      <c r="C39" s="116">
        <v>68</v>
      </c>
      <c r="D39" s="116">
        <v>19</v>
      </c>
      <c r="E39" s="116">
        <v>3</v>
      </c>
      <c r="F39" s="116" t="s">
        <v>343</v>
      </c>
      <c r="G39" s="116" t="s">
        <v>343</v>
      </c>
      <c r="H39" s="116">
        <v>0</v>
      </c>
      <c r="I39" s="102">
        <f>IF(H39=1,Assumptions!$B$16,IF(H39=2,Assumptions!$B$17,0))</f>
        <v>0</v>
      </c>
      <c r="J39" s="116" t="s">
        <v>343</v>
      </c>
      <c r="K39" s="116" t="s">
        <v>343</v>
      </c>
      <c r="L39" s="116" t="s">
        <v>535</v>
      </c>
      <c r="N39" s="115">
        <f>B39*Assumptions!$B$10</f>
        <v>876623.37662337651</v>
      </c>
      <c r="O39" s="115">
        <f>B39*Assumptions!$B$11</f>
        <v>876623.37662337651</v>
      </c>
      <c r="P39" s="115">
        <f>B39*Assumptions!$B$12</f>
        <v>292207.79220779223</v>
      </c>
      <c r="Q39" s="115">
        <f t="shared" si="0"/>
        <v>2045454.5454545452</v>
      </c>
      <c r="R39" s="115">
        <f t="shared" si="1"/>
        <v>102272.72727272726</v>
      </c>
      <c r="S39" s="99">
        <f t="shared" si="2"/>
        <v>86</v>
      </c>
    </row>
    <row r="40" spans="1:19" ht="15" customHeight="1" x14ac:dyDescent="0.25">
      <c r="A40" s="99" t="s">
        <v>559</v>
      </c>
      <c r="B40" s="115">
        <v>15000000</v>
      </c>
      <c r="C40" s="116">
        <v>70</v>
      </c>
      <c r="D40" s="116">
        <v>19</v>
      </c>
      <c r="E40" s="116">
        <v>3</v>
      </c>
      <c r="F40" s="116" t="s">
        <v>343</v>
      </c>
      <c r="G40" s="116" t="s">
        <v>343</v>
      </c>
      <c r="H40" s="116">
        <v>0</v>
      </c>
      <c r="I40" s="102">
        <f>IF(H40=1,Assumptions!$B$16,IF(H40=2,Assumptions!$B$17,0))</f>
        <v>0</v>
      </c>
      <c r="J40" s="116" t="s">
        <v>343</v>
      </c>
      <c r="K40" s="116" t="s">
        <v>343</v>
      </c>
      <c r="L40" s="116" t="s">
        <v>535</v>
      </c>
      <c r="N40" s="115">
        <f>B40*Assumptions!$B$10</f>
        <v>730519.48051948042</v>
      </c>
      <c r="O40" s="115">
        <f>B40*Assumptions!$B$11</f>
        <v>730519.48051948042</v>
      </c>
      <c r="P40" s="115">
        <f>B40*Assumptions!$B$12</f>
        <v>243506.49350649354</v>
      </c>
      <c r="Q40" s="115">
        <f t="shared" si="0"/>
        <v>1704545.4545454544</v>
      </c>
      <c r="R40" s="115">
        <f t="shared" si="1"/>
        <v>85227.272727272721</v>
      </c>
      <c r="S40" s="99">
        <f t="shared" si="2"/>
        <v>88</v>
      </c>
    </row>
    <row r="41" spans="1:19" ht="15" customHeight="1" x14ac:dyDescent="0.25">
      <c r="A41" s="99" t="s">
        <v>560</v>
      </c>
      <c r="B41" s="115">
        <v>15000000</v>
      </c>
      <c r="C41" s="116">
        <v>72</v>
      </c>
      <c r="D41" s="116">
        <v>19</v>
      </c>
      <c r="E41" s="116">
        <v>3</v>
      </c>
      <c r="F41" s="116" t="s">
        <v>343</v>
      </c>
      <c r="G41" s="116" t="s">
        <v>343</v>
      </c>
      <c r="H41" s="116">
        <v>0</v>
      </c>
      <c r="I41" s="102">
        <f>IF(H41=1,Assumptions!$B$16,IF(H41=2,Assumptions!$B$17,0))</f>
        <v>0</v>
      </c>
      <c r="J41" s="116" t="s">
        <v>343</v>
      </c>
      <c r="K41" s="116" t="s">
        <v>343</v>
      </c>
      <c r="L41" s="116" t="s">
        <v>535</v>
      </c>
      <c r="N41" s="115">
        <f>B41*Assumptions!$B$10</f>
        <v>730519.48051948042</v>
      </c>
      <c r="O41" s="115">
        <f>B41*Assumptions!$B$11</f>
        <v>730519.48051948042</v>
      </c>
      <c r="P41" s="115">
        <f>B41*Assumptions!$B$12</f>
        <v>243506.49350649354</v>
      </c>
      <c r="Q41" s="115">
        <f t="shared" si="0"/>
        <v>1704545.4545454544</v>
      </c>
      <c r="R41" s="115">
        <f t="shared" si="1"/>
        <v>85227.272727272721</v>
      </c>
      <c r="S41" s="99">
        <f t="shared" si="2"/>
        <v>90</v>
      </c>
    </row>
    <row r="42" spans="1:19" ht="15" customHeight="1" x14ac:dyDescent="0.25">
      <c r="A42" s="99" t="s">
        <v>561</v>
      </c>
      <c r="B42" s="115">
        <v>18000000</v>
      </c>
      <c r="C42" s="116">
        <v>74</v>
      </c>
      <c r="D42" s="116">
        <v>19</v>
      </c>
      <c r="E42" s="116">
        <v>3</v>
      </c>
      <c r="F42" s="116" t="s">
        <v>343</v>
      </c>
      <c r="G42" s="116" t="s">
        <v>343</v>
      </c>
      <c r="H42" s="116">
        <v>0</v>
      </c>
      <c r="I42" s="102">
        <f>IF(H42=1,Assumptions!$B$16,IF(H42=2,Assumptions!$B$17,0))</f>
        <v>0</v>
      </c>
      <c r="J42" s="116" t="s">
        <v>343</v>
      </c>
      <c r="K42" s="116" t="s">
        <v>343</v>
      </c>
      <c r="L42" s="116" t="s">
        <v>535</v>
      </c>
      <c r="N42" s="115">
        <f>B42*Assumptions!$B$10</f>
        <v>876623.37662337651</v>
      </c>
      <c r="O42" s="115">
        <f>B42*Assumptions!$B$11</f>
        <v>876623.37662337651</v>
      </c>
      <c r="P42" s="115">
        <f>B42*Assumptions!$B$12</f>
        <v>292207.79220779223</v>
      </c>
      <c r="Q42" s="115">
        <f t="shared" si="0"/>
        <v>2045454.5454545452</v>
      </c>
      <c r="R42" s="115">
        <f t="shared" si="1"/>
        <v>102272.72727272726</v>
      </c>
      <c r="S42" s="99">
        <f t="shared" si="2"/>
        <v>92</v>
      </c>
    </row>
    <row r="43" spans="1:19" ht="15" customHeight="1" x14ac:dyDescent="0.25">
      <c r="A43" s="99" t="s">
        <v>562</v>
      </c>
      <c r="B43" s="115">
        <v>15000000</v>
      </c>
      <c r="C43" s="116">
        <v>76</v>
      </c>
      <c r="D43" s="116">
        <v>19</v>
      </c>
      <c r="E43" s="116">
        <v>3</v>
      </c>
      <c r="F43" s="116" t="s">
        <v>343</v>
      </c>
      <c r="G43" s="116" t="s">
        <v>343</v>
      </c>
      <c r="H43" s="116">
        <v>0</v>
      </c>
      <c r="I43" s="102">
        <f>IF(H43=1,Assumptions!$B$16,IF(H43=2,Assumptions!$B$17,0))</f>
        <v>0</v>
      </c>
      <c r="J43" s="116" t="s">
        <v>343</v>
      </c>
      <c r="K43" s="116" t="s">
        <v>343</v>
      </c>
      <c r="L43" s="116" t="s">
        <v>535</v>
      </c>
      <c r="N43" s="115">
        <f>B43*Assumptions!$B$10</f>
        <v>730519.48051948042</v>
      </c>
      <c r="O43" s="115">
        <f>B43*Assumptions!$B$11</f>
        <v>730519.48051948042</v>
      </c>
      <c r="P43" s="115">
        <f>B43*Assumptions!$B$12</f>
        <v>243506.49350649354</v>
      </c>
      <c r="Q43" s="115">
        <f t="shared" si="0"/>
        <v>1704545.4545454544</v>
      </c>
      <c r="R43" s="115">
        <f t="shared" si="1"/>
        <v>85227.272727272721</v>
      </c>
      <c r="S43" s="99">
        <f t="shared" si="2"/>
        <v>94</v>
      </c>
    </row>
    <row r="44" spans="1:19" ht="15" customHeight="1" x14ac:dyDescent="0.25">
      <c r="A44" s="99" t="s">
        <v>563</v>
      </c>
      <c r="B44" s="115">
        <v>15000000</v>
      </c>
      <c r="C44" s="116">
        <v>78</v>
      </c>
      <c r="D44" s="116">
        <v>19</v>
      </c>
      <c r="E44" s="116">
        <v>3</v>
      </c>
      <c r="F44" s="116" t="s">
        <v>343</v>
      </c>
      <c r="G44" s="116" t="s">
        <v>343</v>
      </c>
      <c r="H44" s="116">
        <v>0</v>
      </c>
      <c r="I44" s="102">
        <f>IF(H44=1,Assumptions!$B$16,IF(H44=2,Assumptions!$B$17,0))</f>
        <v>0</v>
      </c>
      <c r="J44" s="116" t="s">
        <v>343</v>
      </c>
      <c r="K44" s="116" t="s">
        <v>343</v>
      </c>
      <c r="L44" s="116" t="s">
        <v>535</v>
      </c>
      <c r="N44" s="115">
        <f>B44*Assumptions!$B$10</f>
        <v>730519.48051948042</v>
      </c>
      <c r="O44" s="115">
        <f>B44*Assumptions!$B$11</f>
        <v>730519.48051948042</v>
      </c>
      <c r="P44" s="115">
        <f>B44*Assumptions!$B$12</f>
        <v>243506.49350649354</v>
      </c>
      <c r="Q44" s="115">
        <f t="shared" si="0"/>
        <v>1704545.4545454544</v>
      </c>
      <c r="R44" s="115">
        <f t="shared" si="1"/>
        <v>85227.272727272721</v>
      </c>
      <c r="S44" s="99">
        <f t="shared" si="2"/>
        <v>96</v>
      </c>
    </row>
    <row r="45" spans="1:19" ht="15" customHeight="1" x14ac:dyDescent="0.25">
      <c r="A45" s="99" t="s">
        <v>564</v>
      </c>
      <c r="B45" s="115">
        <v>18000000</v>
      </c>
      <c r="C45" s="116">
        <v>80</v>
      </c>
      <c r="D45" s="116">
        <v>19</v>
      </c>
      <c r="E45" s="116">
        <v>3</v>
      </c>
      <c r="F45" s="116" t="s">
        <v>343</v>
      </c>
      <c r="G45" s="116" t="s">
        <v>343</v>
      </c>
      <c r="H45" s="116">
        <v>0</v>
      </c>
      <c r="I45" s="102">
        <f>IF(H45=1,Assumptions!$B$16,IF(H45=2,Assumptions!$B$17,0))</f>
        <v>0</v>
      </c>
      <c r="J45" s="116" t="s">
        <v>343</v>
      </c>
      <c r="K45" s="116" t="s">
        <v>343</v>
      </c>
      <c r="L45" s="116" t="s">
        <v>535</v>
      </c>
      <c r="N45" s="115">
        <f>B45*Assumptions!$B$10</f>
        <v>876623.37662337651</v>
      </c>
      <c r="O45" s="115">
        <f>B45*Assumptions!$B$11</f>
        <v>876623.37662337651</v>
      </c>
      <c r="P45" s="115">
        <f>B45*Assumptions!$B$12</f>
        <v>292207.79220779223</v>
      </c>
      <c r="Q45" s="115">
        <f t="shared" si="0"/>
        <v>2045454.5454545452</v>
      </c>
      <c r="R45" s="115">
        <f t="shared" si="1"/>
        <v>102272.72727272726</v>
      </c>
      <c r="S45" s="99">
        <f t="shared" si="2"/>
        <v>98</v>
      </c>
    </row>
    <row r="46" spans="1:19" ht="15" customHeight="1" x14ac:dyDescent="0.25">
      <c r="A46" s="99" t="s">
        <v>565</v>
      </c>
      <c r="B46" s="115">
        <v>15000000</v>
      </c>
      <c r="C46" s="116">
        <v>82</v>
      </c>
      <c r="D46" s="116">
        <v>19</v>
      </c>
      <c r="E46" s="116">
        <v>3</v>
      </c>
      <c r="F46" s="116" t="s">
        <v>343</v>
      </c>
      <c r="G46" s="116" t="s">
        <v>343</v>
      </c>
      <c r="H46" s="116">
        <v>0</v>
      </c>
      <c r="I46" s="102">
        <f>IF(H46=1,Assumptions!$B$16,IF(H46=2,Assumptions!$B$17,0))</f>
        <v>0</v>
      </c>
      <c r="J46" s="116" t="s">
        <v>343</v>
      </c>
      <c r="K46" s="116" t="s">
        <v>343</v>
      </c>
      <c r="L46" s="116" t="s">
        <v>535</v>
      </c>
      <c r="N46" s="115">
        <f>B46*Assumptions!$B$10</f>
        <v>730519.48051948042</v>
      </c>
      <c r="O46" s="115">
        <f>B46*Assumptions!$B$11</f>
        <v>730519.48051948042</v>
      </c>
      <c r="P46" s="115">
        <f>B46*Assumptions!$B$12</f>
        <v>243506.49350649354</v>
      </c>
      <c r="Q46" s="115">
        <f t="shared" si="0"/>
        <v>1704545.4545454544</v>
      </c>
      <c r="R46" s="115">
        <f t="shared" si="1"/>
        <v>85227.272727272721</v>
      </c>
      <c r="S46" s="99">
        <f t="shared" si="2"/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9" t="s">
        <v>0</v>
      </c>
      <c r="B1" s="199" t="s">
        <v>1</v>
      </c>
      <c r="C1" s="200" t="s">
        <v>2</v>
      </c>
      <c r="D1" s="200" t="s">
        <v>3</v>
      </c>
      <c r="E1" s="200" t="s">
        <v>4</v>
      </c>
      <c r="F1" s="200" t="s">
        <v>5</v>
      </c>
      <c r="G1" s="200" t="s">
        <v>6</v>
      </c>
      <c r="H1" s="200" t="s">
        <v>7</v>
      </c>
      <c r="I1" s="200" t="s">
        <v>8</v>
      </c>
      <c r="J1" s="200" t="s">
        <v>9</v>
      </c>
    </row>
    <row r="2" spans="1:10" ht="15" customHeight="1" x14ac:dyDescent="0.25">
      <c r="A2" s="201" t="s">
        <v>10</v>
      </c>
      <c r="B2" s="201" t="s">
        <v>11</v>
      </c>
      <c r="C2" s="202">
        <v>70000</v>
      </c>
      <c r="D2" s="202">
        <f t="shared" ref="D2:D29" si="0">C2/12</f>
        <v>5833.333333333333</v>
      </c>
      <c r="E2" s="203">
        <v>1</v>
      </c>
      <c r="F2" s="204" t="s">
        <v>12</v>
      </c>
      <c r="G2" s="204" t="s">
        <v>13</v>
      </c>
      <c r="H2" s="205">
        <v>0</v>
      </c>
      <c r="I2" s="205">
        <v>0</v>
      </c>
      <c r="J2" s="201" t="s">
        <v>14</v>
      </c>
    </row>
    <row r="3" spans="1:10" ht="15" customHeight="1" x14ac:dyDescent="0.25">
      <c r="A3" s="206" t="s">
        <v>15</v>
      </c>
      <c r="B3" s="206" t="s">
        <v>16</v>
      </c>
      <c r="C3" s="207">
        <v>80000</v>
      </c>
      <c r="D3" s="207">
        <f t="shared" si="0"/>
        <v>6666.666666666667</v>
      </c>
      <c r="E3" s="208">
        <v>1</v>
      </c>
      <c r="F3" s="209" t="s">
        <v>12</v>
      </c>
      <c r="G3" s="209" t="s">
        <v>13</v>
      </c>
      <c r="H3" s="210">
        <v>0.5</v>
      </c>
      <c r="I3" s="210">
        <v>0</v>
      </c>
      <c r="J3" s="206" t="s">
        <v>14</v>
      </c>
    </row>
    <row r="4" spans="1:10" ht="15" customHeight="1" x14ac:dyDescent="0.25">
      <c r="A4" s="201" t="s">
        <v>17</v>
      </c>
      <c r="B4" s="201" t="s">
        <v>16</v>
      </c>
      <c r="C4" s="202">
        <v>25000</v>
      </c>
      <c r="D4" s="202">
        <f t="shared" si="0"/>
        <v>2083.3333333333335</v>
      </c>
      <c r="E4" s="203">
        <v>1</v>
      </c>
      <c r="F4" s="204" t="s">
        <v>12</v>
      </c>
      <c r="G4" s="204" t="s">
        <v>13</v>
      </c>
      <c r="H4" s="205">
        <v>0.5</v>
      </c>
      <c r="I4" s="205">
        <v>0</v>
      </c>
      <c r="J4" s="201" t="s">
        <v>14</v>
      </c>
    </row>
    <row r="5" spans="1:10" ht="15" customHeight="1" x14ac:dyDescent="0.25">
      <c r="A5" s="206" t="s">
        <v>18</v>
      </c>
      <c r="B5" s="206" t="s">
        <v>19</v>
      </c>
      <c r="C5" s="207">
        <v>19000</v>
      </c>
      <c r="D5" s="207">
        <f t="shared" si="0"/>
        <v>1583.3333333333333</v>
      </c>
      <c r="E5" s="208">
        <v>1</v>
      </c>
      <c r="F5" s="209" t="s">
        <v>12</v>
      </c>
      <c r="G5" s="209" t="s">
        <v>13</v>
      </c>
      <c r="H5" s="210">
        <v>0</v>
      </c>
      <c r="I5" s="210">
        <v>0</v>
      </c>
      <c r="J5" s="206" t="s">
        <v>14</v>
      </c>
    </row>
    <row r="6" spans="1:10" ht="15" customHeight="1" x14ac:dyDescent="0.25">
      <c r="A6" s="201" t="s">
        <v>20</v>
      </c>
      <c r="B6" s="201" t="s">
        <v>19</v>
      </c>
      <c r="C6" s="202">
        <v>20000</v>
      </c>
      <c r="D6" s="202">
        <f t="shared" si="0"/>
        <v>1666.6666666666667</v>
      </c>
      <c r="E6" s="203">
        <v>1</v>
      </c>
      <c r="F6" s="204" t="s">
        <v>12</v>
      </c>
      <c r="G6" s="204" t="s">
        <v>13</v>
      </c>
      <c r="H6" s="205">
        <v>0</v>
      </c>
      <c r="I6" s="205">
        <v>0</v>
      </c>
      <c r="J6" s="201" t="s">
        <v>14</v>
      </c>
    </row>
    <row r="7" spans="1:10" ht="15" customHeight="1" x14ac:dyDescent="0.25">
      <c r="A7" s="206" t="s">
        <v>21</v>
      </c>
      <c r="B7" s="206" t="s">
        <v>16</v>
      </c>
      <c r="C7" s="207">
        <v>320000</v>
      </c>
      <c r="D7" s="207">
        <f t="shared" si="0"/>
        <v>26666.666666666668</v>
      </c>
      <c r="E7" s="208">
        <v>1</v>
      </c>
      <c r="F7" s="209" t="s">
        <v>12</v>
      </c>
      <c r="G7" s="209" t="s">
        <v>13</v>
      </c>
      <c r="H7" s="210">
        <v>0.5</v>
      </c>
      <c r="I7" s="210">
        <v>0</v>
      </c>
      <c r="J7" s="206" t="s">
        <v>22</v>
      </c>
    </row>
    <row r="8" spans="1:10" ht="15" customHeight="1" x14ac:dyDescent="0.25">
      <c r="A8" s="201" t="s">
        <v>23</v>
      </c>
      <c r="B8" s="201" t="s">
        <v>16</v>
      </c>
      <c r="C8" s="202">
        <v>225000</v>
      </c>
      <c r="D8" s="202">
        <f t="shared" si="0"/>
        <v>18750</v>
      </c>
      <c r="E8" s="203">
        <v>1</v>
      </c>
      <c r="F8" s="204" t="s">
        <v>12</v>
      </c>
      <c r="G8" s="204" t="s">
        <v>13</v>
      </c>
      <c r="H8" s="205">
        <v>0.5</v>
      </c>
      <c r="I8" s="205">
        <v>0</v>
      </c>
      <c r="J8" s="201" t="s">
        <v>22</v>
      </c>
    </row>
    <row r="9" spans="1:10" ht="15" customHeight="1" x14ac:dyDescent="0.25">
      <c r="A9" s="206" t="s">
        <v>24</v>
      </c>
      <c r="B9" s="206" t="s">
        <v>19</v>
      </c>
      <c r="C9" s="207">
        <v>171000</v>
      </c>
      <c r="D9" s="207">
        <f t="shared" si="0"/>
        <v>14250</v>
      </c>
      <c r="E9" s="208">
        <v>1</v>
      </c>
      <c r="F9" s="209" t="s">
        <v>12</v>
      </c>
      <c r="G9" s="209" t="s">
        <v>13</v>
      </c>
      <c r="H9" s="210">
        <v>0</v>
      </c>
      <c r="I9" s="210">
        <v>0</v>
      </c>
      <c r="J9" s="206" t="s">
        <v>22</v>
      </c>
    </row>
    <row r="10" spans="1:10" ht="15" customHeight="1" x14ac:dyDescent="0.25">
      <c r="A10" s="201" t="s">
        <v>25</v>
      </c>
      <c r="B10" s="201" t="s">
        <v>19</v>
      </c>
      <c r="C10" s="202">
        <v>180000</v>
      </c>
      <c r="D10" s="202">
        <f t="shared" si="0"/>
        <v>15000</v>
      </c>
      <c r="E10" s="203">
        <v>1</v>
      </c>
      <c r="F10" s="204" t="s">
        <v>12</v>
      </c>
      <c r="G10" s="204" t="s">
        <v>13</v>
      </c>
      <c r="H10" s="205">
        <v>0</v>
      </c>
      <c r="I10" s="205">
        <v>0</v>
      </c>
      <c r="J10" s="201" t="s">
        <v>22</v>
      </c>
    </row>
    <row r="11" spans="1:10" ht="15" customHeight="1" x14ac:dyDescent="0.25">
      <c r="A11" s="206" t="s">
        <v>26</v>
      </c>
      <c r="B11" s="206" t="s">
        <v>19</v>
      </c>
      <c r="C11" s="207">
        <v>175000</v>
      </c>
      <c r="D11" s="207">
        <f t="shared" si="0"/>
        <v>14583.333333333334</v>
      </c>
      <c r="E11" s="208">
        <v>2</v>
      </c>
      <c r="F11" s="209" t="s">
        <v>12</v>
      </c>
      <c r="G11" s="209" t="s">
        <v>13</v>
      </c>
      <c r="H11" s="210">
        <v>0</v>
      </c>
      <c r="I11" s="210">
        <v>0</v>
      </c>
      <c r="J11" s="206" t="s">
        <v>22</v>
      </c>
    </row>
    <row r="12" spans="1:10" ht="15" customHeight="1" x14ac:dyDescent="0.25">
      <c r="A12" s="201" t="s">
        <v>27</v>
      </c>
      <c r="B12" s="201" t="s">
        <v>28</v>
      </c>
      <c r="C12" s="202">
        <v>145000</v>
      </c>
      <c r="D12" s="202">
        <f t="shared" si="0"/>
        <v>12083.333333333334</v>
      </c>
      <c r="E12" s="203">
        <v>1</v>
      </c>
      <c r="F12" s="204" t="s">
        <v>12</v>
      </c>
      <c r="G12" s="204" t="s">
        <v>13</v>
      </c>
      <c r="H12" s="205">
        <v>0</v>
      </c>
      <c r="I12" s="205">
        <v>0</v>
      </c>
      <c r="J12" s="201" t="s">
        <v>22</v>
      </c>
    </row>
    <row r="13" spans="1:10" ht="15" customHeight="1" x14ac:dyDescent="0.25">
      <c r="A13" s="206" t="s">
        <v>29</v>
      </c>
      <c r="B13" s="206" t="s">
        <v>28</v>
      </c>
      <c r="C13" s="207">
        <v>185000</v>
      </c>
      <c r="D13" s="207">
        <f t="shared" si="0"/>
        <v>15416.666666666666</v>
      </c>
      <c r="E13" s="208">
        <v>1</v>
      </c>
      <c r="F13" s="209" t="s">
        <v>12</v>
      </c>
      <c r="G13" s="209" t="s">
        <v>13</v>
      </c>
      <c r="H13" s="210">
        <v>0</v>
      </c>
      <c r="I13" s="210">
        <v>0</v>
      </c>
      <c r="J13" s="206" t="s">
        <v>22</v>
      </c>
    </row>
    <row r="14" spans="1:10" ht="15" customHeight="1" x14ac:dyDescent="0.25">
      <c r="A14" s="201" t="s">
        <v>30</v>
      </c>
      <c r="B14" s="201" t="s">
        <v>28</v>
      </c>
      <c r="C14" s="202">
        <v>135000</v>
      </c>
      <c r="D14" s="202">
        <f t="shared" si="0"/>
        <v>11250</v>
      </c>
      <c r="E14" s="203">
        <v>2</v>
      </c>
      <c r="F14" s="204" t="s">
        <v>12</v>
      </c>
      <c r="G14" s="204" t="s">
        <v>13</v>
      </c>
      <c r="H14" s="205">
        <v>0</v>
      </c>
      <c r="I14" s="205">
        <v>0</v>
      </c>
      <c r="J14" s="201" t="s">
        <v>22</v>
      </c>
    </row>
    <row r="15" spans="1:10" ht="15" customHeight="1" x14ac:dyDescent="0.25">
      <c r="A15" s="206" t="s">
        <v>31</v>
      </c>
      <c r="B15" s="206" t="s">
        <v>28</v>
      </c>
      <c r="C15" s="207">
        <v>135000</v>
      </c>
      <c r="D15" s="207">
        <f t="shared" si="0"/>
        <v>11250</v>
      </c>
      <c r="E15" s="208">
        <v>3</v>
      </c>
      <c r="F15" s="209" t="s">
        <v>12</v>
      </c>
      <c r="G15" s="209" t="s">
        <v>13</v>
      </c>
      <c r="H15" s="210">
        <v>0</v>
      </c>
      <c r="I15" s="210">
        <v>0</v>
      </c>
      <c r="J15" s="206" t="s">
        <v>22</v>
      </c>
    </row>
    <row r="16" spans="1:10" ht="15" customHeight="1" x14ac:dyDescent="0.25">
      <c r="A16" s="201" t="s">
        <v>32</v>
      </c>
      <c r="B16" s="201" t="s">
        <v>11</v>
      </c>
      <c r="C16" s="202">
        <v>97500</v>
      </c>
      <c r="D16" s="202">
        <f t="shared" si="0"/>
        <v>8125</v>
      </c>
      <c r="E16" s="203">
        <v>1</v>
      </c>
      <c r="F16" s="204" t="s">
        <v>12</v>
      </c>
      <c r="G16" s="204" t="s">
        <v>13</v>
      </c>
      <c r="H16" s="205">
        <v>0</v>
      </c>
      <c r="I16" s="205">
        <v>0</v>
      </c>
      <c r="J16" s="201" t="s">
        <v>22</v>
      </c>
    </row>
    <row r="17" spans="1:10" ht="15" customHeight="1" x14ac:dyDescent="0.25">
      <c r="A17" s="206" t="s">
        <v>33</v>
      </c>
      <c r="B17" s="206" t="s">
        <v>11</v>
      </c>
      <c r="C17" s="207">
        <v>100000</v>
      </c>
      <c r="D17" s="207">
        <f t="shared" si="0"/>
        <v>8333.3333333333339</v>
      </c>
      <c r="E17" s="208">
        <v>3</v>
      </c>
      <c r="F17" s="209" t="s">
        <v>12</v>
      </c>
      <c r="G17" s="209" t="s">
        <v>13</v>
      </c>
      <c r="H17" s="210">
        <v>0</v>
      </c>
      <c r="I17" s="210">
        <v>0</v>
      </c>
      <c r="J17" s="206" t="s">
        <v>22</v>
      </c>
    </row>
    <row r="18" spans="1:10" ht="15" customHeight="1" x14ac:dyDescent="0.25">
      <c r="A18" s="201" t="s">
        <v>34</v>
      </c>
      <c r="B18" s="201" t="s">
        <v>35</v>
      </c>
      <c r="C18" s="202">
        <v>150000</v>
      </c>
      <c r="D18" s="202">
        <f t="shared" si="0"/>
        <v>12500</v>
      </c>
      <c r="E18" s="203">
        <v>1</v>
      </c>
      <c r="F18" s="204" t="s">
        <v>12</v>
      </c>
      <c r="G18" s="204" t="s">
        <v>13</v>
      </c>
      <c r="H18" s="205">
        <v>0</v>
      </c>
      <c r="I18" s="205">
        <v>0</v>
      </c>
      <c r="J18" s="201" t="s">
        <v>22</v>
      </c>
    </row>
    <row r="19" spans="1:10" ht="15" customHeight="1" x14ac:dyDescent="0.25">
      <c r="A19" s="206" t="s">
        <v>36</v>
      </c>
      <c r="B19" s="206" t="s">
        <v>35</v>
      </c>
      <c r="C19" s="207">
        <v>150000</v>
      </c>
      <c r="D19" s="207">
        <f t="shared" si="0"/>
        <v>12500</v>
      </c>
      <c r="E19" s="208">
        <v>1</v>
      </c>
      <c r="F19" s="209" t="s">
        <v>12</v>
      </c>
      <c r="G19" s="209" t="s">
        <v>13</v>
      </c>
      <c r="H19" s="210">
        <v>0</v>
      </c>
      <c r="I19" s="210">
        <v>0</v>
      </c>
      <c r="J19" s="206" t="s">
        <v>22</v>
      </c>
    </row>
    <row r="20" spans="1:10" ht="15" customHeight="1" x14ac:dyDescent="0.25">
      <c r="A20" s="201" t="s">
        <v>37</v>
      </c>
      <c r="B20" s="201" t="s">
        <v>35</v>
      </c>
      <c r="C20" s="202">
        <v>110000</v>
      </c>
      <c r="D20" s="202">
        <f t="shared" si="0"/>
        <v>9166.6666666666661</v>
      </c>
      <c r="E20" s="203">
        <v>1</v>
      </c>
      <c r="F20" s="204" t="s">
        <v>12</v>
      </c>
      <c r="G20" s="204" t="s">
        <v>13</v>
      </c>
      <c r="H20" s="205">
        <v>0</v>
      </c>
      <c r="I20" s="205">
        <v>0</v>
      </c>
      <c r="J20" s="201" t="s">
        <v>22</v>
      </c>
    </row>
    <row r="21" spans="1:10" ht="15" customHeight="1" x14ac:dyDescent="0.25">
      <c r="A21" s="206" t="s">
        <v>38</v>
      </c>
      <c r="B21" s="206" t="s">
        <v>39</v>
      </c>
      <c r="C21" s="207">
        <v>75000</v>
      </c>
      <c r="D21" s="207">
        <f t="shared" si="0"/>
        <v>6250</v>
      </c>
      <c r="E21" s="208">
        <v>1</v>
      </c>
      <c r="F21" s="209" t="s">
        <v>12</v>
      </c>
      <c r="G21" s="209" t="s">
        <v>13</v>
      </c>
      <c r="H21" s="210">
        <v>0</v>
      </c>
      <c r="I21" s="210">
        <v>0</v>
      </c>
      <c r="J21" s="206" t="s">
        <v>22</v>
      </c>
    </row>
    <row r="22" spans="1:10" ht="15" customHeight="1" x14ac:dyDescent="0.25">
      <c r="A22" s="201" t="s">
        <v>40</v>
      </c>
      <c r="B22" s="201" t="s">
        <v>39</v>
      </c>
      <c r="C22" s="202">
        <v>125000</v>
      </c>
      <c r="D22" s="202">
        <f t="shared" si="0"/>
        <v>10416.666666666666</v>
      </c>
      <c r="E22" s="203">
        <v>2</v>
      </c>
      <c r="F22" s="204" t="s">
        <v>12</v>
      </c>
      <c r="G22" s="204" t="s">
        <v>13</v>
      </c>
      <c r="H22" s="205">
        <v>0</v>
      </c>
      <c r="I22" s="205">
        <v>0</v>
      </c>
      <c r="J22" s="201" t="s">
        <v>22</v>
      </c>
    </row>
    <row r="23" spans="1:10" ht="15" customHeight="1" x14ac:dyDescent="0.25">
      <c r="A23" s="206" t="s">
        <v>41</v>
      </c>
      <c r="B23" s="206" t="s">
        <v>39</v>
      </c>
      <c r="C23" s="207">
        <v>125000</v>
      </c>
      <c r="D23" s="207">
        <f t="shared" si="0"/>
        <v>10416.666666666666</v>
      </c>
      <c r="E23" s="208">
        <v>3</v>
      </c>
      <c r="F23" s="209" t="s">
        <v>12</v>
      </c>
      <c r="G23" s="209" t="s">
        <v>13</v>
      </c>
      <c r="H23" s="210">
        <v>0</v>
      </c>
      <c r="I23" s="210">
        <v>0</v>
      </c>
      <c r="J23" s="206" t="s">
        <v>22</v>
      </c>
    </row>
    <row r="24" spans="1:10" ht="15" customHeight="1" x14ac:dyDescent="0.25">
      <c r="A24" s="201" t="s">
        <v>42</v>
      </c>
      <c r="B24" s="201" t="s">
        <v>39</v>
      </c>
      <c r="C24" s="202">
        <v>125000</v>
      </c>
      <c r="D24" s="202">
        <f t="shared" si="0"/>
        <v>10416.666666666666</v>
      </c>
      <c r="E24" s="203">
        <v>999</v>
      </c>
      <c r="F24" s="204" t="s">
        <v>12</v>
      </c>
      <c r="G24" s="204" t="s">
        <v>13</v>
      </c>
      <c r="H24" s="205">
        <v>0</v>
      </c>
      <c r="I24" s="205">
        <v>0</v>
      </c>
      <c r="J24" s="201" t="s">
        <v>22</v>
      </c>
    </row>
    <row r="25" spans="1:10" ht="15" customHeight="1" x14ac:dyDescent="0.25">
      <c r="A25" s="206" t="s">
        <v>43</v>
      </c>
      <c r="B25" s="206" t="s">
        <v>39</v>
      </c>
      <c r="C25" s="207">
        <v>125000</v>
      </c>
      <c r="D25" s="207">
        <f t="shared" si="0"/>
        <v>10416.666666666666</v>
      </c>
      <c r="E25" s="208">
        <v>999</v>
      </c>
      <c r="F25" s="209" t="s">
        <v>12</v>
      </c>
      <c r="G25" s="209" t="s">
        <v>13</v>
      </c>
      <c r="H25" s="210">
        <v>0</v>
      </c>
      <c r="I25" s="210">
        <v>0</v>
      </c>
      <c r="J25" s="206" t="s">
        <v>22</v>
      </c>
    </row>
    <row r="26" spans="1:10" x14ac:dyDescent="0.25">
      <c r="A26" s="201" t="s">
        <v>44</v>
      </c>
      <c r="B26" s="201" t="s">
        <v>45</v>
      </c>
      <c r="C26" s="202">
        <v>62400</v>
      </c>
      <c r="D26" s="202">
        <f t="shared" si="0"/>
        <v>5200</v>
      </c>
      <c r="E26" s="203">
        <v>1</v>
      </c>
      <c r="F26" s="204" t="s">
        <v>12</v>
      </c>
      <c r="G26" s="204" t="s">
        <v>13</v>
      </c>
      <c r="H26" s="205">
        <v>0</v>
      </c>
      <c r="I26" s="205">
        <v>0</v>
      </c>
      <c r="J26" s="201" t="s">
        <v>22</v>
      </c>
    </row>
    <row r="27" spans="1:10" ht="15" customHeight="1" x14ac:dyDescent="0.25">
      <c r="A27" s="206" t="s">
        <v>46</v>
      </c>
      <c r="B27" s="206" t="s">
        <v>45</v>
      </c>
      <c r="C27" s="207">
        <v>85000</v>
      </c>
      <c r="D27" s="207">
        <f t="shared" si="0"/>
        <v>7083.333333333333</v>
      </c>
      <c r="E27" s="208">
        <v>1</v>
      </c>
      <c r="F27" s="209" t="s">
        <v>12</v>
      </c>
      <c r="G27" s="209" t="s">
        <v>13</v>
      </c>
      <c r="H27" s="210">
        <v>0</v>
      </c>
      <c r="I27" s="210">
        <v>0</v>
      </c>
      <c r="J27" s="206" t="s">
        <v>22</v>
      </c>
    </row>
    <row r="28" spans="1:10" ht="15" customHeight="1" x14ac:dyDescent="0.25">
      <c r="A28" s="201" t="s">
        <v>47</v>
      </c>
      <c r="B28" s="201" t="s">
        <v>48</v>
      </c>
      <c r="C28" s="202">
        <v>69992</v>
      </c>
      <c r="D28" s="202">
        <f t="shared" si="0"/>
        <v>5832.666666666667</v>
      </c>
      <c r="E28" s="203">
        <v>1</v>
      </c>
      <c r="F28" s="204" t="s">
        <v>12</v>
      </c>
      <c r="G28" s="204" t="s">
        <v>13</v>
      </c>
      <c r="H28" s="205">
        <v>0</v>
      </c>
      <c r="I28" s="205">
        <v>0</v>
      </c>
      <c r="J28" s="201" t="s">
        <v>22</v>
      </c>
    </row>
    <row r="29" spans="1:10" ht="15" customHeight="1" x14ac:dyDescent="0.25">
      <c r="A29" s="206" t="s">
        <v>49</v>
      </c>
      <c r="B29" s="206" t="s">
        <v>48</v>
      </c>
      <c r="C29" s="207">
        <v>52000</v>
      </c>
      <c r="D29" s="207">
        <f t="shared" si="0"/>
        <v>4333.333333333333</v>
      </c>
      <c r="E29" s="208">
        <v>1</v>
      </c>
      <c r="F29" s="209" t="s">
        <v>12</v>
      </c>
      <c r="G29" s="209" t="s">
        <v>13</v>
      </c>
      <c r="H29" s="210">
        <v>0</v>
      </c>
      <c r="I29" s="210">
        <v>0</v>
      </c>
      <c r="J29" s="206" t="s">
        <v>22</v>
      </c>
    </row>
    <row r="30" spans="1:10" ht="15" customHeight="1" x14ac:dyDescent="0.25">
      <c r="A30" s="211"/>
      <c r="B30" s="211"/>
      <c r="C30" s="212"/>
      <c r="D30" s="212"/>
      <c r="E30" s="211"/>
      <c r="F30" s="211"/>
      <c r="G30" s="211"/>
      <c r="H30" s="213"/>
      <c r="I30" s="213"/>
      <c r="J30" s="211"/>
    </row>
    <row r="31" spans="1:10" ht="15" customHeight="1" x14ac:dyDescent="0.25">
      <c r="A31" s="214" t="s">
        <v>50</v>
      </c>
      <c r="B31" s="215"/>
      <c r="C31" s="216"/>
      <c r="D31" s="216"/>
      <c r="E31" s="215"/>
      <c r="F31" s="215"/>
      <c r="G31" s="215"/>
      <c r="H31" s="217"/>
      <c r="I31" s="217"/>
      <c r="J31" s="215"/>
    </row>
    <row r="32" spans="1:10" ht="15" customHeight="1" x14ac:dyDescent="0.25">
      <c r="A32" s="201" t="s">
        <v>51</v>
      </c>
      <c r="B32" s="201" t="s">
        <v>52</v>
      </c>
      <c r="C32" s="202">
        <v>400000</v>
      </c>
      <c r="D32" s="202">
        <f t="shared" ref="D32:D38" si="1">C32/12</f>
        <v>33333.333333333336</v>
      </c>
      <c r="E32" s="203">
        <v>1</v>
      </c>
      <c r="F32" s="204" t="s">
        <v>53</v>
      </c>
      <c r="G32" s="204" t="s">
        <v>13</v>
      </c>
      <c r="H32" s="205">
        <v>1</v>
      </c>
      <c r="I32" s="205">
        <v>0.5</v>
      </c>
      <c r="J32" s="201" t="s">
        <v>54</v>
      </c>
    </row>
    <row r="33" spans="1:10" ht="15" customHeight="1" x14ac:dyDescent="0.25">
      <c r="A33" s="206" t="s">
        <v>55</v>
      </c>
      <c r="B33" s="206" t="s">
        <v>52</v>
      </c>
      <c r="C33" s="207">
        <v>400000</v>
      </c>
      <c r="D33" s="207">
        <f t="shared" si="1"/>
        <v>33333.333333333336</v>
      </c>
      <c r="E33" s="208">
        <v>1</v>
      </c>
      <c r="F33" s="209" t="s">
        <v>53</v>
      </c>
      <c r="G33" s="209" t="s">
        <v>13</v>
      </c>
      <c r="H33" s="210">
        <v>1</v>
      </c>
      <c r="I33" s="210">
        <v>0.2</v>
      </c>
      <c r="J33" s="206" t="s">
        <v>54</v>
      </c>
    </row>
    <row r="34" spans="1:10" ht="15" customHeight="1" x14ac:dyDescent="0.25">
      <c r="A34" s="201" t="s">
        <v>56</v>
      </c>
      <c r="B34" s="201" t="s">
        <v>57</v>
      </c>
      <c r="C34" s="202">
        <v>222000</v>
      </c>
      <c r="D34" s="202">
        <f t="shared" si="1"/>
        <v>18500</v>
      </c>
      <c r="E34" s="203">
        <v>1</v>
      </c>
      <c r="F34" s="204" t="s">
        <v>53</v>
      </c>
      <c r="G34" s="204" t="s">
        <v>13</v>
      </c>
      <c r="H34" s="205">
        <v>1</v>
      </c>
      <c r="I34" s="205">
        <v>0.5</v>
      </c>
      <c r="J34" s="201" t="s">
        <v>54</v>
      </c>
    </row>
    <row r="35" spans="1:10" x14ac:dyDescent="0.25">
      <c r="A35" s="206" t="s">
        <v>58</v>
      </c>
      <c r="B35" s="206" t="s">
        <v>59</v>
      </c>
      <c r="C35" s="207">
        <v>115000</v>
      </c>
      <c r="D35" s="207">
        <f t="shared" si="1"/>
        <v>9583.3333333333339</v>
      </c>
      <c r="E35" s="208">
        <v>1</v>
      </c>
      <c r="F35" s="209" t="s">
        <v>53</v>
      </c>
      <c r="G35" s="209" t="s">
        <v>13</v>
      </c>
      <c r="H35" s="210">
        <v>1</v>
      </c>
      <c r="I35" s="210">
        <v>0</v>
      </c>
      <c r="J35" s="206" t="s">
        <v>54</v>
      </c>
    </row>
    <row r="36" spans="1:10" x14ac:dyDescent="0.25">
      <c r="A36" s="201" t="s">
        <v>60</v>
      </c>
      <c r="B36" s="201" t="s">
        <v>61</v>
      </c>
      <c r="C36" s="202">
        <v>250000</v>
      </c>
      <c r="D36" s="202">
        <f t="shared" si="1"/>
        <v>20833.333333333332</v>
      </c>
      <c r="E36" s="203">
        <v>1</v>
      </c>
      <c r="F36" s="204" t="s">
        <v>53</v>
      </c>
      <c r="G36" s="204" t="s">
        <v>13</v>
      </c>
      <c r="H36" s="205">
        <v>0</v>
      </c>
      <c r="I36" s="205">
        <v>0.2</v>
      </c>
      <c r="J36" s="201" t="s">
        <v>54</v>
      </c>
    </row>
    <row r="37" spans="1:10" x14ac:dyDescent="0.25">
      <c r="A37" s="206" t="s">
        <v>62</v>
      </c>
      <c r="B37" s="206" t="s">
        <v>63</v>
      </c>
      <c r="C37" s="207">
        <v>150000</v>
      </c>
      <c r="D37" s="207">
        <f t="shared" si="1"/>
        <v>12500</v>
      </c>
      <c r="E37" s="208">
        <v>1</v>
      </c>
      <c r="F37" s="209" t="s">
        <v>53</v>
      </c>
      <c r="G37" s="209" t="s">
        <v>13</v>
      </c>
      <c r="H37" s="210">
        <v>0</v>
      </c>
      <c r="I37" s="210">
        <v>0.75</v>
      </c>
      <c r="J37" s="206" t="s">
        <v>54</v>
      </c>
    </row>
    <row r="38" spans="1:10" x14ac:dyDescent="0.25">
      <c r="A38" s="201" t="s">
        <v>64</v>
      </c>
      <c r="B38" s="201" t="s">
        <v>65</v>
      </c>
      <c r="C38" s="202">
        <v>250000</v>
      </c>
      <c r="D38" s="202">
        <f t="shared" si="1"/>
        <v>20833.333333333332</v>
      </c>
      <c r="E38" s="203">
        <v>1</v>
      </c>
      <c r="F38" s="204" t="s">
        <v>53</v>
      </c>
      <c r="G38" s="204" t="s">
        <v>13</v>
      </c>
      <c r="H38" s="205">
        <v>0</v>
      </c>
      <c r="I38" s="205">
        <v>0.75</v>
      </c>
      <c r="J38" s="201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566</v>
      </c>
      <c r="B1" s="2" t="s">
        <v>567</v>
      </c>
    </row>
    <row r="2" spans="1:2" ht="15" customHeight="1" x14ac:dyDescent="0.25">
      <c r="A2" s="117">
        <v>1</v>
      </c>
      <c r="B2" s="118">
        <f>(1+Assumptions!$B$26)^INT((A2-1)/12)</f>
        <v>1</v>
      </c>
    </row>
    <row r="3" spans="1:2" ht="15" customHeight="1" x14ac:dyDescent="0.25">
      <c r="A3" s="117">
        <v>2</v>
      </c>
      <c r="B3" s="118">
        <f>(1+Assumptions!$B$26)^INT((A3-1)/12)</f>
        <v>1</v>
      </c>
    </row>
    <row r="4" spans="1:2" ht="15" customHeight="1" x14ac:dyDescent="0.25">
      <c r="A4" s="117">
        <v>3</v>
      </c>
      <c r="B4" s="118">
        <f>(1+Assumptions!$B$26)^INT((A4-1)/12)</f>
        <v>1</v>
      </c>
    </row>
    <row r="5" spans="1:2" ht="15" customHeight="1" x14ac:dyDescent="0.25">
      <c r="A5" s="117">
        <v>4</v>
      </c>
      <c r="B5" s="118">
        <f>(1+Assumptions!$B$26)^INT((A5-1)/12)</f>
        <v>1</v>
      </c>
    </row>
    <row r="6" spans="1:2" ht="15" customHeight="1" x14ac:dyDescent="0.25">
      <c r="A6" s="117">
        <v>5</v>
      </c>
      <c r="B6" s="118">
        <f>(1+Assumptions!$B$26)^INT((A6-1)/12)</f>
        <v>1</v>
      </c>
    </row>
    <row r="7" spans="1:2" ht="15" customHeight="1" x14ac:dyDescent="0.25">
      <c r="A7" s="117">
        <v>6</v>
      </c>
      <c r="B7" s="118">
        <f>(1+Assumptions!$B$26)^INT((A7-1)/12)</f>
        <v>1</v>
      </c>
    </row>
    <row r="8" spans="1:2" ht="15" customHeight="1" x14ac:dyDescent="0.25">
      <c r="A8" s="117">
        <v>7</v>
      </c>
      <c r="B8" s="118">
        <f>(1+Assumptions!$B$26)^INT((A8-1)/12)</f>
        <v>1</v>
      </c>
    </row>
    <row r="9" spans="1:2" ht="15" customHeight="1" x14ac:dyDescent="0.25">
      <c r="A9" s="117">
        <v>8</v>
      </c>
      <c r="B9" s="118">
        <f>(1+Assumptions!$B$26)^INT((A9-1)/12)</f>
        <v>1</v>
      </c>
    </row>
    <row r="10" spans="1:2" ht="15" customHeight="1" x14ac:dyDescent="0.25">
      <c r="A10" s="117">
        <v>9</v>
      </c>
      <c r="B10" s="118">
        <f>(1+Assumptions!$B$26)^INT((A10-1)/12)</f>
        <v>1</v>
      </c>
    </row>
    <row r="11" spans="1:2" ht="15" customHeight="1" x14ac:dyDescent="0.25">
      <c r="A11" s="117">
        <v>10</v>
      </c>
      <c r="B11" s="118">
        <f>(1+Assumptions!$B$26)^INT((A11-1)/12)</f>
        <v>1</v>
      </c>
    </row>
    <row r="12" spans="1:2" ht="15" customHeight="1" x14ac:dyDescent="0.25">
      <c r="A12" s="117">
        <v>11</v>
      </c>
      <c r="B12" s="118">
        <f>(1+Assumptions!$B$26)^INT((A12-1)/12)</f>
        <v>1</v>
      </c>
    </row>
    <row r="13" spans="1:2" ht="15" customHeight="1" x14ac:dyDescent="0.25">
      <c r="A13" s="117">
        <v>12</v>
      </c>
      <c r="B13" s="118">
        <f>(1+Assumptions!$B$26)^INT((A13-1)/12)</f>
        <v>1</v>
      </c>
    </row>
    <row r="14" spans="1:2" ht="15" customHeight="1" x14ac:dyDescent="0.25">
      <c r="A14" s="117">
        <v>13</v>
      </c>
      <c r="B14" s="118">
        <f>(1+Assumptions!$B$26)^INT((A14-1)/12)</f>
        <v>1.02</v>
      </c>
    </row>
    <row r="15" spans="1:2" ht="15" customHeight="1" x14ac:dyDescent="0.25">
      <c r="A15" s="117">
        <v>14</v>
      </c>
      <c r="B15" s="118">
        <f>(1+Assumptions!$B$26)^INT((A15-1)/12)</f>
        <v>1.02</v>
      </c>
    </row>
    <row r="16" spans="1:2" ht="15" customHeight="1" x14ac:dyDescent="0.25">
      <c r="A16" s="117">
        <v>15</v>
      </c>
      <c r="B16" s="118">
        <f>(1+Assumptions!$B$26)^INT((A16-1)/12)</f>
        <v>1.02</v>
      </c>
    </row>
    <row r="17" spans="1:2" ht="15" customHeight="1" x14ac:dyDescent="0.25">
      <c r="A17" s="117">
        <v>16</v>
      </c>
      <c r="B17" s="118">
        <f>(1+Assumptions!$B$26)^INT((A17-1)/12)</f>
        <v>1.02</v>
      </c>
    </row>
    <row r="18" spans="1:2" ht="15" customHeight="1" x14ac:dyDescent="0.25">
      <c r="A18" s="117">
        <v>17</v>
      </c>
      <c r="B18" s="118">
        <f>(1+Assumptions!$B$26)^INT((A18-1)/12)</f>
        <v>1.02</v>
      </c>
    </row>
    <row r="19" spans="1:2" ht="15" customHeight="1" x14ac:dyDescent="0.25">
      <c r="A19" s="117">
        <v>18</v>
      </c>
      <c r="B19" s="118">
        <f>(1+Assumptions!$B$26)^INT((A19-1)/12)</f>
        <v>1.02</v>
      </c>
    </row>
    <row r="20" spans="1:2" ht="15" customHeight="1" x14ac:dyDescent="0.25">
      <c r="A20" s="117">
        <v>19</v>
      </c>
      <c r="B20" s="118">
        <f>(1+Assumptions!$B$26)^INT((A20-1)/12)</f>
        <v>1.02</v>
      </c>
    </row>
    <row r="21" spans="1:2" ht="15" customHeight="1" x14ac:dyDescent="0.25">
      <c r="A21" s="117">
        <v>20</v>
      </c>
      <c r="B21" s="118">
        <f>(1+Assumptions!$B$26)^INT((A21-1)/12)</f>
        <v>1.02</v>
      </c>
    </row>
    <row r="22" spans="1:2" ht="15" customHeight="1" x14ac:dyDescent="0.25">
      <c r="A22" s="117">
        <v>21</v>
      </c>
      <c r="B22" s="118">
        <f>(1+Assumptions!$B$26)^INT((A22-1)/12)</f>
        <v>1.02</v>
      </c>
    </row>
    <row r="23" spans="1:2" ht="15" customHeight="1" x14ac:dyDescent="0.25">
      <c r="A23" s="117">
        <v>22</v>
      </c>
      <c r="B23" s="118">
        <f>(1+Assumptions!$B$26)^INT((A23-1)/12)</f>
        <v>1.02</v>
      </c>
    </row>
    <row r="24" spans="1:2" ht="15" customHeight="1" x14ac:dyDescent="0.25">
      <c r="A24" s="117">
        <v>23</v>
      </c>
      <c r="B24" s="118">
        <f>(1+Assumptions!$B$26)^INT((A24-1)/12)</f>
        <v>1.02</v>
      </c>
    </row>
    <row r="25" spans="1:2" ht="15" customHeight="1" x14ac:dyDescent="0.25">
      <c r="A25" s="117">
        <v>24</v>
      </c>
      <c r="B25" s="118">
        <f>(1+Assumptions!$B$26)^INT((A25-1)/12)</f>
        <v>1.02</v>
      </c>
    </row>
    <row r="26" spans="1:2" ht="15" customHeight="1" x14ac:dyDescent="0.25">
      <c r="A26" s="117">
        <v>25</v>
      </c>
      <c r="B26" s="118">
        <f>(1+Assumptions!$B$26)^INT((A26-1)/12)</f>
        <v>1.0404</v>
      </c>
    </row>
    <row r="27" spans="1:2" ht="15" customHeight="1" x14ac:dyDescent="0.25">
      <c r="A27" s="117">
        <v>26</v>
      </c>
      <c r="B27" s="118">
        <f>(1+Assumptions!$B$26)^INT((A27-1)/12)</f>
        <v>1.0404</v>
      </c>
    </row>
    <row r="28" spans="1:2" ht="15" customHeight="1" x14ac:dyDescent="0.25">
      <c r="A28" s="117">
        <v>27</v>
      </c>
      <c r="B28" s="118">
        <f>(1+Assumptions!$B$26)^INT((A28-1)/12)</f>
        <v>1.0404</v>
      </c>
    </row>
    <row r="29" spans="1:2" ht="15" customHeight="1" x14ac:dyDescent="0.25">
      <c r="A29" s="117">
        <v>28</v>
      </c>
      <c r="B29" s="118">
        <f>(1+Assumptions!$B$26)^INT((A29-1)/12)</f>
        <v>1.0404</v>
      </c>
    </row>
    <row r="30" spans="1:2" ht="15" customHeight="1" x14ac:dyDescent="0.25">
      <c r="A30" s="117">
        <v>29</v>
      </c>
      <c r="B30" s="118">
        <f>(1+Assumptions!$B$26)^INT((A30-1)/12)</f>
        <v>1.0404</v>
      </c>
    </row>
    <row r="31" spans="1:2" ht="15" customHeight="1" x14ac:dyDescent="0.25">
      <c r="A31" s="117">
        <v>30</v>
      </c>
      <c r="B31" s="118">
        <f>(1+Assumptions!$B$26)^INT((A31-1)/12)</f>
        <v>1.0404</v>
      </c>
    </row>
    <row r="32" spans="1:2" ht="15" customHeight="1" x14ac:dyDescent="0.25">
      <c r="A32" s="117">
        <v>31</v>
      </c>
      <c r="B32" s="118">
        <f>(1+Assumptions!$B$26)^INT((A32-1)/12)</f>
        <v>1.0404</v>
      </c>
    </row>
    <row r="33" spans="1:2" ht="15" customHeight="1" x14ac:dyDescent="0.25">
      <c r="A33" s="117">
        <v>32</v>
      </c>
      <c r="B33" s="118">
        <f>(1+Assumptions!$B$26)^INT((A33-1)/12)</f>
        <v>1.0404</v>
      </c>
    </row>
    <row r="34" spans="1:2" ht="15" customHeight="1" x14ac:dyDescent="0.25">
      <c r="A34" s="117">
        <v>33</v>
      </c>
      <c r="B34" s="118">
        <f>(1+Assumptions!$B$26)^INT((A34-1)/12)</f>
        <v>1.0404</v>
      </c>
    </row>
    <row r="35" spans="1:2" ht="15" customHeight="1" x14ac:dyDescent="0.25">
      <c r="A35" s="117">
        <v>34</v>
      </c>
      <c r="B35" s="118">
        <f>(1+Assumptions!$B$26)^INT((A35-1)/12)</f>
        <v>1.0404</v>
      </c>
    </row>
    <row r="36" spans="1:2" ht="15" customHeight="1" x14ac:dyDescent="0.25">
      <c r="A36" s="117">
        <v>35</v>
      </c>
      <c r="B36" s="118">
        <f>(1+Assumptions!$B$26)^INT((A36-1)/12)</f>
        <v>1.0404</v>
      </c>
    </row>
    <row r="37" spans="1:2" ht="15" customHeight="1" x14ac:dyDescent="0.25">
      <c r="A37" s="117">
        <v>36</v>
      </c>
      <c r="B37" s="118">
        <f>(1+Assumptions!$B$26)^INT((A37-1)/12)</f>
        <v>1.0404</v>
      </c>
    </row>
    <row r="38" spans="1:2" ht="15" customHeight="1" x14ac:dyDescent="0.25">
      <c r="A38" s="117">
        <v>37</v>
      </c>
      <c r="B38" s="118">
        <f>(1+Assumptions!$B$26)^INT((A38-1)/12)</f>
        <v>1.0612079999999999</v>
      </c>
    </row>
    <row r="39" spans="1:2" ht="15" customHeight="1" x14ac:dyDescent="0.25">
      <c r="A39" s="117">
        <v>38</v>
      </c>
      <c r="B39" s="118">
        <f>(1+Assumptions!$B$26)^INT((A39-1)/12)</f>
        <v>1.0612079999999999</v>
      </c>
    </row>
    <row r="40" spans="1:2" ht="15" customHeight="1" x14ac:dyDescent="0.25">
      <c r="A40" s="117">
        <v>39</v>
      </c>
      <c r="B40" s="118">
        <f>(1+Assumptions!$B$26)^INT((A40-1)/12)</f>
        <v>1.0612079999999999</v>
      </c>
    </row>
    <row r="41" spans="1:2" ht="15" customHeight="1" x14ac:dyDescent="0.25">
      <c r="A41" s="117">
        <v>40</v>
      </c>
      <c r="B41" s="118">
        <f>(1+Assumptions!$B$26)^INT((A41-1)/12)</f>
        <v>1.0612079999999999</v>
      </c>
    </row>
    <row r="42" spans="1:2" ht="15" customHeight="1" x14ac:dyDescent="0.25">
      <c r="A42" s="117">
        <v>41</v>
      </c>
      <c r="B42" s="118">
        <f>(1+Assumptions!$B$26)^INT((A42-1)/12)</f>
        <v>1.0612079999999999</v>
      </c>
    </row>
    <row r="43" spans="1:2" ht="15" customHeight="1" x14ac:dyDescent="0.25">
      <c r="A43" s="117">
        <v>42</v>
      </c>
      <c r="B43" s="118">
        <f>(1+Assumptions!$B$26)^INT((A43-1)/12)</f>
        <v>1.0612079999999999</v>
      </c>
    </row>
    <row r="44" spans="1:2" ht="15" customHeight="1" x14ac:dyDescent="0.25">
      <c r="A44" s="117">
        <v>43</v>
      </c>
      <c r="B44" s="118">
        <f>(1+Assumptions!$B$26)^INT((A44-1)/12)</f>
        <v>1.0612079999999999</v>
      </c>
    </row>
    <row r="45" spans="1:2" ht="15" customHeight="1" x14ac:dyDescent="0.25">
      <c r="A45" s="117">
        <v>44</v>
      </c>
      <c r="B45" s="118">
        <f>(1+Assumptions!$B$26)^INT((A45-1)/12)</f>
        <v>1.0612079999999999</v>
      </c>
    </row>
    <row r="46" spans="1:2" ht="15" customHeight="1" x14ac:dyDescent="0.25">
      <c r="A46" s="117">
        <v>45</v>
      </c>
      <c r="B46" s="118">
        <f>(1+Assumptions!$B$26)^INT((A46-1)/12)</f>
        <v>1.0612079999999999</v>
      </c>
    </row>
    <row r="47" spans="1:2" ht="15" customHeight="1" x14ac:dyDescent="0.25">
      <c r="A47" s="117">
        <v>46</v>
      </c>
      <c r="B47" s="118">
        <f>(1+Assumptions!$B$26)^INT((A47-1)/12)</f>
        <v>1.0612079999999999</v>
      </c>
    </row>
    <row r="48" spans="1:2" ht="15" customHeight="1" x14ac:dyDescent="0.25">
      <c r="A48" s="117">
        <v>47</v>
      </c>
      <c r="B48" s="118">
        <f>(1+Assumptions!$B$26)^INT((A48-1)/12)</f>
        <v>1.0612079999999999</v>
      </c>
    </row>
    <row r="49" spans="1:2" ht="15" customHeight="1" x14ac:dyDescent="0.25">
      <c r="A49" s="117">
        <v>48</v>
      </c>
      <c r="B49" s="118">
        <f>(1+Assumptions!$B$26)^INT((A49-1)/12)</f>
        <v>1.0612079999999999</v>
      </c>
    </row>
    <row r="50" spans="1:2" ht="15" customHeight="1" x14ac:dyDescent="0.25">
      <c r="A50" s="117">
        <v>49</v>
      </c>
      <c r="B50" s="118">
        <f>(1+Assumptions!$B$26)^INT((A50-1)/12)</f>
        <v>1.08243216</v>
      </c>
    </row>
    <row r="51" spans="1:2" ht="15" customHeight="1" x14ac:dyDescent="0.25">
      <c r="A51" s="117">
        <v>50</v>
      </c>
      <c r="B51" s="118">
        <f>(1+Assumptions!$B$26)^INT((A51-1)/12)</f>
        <v>1.08243216</v>
      </c>
    </row>
    <row r="52" spans="1:2" ht="15" customHeight="1" x14ac:dyDescent="0.25">
      <c r="A52" s="117">
        <v>51</v>
      </c>
      <c r="B52" s="118">
        <f>(1+Assumptions!$B$26)^INT((A52-1)/12)</f>
        <v>1.08243216</v>
      </c>
    </row>
    <row r="53" spans="1:2" ht="15" customHeight="1" x14ac:dyDescent="0.25">
      <c r="A53" s="117">
        <v>52</v>
      </c>
      <c r="B53" s="118">
        <f>(1+Assumptions!$B$26)^INT((A53-1)/12)</f>
        <v>1.08243216</v>
      </c>
    </row>
    <row r="54" spans="1:2" ht="15" customHeight="1" x14ac:dyDescent="0.25">
      <c r="A54" s="117">
        <v>53</v>
      </c>
      <c r="B54" s="118">
        <f>(1+Assumptions!$B$26)^INT((A54-1)/12)</f>
        <v>1.08243216</v>
      </c>
    </row>
    <row r="55" spans="1:2" ht="15" customHeight="1" x14ac:dyDescent="0.25">
      <c r="A55" s="117">
        <v>54</v>
      </c>
      <c r="B55" s="118">
        <f>(1+Assumptions!$B$26)^INT((A55-1)/12)</f>
        <v>1.08243216</v>
      </c>
    </row>
    <row r="56" spans="1:2" ht="15" customHeight="1" x14ac:dyDescent="0.25">
      <c r="A56" s="117">
        <v>55</v>
      </c>
      <c r="B56" s="118">
        <f>(1+Assumptions!$B$26)^INT((A56-1)/12)</f>
        <v>1.08243216</v>
      </c>
    </row>
    <row r="57" spans="1:2" ht="15" customHeight="1" x14ac:dyDescent="0.25">
      <c r="A57" s="117">
        <v>56</v>
      </c>
      <c r="B57" s="118">
        <f>(1+Assumptions!$B$26)^INT((A57-1)/12)</f>
        <v>1.08243216</v>
      </c>
    </row>
    <row r="58" spans="1:2" ht="15" customHeight="1" x14ac:dyDescent="0.25">
      <c r="A58" s="117">
        <v>57</v>
      </c>
      <c r="B58" s="118">
        <f>(1+Assumptions!$B$26)^INT((A58-1)/12)</f>
        <v>1.08243216</v>
      </c>
    </row>
    <row r="59" spans="1:2" ht="15" customHeight="1" x14ac:dyDescent="0.25">
      <c r="A59" s="117">
        <v>58</v>
      </c>
      <c r="B59" s="118">
        <f>(1+Assumptions!$B$26)^INT((A59-1)/12)</f>
        <v>1.08243216</v>
      </c>
    </row>
    <row r="60" spans="1:2" ht="15" customHeight="1" x14ac:dyDescent="0.25">
      <c r="A60" s="117">
        <v>59</v>
      </c>
      <c r="B60" s="118">
        <f>(1+Assumptions!$B$26)^INT((A60-1)/12)</f>
        <v>1.08243216</v>
      </c>
    </row>
    <row r="61" spans="1:2" ht="15" customHeight="1" x14ac:dyDescent="0.25">
      <c r="A61" s="117">
        <v>60</v>
      </c>
      <c r="B61" s="118">
        <f>(1+Assumptions!$B$26)^INT((A61-1)/12)</f>
        <v>1.08243216</v>
      </c>
    </row>
    <row r="62" spans="1:2" ht="15" customHeight="1" x14ac:dyDescent="0.25">
      <c r="A62" s="117">
        <v>61</v>
      </c>
      <c r="B62" s="118">
        <f>(1+Assumptions!$B$26)^INT((A62-1)/12)</f>
        <v>1.1040808032</v>
      </c>
    </row>
    <row r="63" spans="1:2" ht="15" customHeight="1" x14ac:dyDescent="0.25">
      <c r="A63" s="117">
        <v>62</v>
      </c>
      <c r="B63" s="118">
        <f>(1+Assumptions!$B$26)^INT((A63-1)/12)</f>
        <v>1.1040808032</v>
      </c>
    </row>
    <row r="64" spans="1:2" ht="15" customHeight="1" x14ac:dyDescent="0.25">
      <c r="A64" s="117">
        <v>63</v>
      </c>
      <c r="B64" s="118">
        <f>(1+Assumptions!$B$26)^INT((A64-1)/12)</f>
        <v>1.1040808032</v>
      </c>
    </row>
    <row r="65" spans="1:2" ht="15" customHeight="1" x14ac:dyDescent="0.25">
      <c r="A65" s="117">
        <v>64</v>
      </c>
      <c r="B65" s="118">
        <f>(1+Assumptions!$B$26)^INT((A65-1)/12)</f>
        <v>1.1040808032</v>
      </c>
    </row>
    <row r="66" spans="1:2" ht="15" customHeight="1" x14ac:dyDescent="0.25">
      <c r="A66" s="117">
        <v>65</v>
      </c>
      <c r="B66" s="118">
        <f>(1+Assumptions!$B$26)^INT((A66-1)/12)</f>
        <v>1.1040808032</v>
      </c>
    </row>
    <row r="67" spans="1:2" ht="15" customHeight="1" x14ac:dyDescent="0.25">
      <c r="A67" s="117">
        <v>66</v>
      </c>
      <c r="B67" s="118">
        <f>(1+Assumptions!$B$26)^INT((A67-1)/12)</f>
        <v>1.1040808032</v>
      </c>
    </row>
    <row r="68" spans="1:2" ht="15" customHeight="1" x14ac:dyDescent="0.25">
      <c r="A68" s="117">
        <v>67</v>
      </c>
      <c r="B68" s="118">
        <f>(1+Assumptions!$B$26)^INT((A68-1)/12)</f>
        <v>1.1040808032</v>
      </c>
    </row>
    <row r="69" spans="1:2" ht="15" customHeight="1" x14ac:dyDescent="0.25">
      <c r="A69" s="117">
        <v>68</v>
      </c>
      <c r="B69" s="118">
        <f>(1+Assumptions!$B$26)^INT((A69-1)/12)</f>
        <v>1.1040808032</v>
      </c>
    </row>
    <row r="70" spans="1:2" ht="15" customHeight="1" x14ac:dyDescent="0.25">
      <c r="A70" s="117">
        <v>69</v>
      </c>
      <c r="B70" s="118">
        <f>(1+Assumptions!$B$26)^INT((A70-1)/12)</f>
        <v>1.1040808032</v>
      </c>
    </row>
    <row r="71" spans="1:2" ht="15" customHeight="1" x14ac:dyDescent="0.25">
      <c r="A71" s="117">
        <v>70</v>
      </c>
      <c r="B71" s="118">
        <f>(1+Assumptions!$B$26)^INT((A71-1)/12)</f>
        <v>1.1040808032</v>
      </c>
    </row>
    <row r="72" spans="1:2" ht="15" customHeight="1" x14ac:dyDescent="0.25">
      <c r="A72" s="117">
        <v>71</v>
      </c>
      <c r="B72" s="118">
        <f>(1+Assumptions!$B$26)^INT((A72-1)/12)</f>
        <v>1.1040808032</v>
      </c>
    </row>
    <row r="73" spans="1:2" ht="15" customHeight="1" x14ac:dyDescent="0.25">
      <c r="A73" s="117">
        <v>72</v>
      </c>
      <c r="B73" s="118">
        <f>(1+Assumptions!$B$26)^INT((A73-1)/12)</f>
        <v>1.1040808032</v>
      </c>
    </row>
    <row r="74" spans="1:2" ht="15" customHeight="1" x14ac:dyDescent="0.25">
      <c r="A74" s="117">
        <v>73</v>
      </c>
      <c r="B74" s="118">
        <f>(1+Assumptions!$B$26)^INT((A74-1)/12)</f>
        <v>1.1261624192640001</v>
      </c>
    </row>
    <row r="75" spans="1:2" ht="15" customHeight="1" x14ac:dyDescent="0.25">
      <c r="A75" s="117">
        <v>74</v>
      </c>
      <c r="B75" s="118">
        <f>(1+Assumptions!$B$26)^INT((A75-1)/12)</f>
        <v>1.1261624192640001</v>
      </c>
    </row>
    <row r="76" spans="1:2" ht="15" customHeight="1" x14ac:dyDescent="0.25">
      <c r="A76" s="117">
        <v>75</v>
      </c>
      <c r="B76" s="118">
        <f>(1+Assumptions!$B$26)^INT((A76-1)/12)</f>
        <v>1.1261624192640001</v>
      </c>
    </row>
    <row r="77" spans="1:2" ht="15" customHeight="1" x14ac:dyDescent="0.25">
      <c r="A77" s="117">
        <v>76</v>
      </c>
      <c r="B77" s="118">
        <f>(1+Assumptions!$B$26)^INT((A77-1)/12)</f>
        <v>1.1261624192640001</v>
      </c>
    </row>
    <row r="78" spans="1:2" ht="15" customHeight="1" x14ac:dyDescent="0.25">
      <c r="A78" s="117">
        <v>77</v>
      </c>
      <c r="B78" s="118">
        <f>(1+Assumptions!$B$26)^INT((A78-1)/12)</f>
        <v>1.1261624192640001</v>
      </c>
    </row>
    <row r="79" spans="1:2" ht="15" customHeight="1" x14ac:dyDescent="0.25">
      <c r="A79" s="117">
        <v>78</v>
      </c>
      <c r="B79" s="118">
        <f>(1+Assumptions!$B$26)^INT((A79-1)/12)</f>
        <v>1.1261624192640001</v>
      </c>
    </row>
    <row r="80" spans="1:2" ht="15" customHeight="1" x14ac:dyDescent="0.25">
      <c r="A80" s="117">
        <v>79</v>
      </c>
      <c r="B80" s="118">
        <f>(1+Assumptions!$B$26)^INT((A80-1)/12)</f>
        <v>1.1261624192640001</v>
      </c>
    </row>
    <row r="81" spans="1:2" ht="15" customHeight="1" x14ac:dyDescent="0.25">
      <c r="A81" s="117">
        <v>80</v>
      </c>
      <c r="B81" s="118">
        <f>(1+Assumptions!$B$26)^INT((A81-1)/12)</f>
        <v>1.1261624192640001</v>
      </c>
    </row>
    <row r="82" spans="1:2" ht="15" customHeight="1" x14ac:dyDescent="0.25">
      <c r="A82" s="117">
        <v>81</v>
      </c>
      <c r="B82" s="118">
        <f>(1+Assumptions!$B$26)^INT((A82-1)/12)</f>
        <v>1.1261624192640001</v>
      </c>
    </row>
    <row r="83" spans="1:2" ht="15" customHeight="1" x14ac:dyDescent="0.25">
      <c r="A83" s="117">
        <v>82</v>
      </c>
      <c r="B83" s="118">
        <f>(1+Assumptions!$B$26)^INT((A83-1)/12)</f>
        <v>1.1261624192640001</v>
      </c>
    </row>
    <row r="84" spans="1:2" ht="15" customHeight="1" x14ac:dyDescent="0.25">
      <c r="A84" s="117">
        <v>83</v>
      </c>
      <c r="B84" s="118">
        <f>(1+Assumptions!$B$26)^INT((A84-1)/12)</f>
        <v>1.1261624192640001</v>
      </c>
    </row>
    <row r="85" spans="1:2" ht="15" customHeight="1" x14ac:dyDescent="0.25">
      <c r="A85" s="117">
        <v>84</v>
      </c>
      <c r="B85" s="118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110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20" t="s">
        <v>568</v>
      </c>
      <c r="B1" s="219"/>
      <c r="C1" s="219"/>
      <c r="D1" s="219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112</v>
      </c>
      <c r="C3" s="117">
        <v>1</v>
      </c>
      <c r="D3" s="117">
        <v>2</v>
      </c>
      <c r="E3" s="117">
        <v>3</v>
      </c>
      <c r="F3" s="117">
        <v>4</v>
      </c>
      <c r="G3" s="117">
        <v>5</v>
      </c>
      <c r="H3" s="117">
        <v>6</v>
      </c>
      <c r="I3" s="117">
        <v>7</v>
      </c>
      <c r="J3" s="117">
        <v>8</v>
      </c>
      <c r="K3" s="117">
        <v>9</v>
      </c>
      <c r="L3" s="117">
        <v>10</v>
      </c>
      <c r="M3" s="117">
        <v>11</v>
      </c>
      <c r="N3" s="117">
        <v>12</v>
      </c>
      <c r="O3" s="117">
        <v>13</v>
      </c>
      <c r="P3" s="117">
        <v>14</v>
      </c>
      <c r="Q3" s="117">
        <v>15</v>
      </c>
      <c r="R3" s="117">
        <v>16</v>
      </c>
      <c r="S3" s="117">
        <v>17</v>
      </c>
      <c r="T3" s="117">
        <v>18</v>
      </c>
      <c r="U3" s="117">
        <v>19</v>
      </c>
      <c r="V3" s="117">
        <v>20</v>
      </c>
      <c r="W3" s="117">
        <v>21</v>
      </c>
      <c r="X3" s="117">
        <v>22</v>
      </c>
      <c r="Y3" s="117">
        <v>23</v>
      </c>
      <c r="Z3" s="117">
        <v>24</v>
      </c>
      <c r="AA3" s="117">
        <v>25</v>
      </c>
      <c r="AB3" s="117">
        <v>26</v>
      </c>
      <c r="AC3" s="117">
        <v>27</v>
      </c>
      <c r="AD3" s="117">
        <v>28</v>
      </c>
      <c r="AE3" s="117">
        <v>29</v>
      </c>
      <c r="AF3" s="117">
        <v>30</v>
      </c>
      <c r="AG3" s="117">
        <v>31</v>
      </c>
      <c r="AH3" s="117">
        <v>32</v>
      </c>
      <c r="AI3" s="117">
        <v>33</v>
      </c>
      <c r="AJ3" s="117">
        <v>34</v>
      </c>
      <c r="AK3" s="117">
        <v>35</v>
      </c>
      <c r="AL3" s="117">
        <v>36</v>
      </c>
      <c r="AM3" s="117">
        <v>37</v>
      </c>
      <c r="AN3" s="117">
        <v>38</v>
      </c>
      <c r="AO3" s="117">
        <v>39</v>
      </c>
      <c r="AP3" s="117">
        <v>40</v>
      </c>
      <c r="AQ3" s="117">
        <v>41</v>
      </c>
      <c r="AR3" s="117">
        <v>42</v>
      </c>
      <c r="AS3" s="117">
        <v>43</v>
      </c>
      <c r="AT3" s="117">
        <v>44</v>
      </c>
      <c r="AU3" s="117">
        <v>45</v>
      </c>
      <c r="AV3" s="117">
        <v>46</v>
      </c>
      <c r="AW3" s="117">
        <v>47</v>
      </c>
      <c r="AX3" s="117">
        <v>48</v>
      </c>
      <c r="AY3" s="117">
        <v>49</v>
      </c>
      <c r="AZ3" s="117">
        <v>50</v>
      </c>
      <c r="BA3" s="117">
        <v>51</v>
      </c>
      <c r="BB3" s="117">
        <v>52</v>
      </c>
      <c r="BC3" s="117">
        <v>53</v>
      </c>
      <c r="BD3" s="117">
        <v>54</v>
      </c>
      <c r="BE3" s="117">
        <v>55</v>
      </c>
      <c r="BF3" s="117">
        <v>56</v>
      </c>
      <c r="BG3" s="117">
        <v>57</v>
      </c>
      <c r="BH3" s="117">
        <v>58</v>
      </c>
      <c r="BI3" s="117">
        <v>59</v>
      </c>
      <c r="BJ3" s="117">
        <v>60</v>
      </c>
      <c r="BK3" s="117">
        <v>61</v>
      </c>
      <c r="BL3" s="117">
        <v>62</v>
      </c>
      <c r="BM3" s="117">
        <v>63</v>
      </c>
      <c r="BN3" s="117">
        <v>64</v>
      </c>
      <c r="BO3" s="117">
        <v>65</v>
      </c>
      <c r="BP3" s="117">
        <v>66</v>
      </c>
      <c r="BQ3" s="117">
        <v>67</v>
      </c>
      <c r="BR3" s="117">
        <v>68</v>
      </c>
      <c r="BS3" s="117">
        <v>69</v>
      </c>
      <c r="BT3" s="117">
        <v>70</v>
      </c>
      <c r="BU3" s="117">
        <v>71</v>
      </c>
      <c r="BV3" s="117">
        <v>72</v>
      </c>
      <c r="BW3" s="117">
        <v>73</v>
      </c>
      <c r="BX3" s="117">
        <v>74</v>
      </c>
      <c r="BY3" s="117">
        <v>75</v>
      </c>
      <c r="BZ3" s="117">
        <v>76</v>
      </c>
      <c r="CA3" s="117">
        <v>77</v>
      </c>
      <c r="CB3" s="117">
        <v>78</v>
      </c>
      <c r="CC3" s="117">
        <v>79</v>
      </c>
      <c r="CD3" s="117">
        <v>80</v>
      </c>
      <c r="CE3" s="117">
        <v>81</v>
      </c>
      <c r="CF3" s="117">
        <v>82</v>
      </c>
      <c r="CG3" s="117">
        <v>83</v>
      </c>
      <c r="CH3" s="117">
        <v>84</v>
      </c>
    </row>
    <row r="4" spans="1:86" ht="15" customHeight="1" x14ac:dyDescent="0.25">
      <c r="A4" s="99" t="s">
        <v>569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9" t="s">
        <v>570</v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1" t="s">
        <v>571</v>
      </c>
    </row>
    <row r="8" spans="1:86" ht="15" customHeight="1" x14ac:dyDescent="0.25">
      <c r="A8" s="99" t="s">
        <v>223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224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115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225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226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119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120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123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9" t="s">
        <v>227</v>
      </c>
      <c r="C16" s="120">
        <f t="shared" ref="C16:AH16" si="0">SUM(C8:C15)</f>
        <v>24716840.3468768</v>
      </c>
      <c r="D16" s="120">
        <f t="shared" si="0"/>
        <v>22881539.176573537</v>
      </c>
      <c r="E16" s="120">
        <f t="shared" si="0"/>
        <v>20879271.912436187</v>
      </c>
      <c r="F16" s="120">
        <f t="shared" si="0"/>
        <v>60836243.104082987</v>
      </c>
      <c r="G16" s="120">
        <f t="shared" si="0"/>
        <v>57578778.6797034</v>
      </c>
      <c r="H16" s="120">
        <f t="shared" si="0"/>
        <v>54117067.973172709</v>
      </c>
      <c r="I16" s="120">
        <f t="shared" si="0"/>
        <v>79352933.496734113</v>
      </c>
      <c r="J16" s="120">
        <f t="shared" si="0"/>
        <v>95588363.965789929</v>
      </c>
      <c r="K16" s="120">
        <f t="shared" si="0"/>
        <v>90239873.755658567</v>
      </c>
      <c r="L16" s="120">
        <f t="shared" si="0"/>
        <v>84604000.439778298</v>
      </c>
      <c r="M16" s="120">
        <f t="shared" si="0"/>
        <v>78720266.974022105</v>
      </c>
      <c r="N16" s="120">
        <f t="shared" si="0"/>
        <v>72635646.38755329</v>
      </c>
      <c r="O16" s="120">
        <f t="shared" si="0"/>
        <v>110943455.0816887</v>
      </c>
      <c r="P16" s="120">
        <f t="shared" si="0"/>
        <v>103793457.32488425</v>
      </c>
      <c r="Q16" s="120">
        <f t="shared" si="0"/>
        <v>96517203.05507499</v>
      </c>
      <c r="R16" s="120">
        <f t="shared" si="0"/>
        <v>89832380.402736992</v>
      </c>
      <c r="S16" s="120">
        <f t="shared" si="0"/>
        <v>83021753.709655985</v>
      </c>
      <c r="T16" s="120">
        <f t="shared" si="0"/>
        <v>76187589.600928992</v>
      </c>
      <c r="U16" s="120">
        <f t="shared" si="0"/>
        <v>69427945.700481981</v>
      </c>
      <c r="V16" s="120">
        <f t="shared" si="0"/>
        <v>62831519.462921992</v>
      </c>
      <c r="W16" s="120">
        <f t="shared" si="0"/>
        <v>56473335.557831988</v>
      </c>
      <c r="X16" s="120">
        <f t="shared" si="0"/>
        <v>50412135.689663991</v>
      </c>
      <c r="Y16" s="120">
        <f t="shared" si="0"/>
        <v>44689514.450514987</v>
      </c>
      <c r="Z16" s="120">
        <f t="shared" si="0"/>
        <v>39330314.060103998</v>
      </c>
      <c r="AA16" s="120">
        <f t="shared" si="0"/>
        <v>34344660.929919995</v>
      </c>
      <c r="AB16" s="120">
        <f t="shared" si="0"/>
        <v>30015781.278079994</v>
      </c>
      <c r="AC16" s="120">
        <f t="shared" si="0"/>
        <v>67115910.942615986</v>
      </c>
      <c r="AD16" s="120">
        <f t="shared" si="0"/>
        <v>63678669.505812995</v>
      </c>
      <c r="AE16" s="120">
        <f t="shared" si="0"/>
        <v>60195756.503802985</v>
      </c>
      <c r="AF16" s="120">
        <f t="shared" si="0"/>
        <v>56684810.890850991</v>
      </c>
      <c r="AG16" s="120">
        <f t="shared" si="0"/>
        <v>53163021.419371992</v>
      </c>
      <c r="AH16" s="120">
        <f t="shared" si="0"/>
        <v>49646883.209601</v>
      </c>
      <c r="AI16" s="120">
        <f t="shared" ref="AI16:BN16" si="1">SUM(AI8:AI15)</f>
        <v>46152166.879777998</v>
      </c>
      <c r="AJ16" s="120">
        <f t="shared" si="1"/>
        <v>42693842.409563005</v>
      </c>
      <c r="AK16" s="120">
        <f t="shared" si="1"/>
        <v>39286070.295121007</v>
      </c>
      <c r="AL16" s="120">
        <f t="shared" si="1"/>
        <v>35942217.821294002</v>
      </c>
      <c r="AM16" s="120">
        <f t="shared" si="1"/>
        <v>32894612.367548011</v>
      </c>
      <c r="AN16" s="120">
        <f t="shared" si="1"/>
        <v>29903009.833158009</v>
      </c>
      <c r="AO16" s="120">
        <f t="shared" si="1"/>
        <v>26981928.712532006</v>
      </c>
      <c r="AP16" s="120">
        <f t="shared" si="1"/>
        <v>24145214.967326008</v>
      </c>
      <c r="AQ16" s="120">
        <f t="shared" si="1"/>
        <v>21405892.487426009</v>
      </c>
      <c r="AR16" s="120">
        <f t="shared" si="1"/>
        <v>18775979.790616009</v>
      </c>
      <c r="AS16" s="120">
        <f t="shared" si="1"/>
        <v>16893987.491480004</v>
      </c>
      <c r="AT16" s="120">
        <f t="shared" si="1"/>
        <v>15049033.294064002</v>
      </c>
      <c r="AU16" s="120">
        <f t="shared" si="1"/>
        <v>13258584.501624003</v>
      </c>
      <c r="AV16" s="120">
        <f t="shared" si="1"/>
        <v>11538273.165056005</v>
      </c>
      <c r="AW16" s="120">
        <f t="shared" si="1"/>
        <v>9901787.6675520036</v>
      </c>
      <c r="AX16" s="120">
        <f t="shared" si="1"/>
        <v>8360541.8875440042</v>
      </c>
      <c r="AY16" s="120">
        <f t="shared" si="1"/>
        <v>6923385.716280004</v>
      </c>
      <c r="AZ16" s="120">
        <f t="shared" si="1"/>
        <v>5596646.4124560058</v>
      </c>
      <c r="BA16" s="120">
        <f t="shared" si="1"/>
        <v>4384004.5383200068</v>
      </c>
      <c r="BB16" s="120">
        <f t="shared" si="1"/>
        <v>3286659.3782000076</v>
      </c>
      <c r="BC16" s="120">
        <f t="shared" si="1"/>
        <v>2303535.7116640056</v>
      </c>
      <c r="BD16" s="120">
        <f t="shared" si="1"/>
        <v>1431490.5866800072</v>
      </c>
      <c r="BE16" s="120">
        <f t="shared" si="1"/>
        <v>665685.51130400575</v>
      </c>
      <c r="BF16" s="120">
        <f t="shared" si="1"/>
        <v>-165.41852799557415</v>
      </c>
      <c r="BG16" s="120">
        <f t="shared" si="1"/>
        <v>0</v>
      </c>
      <c r="BH16" s="120">
        <f t="shared" si="1"/>
        <v>0</v>
      </c>
      <c r="BI16" s="120">
        <f t="shared" si="1"/>
        <v>0</v>
      </c>
      <c r="BJ16" s="120">
        <f t="shared" si="1"/>
        <v>0</v>
      </c>
      <c r="BK16" s="120">
        <f t="shared" si="1"/>
        <v>0</v>
      </c>
      <c r="BL16" s="120">
        <f t="shared" si="1"/>
        <v>0</v>
      </c>
      <c r="BM16" s="120">
        <f t="shared" si="1"/>
        <v>0</v>
      </c>
      <c r="BN16" s="120">
        <f t="shared" si="1"/>
        <v>0</v>
      </c>
      <c r="BO16" s="120">
        <f t="shared" ref="BO16:CT16" si="2">SUM(BO8:BO15)</f>
        <v>0</v>
      </c>
      <c r="BP16" s="120">
        <f t="shared" si="2"/>
        <v>0</v>
      </c>
      <c r="BQ16" s="120">
        <f t="shared" si="2"/>
        <v>0</v>
      </c>
      <c r="BR16" s="120">
        <f t="shared" si="2"/>
        <v>0</v>
      </c>
      <c r="BS16" s="120">
        <f t="shared" si="2"/>
        <v>0</v>
      </c>
      <c r="BT16" s="120">
        <f t="shared" si="2"/>
        <v>0</v>
      </c>
      <c r="BU16" s="120">
        <f t="shared" si="2"/>
        <v>0</v>
      </c>
      <c r="BV16" s="120">
        <f t="shared" si="2"/>
        <v>0</v>
      </c>
      <c r="BW16" s="120">
        <f t="shared" si="2"/>
        <v>0</v>
      </c>
      <c r="BX16" s="120">
        <f t="shared" si="2"/>
        <v>0</v>
      </c>
      <c r="BY16" s="120">
        <f t="shared" si="2"/>
        <v>0</v>
      </c>
      <c r="BZ16" s="120">
        <f t="shared" si="2"/>
        <v>0</v>
      </c>
      <c r="CA16" s="120">
        <f t="shared" si="2"/>
        <v>0</v>
      </c>
      <c r="CB16" s="120">
        <f t="shared" si="2"/>
        <v>0</v>
      </c>
      <c r="CC16" s="120">
        <f t="shared" si="2"/>
        <v>0</v>
      </c>
      <c r="CD16" s="120">
        <f t="shared" si="2"/>
        <v>0</v>
      </c>
      <c r="CE16" s="120">
        <f t="shared" si="2"/>
        <v>0</v>
      </c>
      <c r="CF16" s="120">
        <f t="shared" si="2"/>
        <v>0</v>
      </c>
      <c r="CG16" s="120">
        <f t="shared" si="2"/>
        <v>0</v>
      </c>
      <c r="CH16" s="120">
        <f t="shared" si="2"/>
        <v>0</v>
      </c>
    </row>
    <row r="18" spans="1:86" ht="15" customHeight="1" x14ac:dyDescent="0.25">
      <c r="A18" s="6" t="s">
        <v>572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573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1" t="s">
        <v>574</v>
      </c>
      <c r="C20" s="122">
        <f>MIN(C19,Model!C60)</f>
        <v>0</v>
      </c>
      <c r="D20" s="122">
        <f>MIN(D19,Model!D60)</f>
        <v>0</v>
      </c>
      <c r="E20" s="122">
        <f>MIN(E19,Model!E60)</f>
        <v>0</v>
      </c>
      <c r="F20" s="122">
        <f>MIN(F19,Model!F60)</f>
        <v>0</v>
      </c>
      <c r="G20" s="122">
        <f>MIN(G19,Model!G60)</f>
        <v>0</v>
      </c>
      <c r="H20" s="122">
        <f>MIN(H19,Model!H60)</f>
        <v>0</v>
      </c>
      <c r="I20" s="122">
        <f>MIN(I19,Model!I60)</f>
        <v>0</v>
      </c>
      <c r="J20" s="122">
        <f>MIN(J19,Model!J60)</f>
        <v>0</v>
      </c>
      <c r="K20" s="122">
        <f>MIN(K19,Model!K60)</f>
        <v>0</v>
      </c>
      <c r="L20" s="122">
        <f>MIN(L19,Model!L60)</f>
        <v>0</v>
      </c>
      <c r="M20" s="122">
        <f>MIN(M19,Model!M60)</f>
        <v>0</v>
      </c>
      <c r="N20" s="122">
        <f>MIN(N19,Model!N60)</f>
        <v>0</v>
      </c>
      <c r="O20" s="122">
        <f>MIN(O19,Model!O60)</f>
        <v>0</v>
      </c>
      <c r="P20" s="122">
        <f>MIN(P19,Model!P60)</f>
        <v>0</v>
      </c>
      <c r="Q20" s="122">
        <f>MIN(Q19,Model!Q60)</f>
        <v>0</v>
      </c>
      <c r="R20" s="122">
        <f>MIN(R19,Model!R60)</f>
        <v>0</v>
      </c>
      <c r="S20" s="122">
        <f>MIN(S19,Model!S60)</f>
        <v>0</v>
      </c>
      <c r="T20" s="122">
        <f>MIN(T19,Model!T60)</f>
        <v>0</v>
      </c>
      <c r="U20" s="122">
        <f>MIN(U19,Model!U60)</f>
        <v>0</v>
      </c>
      <c r="V20" s="122">
        <f>MIN(V19,Model!V60)</f>
        <v>0</v>
      </c>
      <c r="W20" s="122">
        <f>MIN(W19,Model!W60)</f>
        <v>0</v>
      </c>
      <c r="X20" s="122">
        <f>MIN(X19,Model!X60)</f>
        <v>0</v>
      </c>
      <c r="Y20" s="122">
        <f>MIN(Y19,Model!Y60)</f>
        <v>0</v>
      </c>
      <c r="Z20" s="122">
        <f>MIN(Z19,Model!Z60)</f>
        <v>0</v>
      </c>
      <c r="AA20" s="122">
        <f>MIN(AA19,Model!AA60)</f>
        <v>0</v>
      </c>
      <c r="AB20" s="122">
        <f>MIN(AB19,Model!AB60)</f>
        <v>0</v>
      </c>
      <c r="AC20" s="122">
        <f>MIN(AC19,Model!AC60)</f>
        <v>0</v>
      </c>
      <c r="AD20" s="122">
        <f>MIN(AD19,Model!AD60)</f>
        <v>0</v>
      </c>
      <c r="AE20" s="122">
        <f>MIN(AE19,Model!AE60)</f>
        <v>0</v>
      </c>
      <c r="AF20" s="122">
        <f>MIN(AF19,Model!AF60)</f>
        <v>0</v>
      </c>
      <c r="AG20" s="122">
        <f>MIN(AG19,Model!AG60)</f>
        <v>0</v>
      </c>
      <c r="AH20" s="122">
        <f>MIN(AH19,Model!AH60)</f>
        <v>0</v>
      </c>
      <c r="AI20" s="122">
        <f>MIN(AI19,Model!AI60)</f>
        <v>0</v>
      </c>
      <c r="AJ20" s="122">
        <f>MIN(AJ19,Model!AJ60)</f>
        <v>0</v>
      </c>
      <c r="AK20" s="122">
        <f>MIN(AK19,Model!AK60)</f>
        <v>0</v>
      </c>
      <c r="AL20" s="122">
        <f>MIN(AL19,Model!AL60)</f>
        <v>0</v>
      </c>
      <c r="AM20" s="122">
        <f>MIN(AM19,Model!AM60)</f>
        <v>0</v>
      </c>
      <c r="AN20" s="122">
        <f>MIN(AN19,Model!AN60)</f>
        <v>0</v>
      </c>
      <c r="AO20" s="122">
        <f>MIN(AO19,Model!AO60)</f>
        <v>0</v>
      </c>
      <c r="AP20" s="122">
        <f>MIN(AP19,Model!AP60)</f>
        <v>0</v>
      </c>
      <c r="AQ20" s="122">
        <f>MIN(AQ19,Model!AQ60)</f>
        <v>0</v>
      </c>
      <c r="AR20" s="122">
        <f>MIN(AR19,Model!AR60)</f>
        <v>81683</v>
      </c>
      <c r="AS20" s="122">
        <f>MIN(AS19,Model!AS60)</f>
        <v>0</v>
      </c>
      <c r="AT20" s="122">
        <f>MIN(AT19,Model!AT60)</f>
        <v>0</v>
      </c>
      <c r="AU20" s="122">
        <f>MIN(AU19,Model!AU60)</f>
        <v>81682</v>
      </c>
      <c r="AV20" s="122">
        <f>MIN(AV19,Model!AV60)</f>
        <v>0</v>
      </c>
      <c r="AW20" s="122">
        <f>MIN(AW19,Model!AW60)</f>
        <v>0</v>
      </c>
      <c r="AX20" s="122">
        <f>MIN(AX19,Model!AX60)</f>
        <v>81682</v>
      </c>
      <c r="AY20" s="122">
        <f>MIN(AY19,Model!AY60)</f>
        <v>0</v>
      </c>
      <c r="AZ20" s="122">
        <f>MIN(AZ19,Model!AZ60)</f>
        <v>0</v>
      </c>
      <c r="BA20" s="122">
        <f>MIN(BA19,Model!BA60)</f>
        <v>81682</v>
      </c>
      <c r="BB20" s="122">
        <f>MIN(BB19,Model!BB60)</f>
        <v>0</v>
      </c>
      <c r="BC20" s="122">
        <f>MIN(BC19,Model!BC60)</f>
        <v>0</v>
      </c>
      <c r="BD20" s="122">
        <f>MIN(BD19,Model!BD60)</f>
        <v>59178</v>
      </c>
      <c r="BE20" s="122">
        <f>MIN(BE19,Model!BE60)</f>
        <v>0</v>
      </c>
      <c r="BF20" s="122">
        <f>MIN(BF19,Model!BF60)</f>
        <v>0</v>
      </c>
      <c r="BG20" s="122">
        <f>MIN(BG19,Model!BG60)</f>
        <v>59176</v>
      </c>
      <c r="BH20" s="122">
        <f>MIN(BH19,Model!BH60)</f>
        <v>0</v>
      </c>
      <c r="BI20" s="122">
        <f>MIN(BI19,Model!BI60)</f>
        <v>0</v>
      </c>
      <c r="BJ20" s="122">
        <f>MIN(BJ19,Model!BJ60)</f>
        <v>59176</v>
      </c>
      <c r="BK20" s="122">
        <f>MIN(BK19,Model!BK60)</f>
        <v>0</v>
      </c>
      <c r="BL20" s="122">
        <f>MIN(BL19,Model!BL60)</f>
        <v>0</v>
      </c>
      <c r="BM20" s="122">
        <f>MIN(BM19,Model!BM60)</f>
        <v>59176</v>
      </c>
      <c r="BN20" s="122">
        <f>MIN(BN19,Model!BN60)</f>
        <v>0</v>
      </c>
      <c r="BO20" s="122">
        <f>MIN(BO19,Model!BO60)</f>
        <v>0</v>
      </c>
      <c r="BP20" s="122">
        <f>MIN(BP19,Model!BP60)</f>
        <v>16249.479999999981</v>
      </c>
      <c r="BQ20" s="122">
        <f>MIN(BQ19,Model!BQ60)</f>
        <v>0</v>
      </c>
      <c r="BR20" s="122">
        <f>MIN(BR19,Model!BR60)</f>
        <v>0</v>
      </c>
      <c r="BS20" s="122">
        <f>MIN(BS19,Model!BS60)</f>
        <v>0</v>
      </c>
      <c r="BT20" s="122">
        <f>MIN(BT19,Model!BT60)</f>
        <v>0</v>
      </c>
      <c r="BU20" s="122">
        <f>MIN(BU19,Model!BU60)</f>
        <v>0</v>
      </c>
      <c r="BV20" s="122">
        <f>MIN(BV19,Model!BV60)</f>
        <v>0</v>
      </c>
      <c r="BW20" s="122">
        <f>MIN(BW19,Model!BW60)</f>
        <v>0</v>
      </c>
      <c r="BX20" s="122">
        <f>MIN(BX19,Model!BX60)</f>
        <v>0</v>
      </c>
      <c r="BY20" s="122">
        <f>MIN(BY19,Model!BY60)</f>
        <v>0</v>
      </c>
      <c r="BZ20" s="122">
        <f>MIN(BZ19,Model!BZ60)</f>
        <v>0</v>
      </c>
      <c r="CA20" s="122">
        <f>MIN(CA19,Model!CA60)</f>
        <v>0</v>
      </c>
      <c r="CB20" s="122">
        <f>MIN(CB19,Model!CB60)</f>
        <v>0</v>
      </c>
      <c r="CC20" s="122">
        <f>MIN(CC19,Model!CC60)</f>
        <v>0</v>
      </c>
      <c r="CD20" s="122">
        <f>MIN(CD19,Model!CD60)</f>
        <v>0</v>
      </c>
      <c r="CE20" s="122">
        <f>MIN(CE19,Model!CE60)</f>
        <v>0</v>
      </c>
      <c r="CF20" s="122">
        <f>MIN(CF19,Model!CF60)</f>
        <v>0</v>
      </c>
      <c r="CG20" s="122">
        <f>MIN(CG19,Model!CG60)</f>
        <v>0</v>
      </c>
      <c r="CH20" s="122">
        <f>MIN(CH19,Model!CH60)</f>
        <v>0</v>
      </c>
    </row>
    <row r="21" spans="1:86" ht="15" customHeight="1" x14ac:dyDescent="0.25">
      <c r="A21" s="119" t="s">
        <v>575</v>
      </c>
      <c r="C21" s="120">
        <f t="shared" ref="C21:AH21" si="6">MAX(0,C19-C20)</f>
        <v>579684.48</v>
      </c>
      <c r="D21" s="120">
        <f t="shared" si="6"/>
        <v>579684.48</v>
      </c>
      <c r="E21" s="120">
        <f t="shared" si="6"/>
        <v>579684.48</v>
      </c>
      <c r="F21" s="120">
        <f t="shared" si="6"/>
        <v>579684.48</v>
      </c>
      <c r="G21" s="120">
        <f t="shared" si="6"/>
        <v>579684.48</v>
      </c>
      <c r="H21" s="120">
        <f t="shared" si="6"/>
        <v>579684.48</v>
      </c>
      <c r="I21" s="120">
        <f t="shared" si="6"/>
        <v>579684.48</v>
      </c>
      <c r="J21" s="120">
        <f t="shared" si="6"/>
        <v>579684.48</v>
      </c>
      <c r="K21" s="120">
        <f t="shared" si="6"/>
        <v>579684.48</v>
      </c>
      <c r="L21" s="120">
        <f t="shared" si="6"/>
        <v>579684.48</v>
      </c>
      <c r="M21" s="120">
        <f t="shared" si="6"/>
        <v>579684.48</v>
      </c>
      <c r="N21" s="120">
        <f t="shared" si="6"/>
        <v>579684.48</v>
      </c>
      <c r="O21" s="120">
        <f t="shared" si="6"/>
        <v>579684.48</v>
      </c>
      <c r="P21" s="120">
        <f t="shared" si="6"/>
        <v>579684.48</v>
      </c>
      <c r="Q21" s="120">
        <f t="shared" si="6"/>
        <v>579684.48</v>
      </c>
      <c r="R21" s="120">
        <f t="shared" si="6"/>
        <v>579684.48</v>
      </c>
      <c r="S21" s="120">
        <f t="shared" si="6"/>
        <v>579684.48</v>
      </c>
      <c r="T21" s="120">
        <f t="shared" si="6"/>
        <v>579684.48</v>
      </c>
      <c r="U21" s="120">
        <f t="shared" si="6"/>
        <v>579684.48</v>
      </c>
      <c r="V21" s="120">
        <f t="shared" si="6"/>
        <v>579684.48</v>
      </c>
      <c r="W21" s="120">
        <f t="shared" si="6"/>
        <v>579684.48</v>
      </c>
      <c r="X21" s="120">
        <f t="shared" si="6"/>
        <v>579684.48</v>
      </c>
      <c r="Y21" s="120">
        <f t="shared" si="6"/>
        <v>579684.48</v>
      </c>
      <c r="Z21" s="120">
        <f t="shared" si="6"/>
        <v>579684.48</v>
      </c>
      <c r="AA21" s="120">
        <f t="shared" si="6"/>
        <v>579684.48</v>
      </c>
      <c r="AB21" s="120">
        <f t="shared" si="6"/>
        <v>579684.48</v>
      </c>
      <c r="AC21" s="120">
        <f t="shared" si="6"/>
        <v>579684.48</v>
      </c>
      <c r="AD21" s="120">
        <f t="shared" si="6"/>
        <v>579684.48</v>
      </c>
      <c r="AE21" s="120">
        <f t="shared" si="6"/>
        <v>579684.48</v>
      </c>
      <c r="AF21" s="120">
        <f t="shared" si="6"/>
        <v>579684.48</v>
      </c>
      <c r="AG21" s="120">
        <f t="shared" si="6"/>
        <v>579684.48</v>
      </c>
      <c r="AH21" s="120">
        <f t="shared" si="6"/>
        <v>579684.48</v>
      </c>
      <c r="AI21" s="120">
        <f t="shared" ref="AI21:BN21" si="7">MAX(0,AI19-AI20)</f>
        <v>579684.48</v>
      </c>
      <c r="AJ21" s="120">
        <f t="shared" si="7"/>
        <v>579684.48</v>
      </c>
      <c r="AK21" s="120">
        <f t="shared" si="7"/>
        <v>579684.48</v>
      </c>
      <c r="AL21" s="120">
        <f t="shared" si="7"/>
        <v>579684.48</v>
      </c>
      <c r="AM21" s="120">
        <f t="shared" si="7"/>
        <v>579684.48</v>
      </c>
      <c r="AN21" s="120">
        <f t="shared" si="7"/>
        <v>579684.48</v>
      </c>
      <c r="AO21" s="120">
        <f t="shared" si="7"/>
        <v>579684.48</v>
      </c>
      <c r="AP21" s="120">
        <f t="shared" si="7"/>
        <v>579684.48</v>
      </c>
      <c r="AQ21" s="120">
        <f t="shared" si="7"/>
        <v>579684.48</v>
      </c>
      <c r="AR21" s="120">
        <f t="shared" si="7"/>
        <v>498001.48</v>
      </c>
      <c r="AS21" s="120">
        <f t="shared" si="7"/>
        <v>498001.48</v>
      </c>
      <c r="AT21" s="120">
        <f t="shared" si="7"/>
        <v>498001.48</v>
      </c>
      <c r="AU21" s="120">
        <f t="shared" si="7"/>
        <v>416319.48</v>
      </c>
      <c r="AV21" s="120">
        <f t="shared" si="7"/>
        <v>416319.48</v>
      </c>
      <c r="AW21" s="120">
        <f t="shared" si="7"/>
        <v>416319.48</v>
      </c>
      <c r="AX21" s="120">
        <f t="shared" si="7"/>
        <v>334637.48</v>
      </c>
      <c r="AY21" s="120">
        <f t="shared" si="7"/>
        <v>334637.48</v>
      </c>
      <c r="AZ21" s="120">
        <f t="shared" si="7"/>
        <v>334637.48</v>
      </c>
      <c r="BA21" s="120">
        <f t="shared" si="7"/>
        <v>252955.47999999998</v>
      </c>
      <c r="BB21" s="120">
        <f t="shared" si="7"/>
        <v>252955.47999999998</v>
      </c>
      <c r="BC21" s="120">
        <f t="shared" si="7"/>
        <v>252955.47999999998</v>
      </c>
      <c r="BD21" s="120">
        <f t="shared" si="7"/>
        <v>193777.47999999998</v>
      </c>
      <c r="BE21" s="120">
        <f t="shared" si="7"/>
        <v>193777.47999999998</v>
      </c>
      <c r="BF21" s="120">
        <f t="shared" si="7"/>
        <v>193777.47999999998</v>
      </c>
      <c r="BG21" s="120">
        <f t="shared" si="7"/>
        <v>134601.47999999998</v>
      </c>
      <c r="BH21" s="120">
        <f t="shared" si="7"/>
        <v>134601.47999999998</v>
      </c>
      <c r="BI21" s="120">
        <f t="shared" si="7"/>
        <v>134601.47999999998</v>
      </c>
      <c r="BJ21" s="120">
        <f t="shared" si="7"/>
        <v>75425.479999999981</v>
      </c>
      <c r="BK21" s="120">
        <f t="shared" si="7"/>
        <v>75425.479999999981</v>
      </c>
      <c r="BL21" s="120">
        <f t="shared" si="7"/>
        <v>75425.479999999981</v>
      </c>
      <c r="BM21" s="120">
        <f t="shared" si="7"/>
        <v>16249.479999999981</v>
      </c>
      <c r="BN21" s="120">
        <f t="shared" si="7"/>
        <v>16249.479999999981</v>
      </c>
      <c r="BO21" s="120">
        <f t="shared" ref="BO21:CT21" si="8">MAX(0,BO19-BO20)</f>
        <v>16249.479999999981</v>
      </c>
      <c r="BP21" s="120">
        <f t="shared" si="8"/>
        <v>0</v>
      </c>
      <c r="BQ21" s="120">
        <f t="shared" si="8"/>
        <v>0</v>
      </c>
      <c r="BR21" s="120">
        <f t="shared" si="8"/>
        <v>0</v>
      </c>
      <c r="BS21" s="120">
        <f t="shared" si="8"/>
        <v>0</v>
      </c>
      <c r="BT21" s="120">
        <f t="shared" si="8"/>
        <v>0</v>
      </c>
      <c r="BU21" s="120">
        <f t="shared" si="8"/>
        <v>0</v>
      </c>
      <c r="BV21" s="120">
        <f t="shared" si="8"/>
        <v>0</v>
      </c>
      <c r="BW21" s="120">
        <f t="shared" si="8"/>
        <v>0</v>
      </c>
      <c r="BX21" s="120">
        <f t="shared" si="8"/>
        <v>0</v>
      </c>
      <c r="BY21" s="120">
        <f t="shared" si="8"/>
        <v>0</v>
      </c>
      <c r="BZ21" s="120">
        <f t="shared" si="8"/>
        <v>0</v>
      </c>
      <c r="CA21" s="120">
        <f t="shared" si="8"/>
        <v>0</v>
      </c>
      <c r="CB21" s="120">
        <f t="shared" si="8"/>
        <v>0</v>
      </c>
      <c r="CC21" s="120">
        <f t="shared" si="8"/>
        <v>0</v>
      </c>
      <c r="CD21" s="120">
        <f t="shared" si="8"/>
        <v>0</v>
      </c>
      <c r="CE21" s="120">
        <f t="shared" si="8"/>
        <v>0</v>
      </c>
      <c r="CF21" s="120">
        <f t="shared" si="8"/>
        <v>0</v>
      </c>
      <c r="CG21" s="120">
        <f t="shared" si="8"/>
        <v>0</v>
      </c>
      <c r="CH21" s="120">
        <f t="shared" si="8"/>
        <v>0</v>
      </c>
    </row>
    <row r="22" spans="1:86" ht="15" customHeight="1" x14ac:dyDescent="0.25">
      <c r="A22" s="99" t="s">
        <v>576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1" t="s">
        <v>577</v>
      </c>
      <c r="C23" s="122">
        <f>MIN(C22,Model!C61)</f>
        <v>0</v>
      </c>
      <c r="D23" s="122">
        <f>MIN(D22,Model!D61)</f>
        <v>0</v>
      </c>
      <c r="E23" s="122">
        <f>MIN(E22,Model!E61)</f>
        <v>0</v>
      </c>
      <c r="F23" s="122">
        <f>MIN(F22,Model!F61)</f>
        <v>0</v>
      </c>
      <c r="G23" s="122">
        <f>MIN(G22,Model!G61)</f>
        <v>0</v>
      </c>
      <c r="H23" s="122">
        <f>MIN(H22,Model!H61)</f>
        <v>0</v>
      </c>
      <c r="I23" s="122">
        <f>MIN(I22,Model!I61)</f>
        <v>0</v>
      </c>
      <c r="J23" s="122">
        <f>MIN(J22,Model!J61)</f>
        <v>0</v>
      </c>
      <c r="K23" s="122">
        <f>MIN(K22,Model!K61)</f>
        <v>0</v>
      </c>
      <c r="L23" s="122">
        <f>MIN(L22,Model!L61)</f>
        <v>0</v>
      </c>
      <c r="M23" s="122">
        <f>MIN(M22,Model!M61)</f>
        <v>0</v>
      </c>
      <c r="N23" s="122">
        <f>MIN(N22,Model!N61)</f>
        <v>0</v>
      </c>
      <c r="O23" s="122">
        <f>MIN(O22,Model!O61)</f>
        <v>0</v>
      </c>
      <c r="P23" s="122">
        <f>MIN(P22,Model!P61)</f>
        <v>0</v>
      </c>
      <c r="Q23" s="122">
        <f>MIN(Q22,Model!Q61)</f>
        <v>0</v>
      </c>
      <c r="R23" s="122">
        <f>MIN(R22,Model!R61)</f>
        <v>0</v>
      </c>
      <c r="S23" s="122">
        <f>MIN(S22,Model!S61)</f>
        <v>0</v>
      </c>
      <c r="T23" s="122">
        <f>MIN(T22,Model!T61)</f>
        <v>0</v>
      </c>
      <c r="U23" s="122">
        <f>MIN(U22,Model!U61)</f>
        <v>0</v>
      </c>
      <c r="V23" s="122">
        <f>MIN(V22,Model!V61)</f>
        <v>0</v>
      </c>
      <c r="W23" s="122">
        <f>MIN(W22,Model!W61)</f>
        <v>0</v>
      </c>
      <c r="X23" s="122">
        <f>MIN(X22,Model!X61)</f>
        <v>0</v>
      </c>
      <c r="Y23" s="122">
        <f>MIN(Y22,Model!Y61)</f>
        <v>0</v>
      </c>
      <c r="Z23" s="122">
        <f>MIN(Z22,Model!Z61)</f>
        <v>0</v>
      </c>
      <c r="AA23" s="122">
        <f>MIN(AA22,Model!AA61)</f>
        <v>0</v>
      </c>
      <c r="AB23" s="122">
        <f>MIN(AB22,Model!AB61)</f>
        <v>0</v>
      </c>
      <c r="AC23" s="122">
        <f>MIN(AC22,Model!AC61)</f>
        <v>0</v>
      </c>
      <c r="AD23" s="122">
        <f>MIN(AD22,Model!AD61)</f>
        <v>0</v>
      </c>
      <c r="AE23" s="122">
        <f>MIN(AE22,Model!AE61)</f>
        <v>0</v>
      </c>
      <c r="AF23" s="122">
        <f>MIN(AF22,Model!AF61)</f>
        <v>0</v>
      </c>
      <c r="AG23" s="122">
        <f>MIN(AG22,Model!AG61)</f>
        <v>0</v>
      </c>
      <c r="AH23" s="122">
        <f>MIN(AH22,Model!AH61)</f>
        <v>0</v>
      </c>
      <c r="AI23" s="122">
        <f>MIN(AI22,Model!AI61)</f>
        <v>0</v>
      </c>
      <c r="AJ23" s="122">
        <f>MIN(AJ22,Model!AJ61)</f>
        <v>0</v>
      </c>
      <c r="AK23" s="122">
        <f>MIN(AK22,Model!AK61)</f>
        <v>0</v>
      </c>
      <c r="AL23" s="122">
        <f>MIN(AL22,Model!AL61)</f>
        <v>0</v>
      </c>
      <c r="AM23" s="122">
        <f>MIN(AM22,Model!AM61)</f>
        <v>0</v>
      </c>
      <c r="AN23" s="122">
        <f>MIN(AN22,Model!AN61)</f>
        <v>0</v>
      </c>
      <c r="AO23" s="122">
        <f>MIN(AO22,Model!AO61)</f>
        <v>0</v>
      </c>
      <c r="AP23" s="122">
        <f>MIN(AP22,Model!AP61)</f>
        <v>0</v>
      </c>
      <c r="AQ23" s="122">
        <f>MIN(AQ22,Model!AQ61)</f>
        <v>0</v>
      </c>
      <c r="AR23" s="122">
        <f>MIN(AR22,Model!AR61)</f>
        <v>0</v>
      </c>
      <c r="AS23" s="122">
        <f>MIN(AS22,Model!AS61)</f>
        <v>0</v>
      </c>
      <c r="AT23" s="122">
        <f>MIN(AT22,Model!AT61)</f>
        <v>0</v>
      </c>
      <c r="AU23" s="122">
        <f>MIN(AU22,Model!AU61)</f>
        <v>0</v>
      </c>
      <c r="AV23" s="122">
        <f>MIN(AV22,Model!AV61)</f>
        <v>0</v>
      </c>
      <c r="AW23" s="122">
        <f>MIN(AW22,Model!AW61)</f>
        <v>0</v>
      </c>
      <c r="AX23" s="122">
        <f>MIN(AX22,Model!AX61)</f>
        <v>0</v>
      </c>
      <c r="AY23" s="122">
        <f>MIN(AY22,Model!AY61)</f>
        <v>0</v>
      </c>
      <c r="AZ23" s="122">
        <f>MIN(AZ22,Model!AZ61)</f>
        <v>0</v>
      </c>
      <c r="BA23" s="122">
        <f>MIN(BA22,Model!BA61)</f>
        <v>602667.69999999995</v>
      </c>
      <c r="BB23" s="122">
        <f>MIN(BB22,Model!BB61)</f>
        <v>0</v>
      </c>
      <c r="BC23" s="122">
        <f>MIN(BC22,Model!BC61)</f>
        <v>0</v>
      </c>
      <c r="BD23" s="122">
        <f>MIN(BD22,Model!BD61)</f>
        <v>0</v>
      </c>
      <c r="BE23" s="122">
        <f>MIN(BE22,Model!BE61)</f>
        <v>0</v>
      </c>
      <c r="BF23" s="122">
        <f>MIN(BF22,Model!BF61)</f>
        <v>0</v>
      </c>
      <c r="BG23" s="122">
        <f>MIN(BG22,Model!BG61)</f>
        <v>0</v>
      </c>
      <c r="BH23" s="122">
        <f>MIN(BH22,Model!BH61)</f>
        <v>0</v>
      </c>
      <c r="BI23" s="122">
        <f>MIN(BI22,Model!BI61)</f>
        <v>0</v>
      </c>
      <c r="BJ23" s="122">
        <f>MIN(BJ22,Model!BJ61)</f>
        <v>0</v>
      </c>
      <c r="BK23" s="122">
        <f>MIN(BK22,Model!BK61)</f>
        <v>0</v>
      </c>
      <c r="BL23" s="122">
        <f>MIN(BL22,Model!BL61)</f>
        <v>0</v>
      </c>
      <c r="BM23" s="122">
        <f>MIN(BM22,Model!BM61)</f>
        <v>0</v>
      </c>
      <c r="BN23" s="122">
        <f>MIN(BN22,Model!BN61)</f>
        <v>0</v>
      </c>
      <c r="BO23" s="122">
        <f>MIN(BO22,Model!BO61)</f>
        <v>0</v>
      </c>
      <c r="BP23" s="122">
        <f>MIN(BP22,Model!BP61)</f>
        <v>0</v>
      </c>
      <c r="BQ23" s="122">
        <f>MIN(BQ22,Model!BQ61)</f>
        <v>0</v>
      </c>
      <c r="BR23" s="122">
        <f>MIN(BR22,Model!BR61)</f>
        <v>0</v>
      </c>
      <c r="BS23" s="122">
        <f>MIN(BS22,Model!BS61)</f>
        <v>0</v>
      </c>
      <c r="BT23" s="122">
        <f>MIN(BT22,Model!BT61)</f>
        <v>0</v>
      </c>
      <c r="BU23" s="122">
        <f>MIN(BU22,Model!BU61)</f>
        <v>0</v>
      </c>
      <c r="BV23" s="122">
        <f>MIN(BV22,Model!BV61)</f>
        <v>0</v>
      </c>
      <c r="BW23" s="122">
        <f>MIN(BW22,Model!BW61)</f>
        <v>0</v>
      </c>
      <c r="BX23" s="122">
        <f>MIN(BX22,Model!BX61)</f>
        <v>0</v>
      </c>
      <c r="BY23" s="122">
        <f>MIN(BY22,Model!BY61)</f>
        <v>0</v>
      </c>
      <c r="BZ23" s="122">
        <f>MIN(BZ22,Model!BZ61)</f>
        <v>0</v>
      </c>
      <c r="CA23" s="122">
        <f>MIN(CA22,Model!CA61)</f>
        <v>0</v>
      </c>
      <c r="CB23" s="122">
        <f>MIN(CB22,Model!CB61)</f>
        <v>0</v>
      </c>
      <c r="CC23" s="122">
        <f>MIN(CC22,Model!CC61)</f>
        <v>0</v>
      </c>
      <c r="CD23" s="122">
        <f>MIN(CD22,Model!CD61)</f>
        <v>0</v>
      </c>
      <c r="CE23" s="122">
        <f>MIN(CE22,Model!CE61)</f>
        <v>0</v>
      </c>
      <c r="CF23" s="122">
        <f>MIN(CF22,Model!CF61)</f>
        <v>0</v>
      </c>
      <c r="CG23" s="122">
        <f>MIN(CG22,Model!CG61)</f>
        <v>0</v>
      </c>
      <c r="CH23" s="122">
        <f>MIN(CH22,Model!CH61)</f>
        <v>0</v>
      </c>
    </row>
    <row r="24" spans="1:86" ht="15" customHeight="1" x14ac:dyDescent="0.25">
      <c r="A24" s="119" t="s">
        <v>578</v>
      </c>
      <c r="C24" s="120">
        <f t="shared" ref="C24:AH24" si="12">MAX(0,C22-C23)</f>
        <v>602667.69999999995</v>
      </c>
      <c r="D24" s="120">
        <f t="shared" si="12"/>
        <v>602667.69999999995</v>
      </c>
      <c r="E24" s="120">
        <f t="shared" si="12"/>
        <v>602667.69999999995</v>
      </c>
      <c r="F24" s="120">
        <f t="shared" si="12"/>
        <v>602667.69999999995</v>
      </c>
      <c r="G24" s="120">
        <f t="shared" si="12"/>
        <v>602667.69999999995</v>
      </c>
      <c r="H24" s="120">
        <f t="shared" si="12"/>
        <v>602667.69999999995</v>
      </c>
      <c r="I24" s="120">
        <f t="shared" si="12"/>
        <v>602667.69999999995</v>
      </c>
      <c r="J24" s="120">
        <f t="shared" si="12"/>
        <v>602667.69999999995</v>
      </c>
      <c r="K24" s="120">
        <f t="shared" si="12"/>
        <v>602667.69999999995</v>
      </c>
      <c r="L24" s="120">
        <f t="shared" si="12"/>
        <v>602667.69999999995</v>
      </c>
      <c r="M24" s="120">
        <f t="shared" si="12"/>
        <v>602667.69999999995</v>
      </c>
      <c r="N24" s="120">
        <f t="shared" si="12"/>
        <v>602667.69999999995</v>
      </c>
      <c r="O24" s="120">
        <f t="shared" si="12"/>
        <v>602667.69999999995</v>
      </c>
      <c r="P24" s="120">
        <f t="shared" si="12"/>
        <v>602667.69999999995</v>
      </c>
      <c r="Q24" s="120">
        <f t="shared" si="12"/>
        <v>602667.69999999995</v>
      </c>
      <c r="R24" s="120">
        <f t="shared" si="12"/>
        <v>602667.69999999995</v>
      </c>
      <c r="S24" s="120">
        <f t="shared" si="12"/>
        <v>602667.69999999995</v>
      </c>
      <c r="T24" s="120">
        <f t="shared" si="12"/>
        <v>602667.69999999995</v>
      </c>
      <c r="U24" s="120">
        <f t="shared" si="12"/>
        <v>602667.69999999995</v>
      </c>
      <c r="V24" s="120">
        <f t="shared" si="12"/>
        <v>602667.69999999995</v>
      </c>
      <c r="W24" s="120">
        <f t="shared" si="12"/>
        <v>602667.69999999995</v>
      </c>
      <c r="X24" s="120">
        <f t="shared" si="12"/>
        <v>602667.69999999995</v>
      </c>
      <c r="Y24" s="120">
        <f t="shared" si="12"/>
        <v>602667.69999999995</v>
      </c>
      <c r="Z24" s="120">
        <f t="shared" si="12"/>
        <v>602667.69999999995</v>
      </c>
      <c r="AA24" s="120">
        <f t="shared" si="12"/>
        <v>602667.69999999995</v>
      </c>
      <c r="AB24" s="120">
        <f t="shared" si="12"/>
        <v>602667.69999999995</v>
      </c>
      <c r="AC24" s="120">
        <f t="shared" si="12"/>
        <v>602667.69999999995</v>
      </c>
      <c r="AD24" s="120">
        <f t="shared" si="12"/>
        <v>602667.69999999995</v>
      </c>
      <c r="AE24" s="120">
        <f t="shared" si="12"/>
        <v>602667.69999999995</v>
      </c>
      <c r="AF24" s="120">
        <f t="shared" si="12"/>
        <v>602667.69999999995</v>
      </c>
      <c r="AG24" s="120">
        <f t="shared" si="12"/>
        <v>602667.69999999995</v>
      </c>
      <c r="AH24" s="120">
        <f t="shared" si="12"/>
        <v>602667.69999999995</v>
      </c>
      <c r="AI24" s="120">
        <f t="shared" ref="AI24:BN24" si="13">MAX(0,AI22-AI23)</f>
        <v>602667.69999999995</v>
      </c>
      <c r="AJ24" s="120">
        <f t="shared" si="13"/>
        <v>602667.69999999995</v>
      </c>
      <c r="AK24" s="120">
        <f t="shared" si="13"/>
        <v>602667.69999999995</v>
      </c>
      <c r="AL24" s="120">
        <f t="shared" si="13"/>
        <v>602667.69999999995</v>
      </c>
      <c r="AM24" s="120">
        <f t="shared" si="13"/>
        <v>602667.69999999995</v>
      </c>
      <c r="AN24" s="120">
        <f t="shared" si="13"/>
        <v>602667.69999999995</v>
      </c>
      <c r="AO24" s="120">
        <f t="shared" si="13"/>
        <v>602667.69999999995</v>
      </c>
      <c r="AP24" s="120">
        <f t="shared" si="13"/>
        <v>602667.69999999995</v>
      </c>
      <c r="AQ24" s="120">
        <f t="shared" si="13"/>
        <v>602667.69999999995</v>
      </c>
      <c r="AR24" s="120">
        <f t="shared" si="13"/>
        <v>602667.69999999995</v>
      </c>
      <c r="AS24" s="120">
        <f t="shared" si="13"/>
        <v>602667.69999999995</v>
      </c>
      <c r="AT24" s="120">
        <f t="shared" si="13"/>
        <v>602667.69999999995</v>
      </c>
      <c r="AU24" s="120">
        <f t="shared" si="13"/>
        <v>602667.69999999995</v>
      </c>
      <c r="AV24" s="120">
        <f t="shared" si="13"/>
        <v>602667.69999999995</v>
      </c>
      <c r="AW24" s="120">
        <f t="shared" si="13"/>
        <v>602667.69999999995</v>
      </c>
      <c r="AX24" s="120">
        <f t="shared" si="13"/>
        <v>602667.69999999995</v>
      </c>
      <c r="AY24" s="120">
        <f t="shared" si="13"/>
        <v>602667.69999999995</v>
      </c>
      <c r="AZ24" s="120">
        <f t="shared" si="13"/>
        <v>602667.69999999995</v>
      </c>
      <c r="BA24" s="120">
        <f t="shared" si="13"/>
        <v>0</v>
      </c>
      <c r="BB24" s="120">
        <f t="shared" si="13"/>
        <v>0</v>
      </c>
      <c r="BC24" s="120">
        <f t="shared" si="13"/>
        <v>0</v>
      </c>
      <c r="BD24" s="120">
        <f t="shared" si="13"/>
        <v>0</v>
      </c>
      <c r="BE24" s="120">
        <f t="shared" si="13"/>
        <v>0</v>
      </c>
      <c r="BF24" s="120">
        <f t="shared" si="13"/>
        <v>0</v>
      </c>
      <c r="BG24" s="120">
        <f t="shared" si="13"/>
        <v>0</v>
      </c>
      <c r="BH24" s="120">
        <f t="shared" si="13"/>
        <v>0</v>
      </c>
      <c r="BI24" s="120">
        <f t="shared" si="13"/>
        <v>0</v>
      </c>
      <c r="BJ24" s="120">
        <f t="shared" si="13"/>
        <v>0</v>
      </c>
      <c r="BK24" s="120">
        <f t="shared" si="13"/>
        <v>0</v>
      </c>
      <c r="BL24" s="120">
        <f t="shared" si="13"/>
        <v>0</v>
      </c>
      <c r="BM24" s="120">
        <f t="shared" si="13"/>
        <v>0</v>
      </c>
      <c r="BN24" s="120">
        <f t="shared" si="13"/>
        <v>0</v>
      </c>
      <c r="BO24" s="120">
        <f t="shared" ref="BO24:CT24" si="14">MAX(0,BO22-BO23)</f>
        <v>0</v>
      </c>
      <c r="BP24" s="120">
        <f t="shared" si="14"/>
        <v>0</v>
      </c>
      <c r="BQ24" s="120">
        <f t="shared" si="14"/>
        <v>0</v>
      </c>
      <c r="BR24" s="120">
        <f t="shared" si="14"/>
        <v>0</v>
      </c>
      <c r="BS24" s="120">
        <f t="shared" si="14"/>
        <v>0</v>
      </c>
      <c r="BT24" s="120">
        <f t="shared" si="14"/>
        <v>0</v>
      </c>
      <c r="BU24" s="120">
        <f t="shared" si="14"/>
        <v>0</v>
      </c>
      <c r="BV24" s="120">
        <f t="shared" si="14"/>
        <v>0</v>
      </c>
      <c r="BW24" s="120">
        <f t="shared" si="14"/>
        <v>0</v>
      </c>
      <c r="BX24" s="120">
        <f t="shared" si="14"/>
        <v>0</v>
      </c>
      <c r="BY24" s="120">
        <f t="shared" si="14"/>
        <v>0</v>
      </c>
      <c r="BZ24" s="120">
        <f t="shared" si="14"/>
        <v>0</v>
      </c>
      <c r="CA24" s="120">
        <f t="shared" si="14"/>
        <v>0</v>
      </c>
      <c r="CB24" s="120">
        <f t="shared" si="14"/>
        <v>0</v>
      </c>
      <c r="CC24" s="120">
        <f t="shared" si="14"/>
        <v>0</v>
      </c>
      <c r="CD24" s="120">
        <f t="shared" si="14"/>
        <v>0</v>
      </c>
      <c r="CE24" s="120">
        <f t="shared" si="14"/>
        <v>0</v>
      </c>
      <c r="CF24" s="120">
        <f t="shared" si="14"/>
        <v>0</v>
      </c>
      <c r="CG24" s="120">
        <f t="shared" si="14"/>
        <v>0</v>
      </c>
      <c r="CH24" s="120">
        <f t="shared" si="14"/>
        <v>0</v>
      </c>
    </row>
    <row r="25" spans="1:86" ht="15" customHeight="1" x14ac:dyDescent="0.25">
      <c r="A25" t="s">
        <v>579</v>
      </c>
      <c r="B25" t="s">
        <v>580</v>
      </c>
      <c r="C25" s="123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581</v>
      </c>
      <c r="C26" s="123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582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9" t="s">
        <v>583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4" t="s">
        <v>584</v>
      </c>
    </row>
    <row r="32" spans="1:86" ht="15" customHeight="1" x14ac:dyDescent="0.25">
      <c r="A32" s="125" t="s">
        <v>115</v>
      </c>
      <c r="B32" s="63">
        <f>LOOKUP(2,1/(Model!C60:CH60&gt;0),Model!C60:CH60)</f>
        <v>76499</v>
      </c>
    </row>
    <row r="33" spans="1:2" ht="15" customHeight="1" x14ac:dyDescent="0.25">
      <c r="A33" s="125" t="s">
        <v>123</v>
      </c>
      <c r="B33" s="63">
        <f>LOOKUP(2,1/(Model!C62:CH62&gt;0),Model!C62:CH62)</f>
        <v>73155</v>
      </c>
    </row>
    <row r="34" spans="1:2" ht="15" customHeight="1" x14ac:dyDescent="0.25">
      <c r="A34" s="125" t="s">
        <v>120</v>
      </c>
      <c r="B34" s="63">
        <f>LOOKUP(2,1/(Model!C61:CH61&gt;0),Model!C61:CH61)</f>
        <v>81362</v>
      </c>
    </row>
    <row r="36" spans="1:2" ht="15" customHeight="1" x14ac:dyDescent="0.25">
      <c r="A36" s="124" t="s">
        <v>585</v>
      </c>
    </row>
    <row r="37" spans="1:2" ht="15" customHeight="1" x14ac:dyDescent="0.25">
      <c r="A37" s="125" t="s">
        <v>115</v>
      </c>
      <c r="B37" s="107">
        <f>SUMPRODUCT((Model!C60:CH60&gt;0)*1)</f>
        <v>15</v>
      </c>
    </row>
    <row r="38" spans="1:2" ht="15" customHeight="1" x14ac:dyDescent="0.25">
      <c r="A38" s="125" t="s">
        <v>123</v>
      </c>
      <c r="B38" s="107">
        <f>SUMPRODUCT((Model!C62:CH62&gt;0)*1)</f>
        <v>4</v>
      </c>
    </row>
    <row r="39" spans="1:2" ht="15" customHeight="1" x14ac:dyDescent="0.25">
      <c r="A39" s="125" t="s">
        <v>120</v>
      </c>
      <c r="B39" s="107">
        <f>SUMPRODUCT((Model!C61:CH61&gt;0)*1)</f>
        <v>12</v>
      </c>
    </row>
    <row r="41" spans="1:2" ht="15" customHeight="1" x14ac:dyDescent="0.25">
      <c r="A41" s="124" t="s">
        <v>586</v>
      </c>
    </row>
    <row r="42" spans="1:2" ht="15" customHeight="1" x14ac:dyDescent="0.25">
      <c r="A42" s="125" t="s">
        <v>115</v>
      </c>
      <c r="B42" s="107">
        <f>40-B37</f>
        <v>25</v>
      </c>
    </row>
    <row r="43" spans="1:2" ht="15" customHeight="1" x14ac:dyDescent="0.25">
      <c r="A43" s="125" t="s">
        <v>123</v>
      </c>
      <c r="B43" s="107">
        <f>40-B38</f>
        <v>36</v>
      </c>
    </row>
    <row r="44" spans="1:2" ht="15" customHeight="1" x14ac:dyDescent="0.25">
      <c r="A44" s="125" t="s">
        <v>120</v>
      </c>
      <c r="B44" s="107">
        <f>40-B39</f>
        <v>28</v>
      </c>
    </row>
    <row r="46" spans="1:2" ht="15" customHeight="1" x14ac:dyDescent="0.25">
      <c r="A46" s="124" t="s">
        <v>587</v>
      </c>
    </row>
    <row r="47" spans="1:2" ht="15" customHeight="1" x14ac:dyDescent="0.25">
      <c r="A47" s="125" t="s">
        <v>115</v>
      </c>
      <c r="B47" s="63">
        <f>B32*B42</f>
        <v>1912475</v>
      </c>
    </row>
    <row r="48" spans="1:2" ht="15" customHeight="1" x14ac:dyDescent="0.25">
      <c r="A48" s="125" t="s">
        <v>123</v>
      </c>
      <c r="B48" s="63">
        <f>B33*B43</f>
        <v>2633580</v>
      </c>
    </row>
    <row r="49" spans="1:7" ht="15" customHeight="1" x14ac:dyDescent="0.25">
      <c r="A49" s="125" t="s">
        <v>120</v>
      </c>
      <c r="B49" s="63">
        <f>B34*B44</f>
        <v>2278136</v>
      </c>
    </row>
    <row r="51" spans="1:7" ht="15" customHeight="1" x14ac:dyDescent="0.25">
      <c r="A51" s="109" t="s">
        <v>588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4" t="s">
        <v>589</v>
      </c>
      <c r="B52" s="124" t="s">
        <v>590</v>
      </c>
      <c r="C52" s="124" t="s">
        <v>591</v>
      </c>
      <c r="D52" s="124" t="s">
        <v>592</v>
      </c>
      <c r="E52" s="124" t="s">
        <v>593</v>
      </c>
      <c r="F52" s="124" t="s">
        <v>594</v>
      </c>
      <c r="G52" s="124" t="s">
        <v>595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270925.32000000007</v>
      </c>
      <c r="D53" s="63">
        <f t="shared" ref="D53:D92" si="22">MIN(C53,B53)</f>
        <v>73155</v>
      </c>
      <c r="E53" s="63">
        <f>Model!CH125</f>
        <v>570021.54700517189</v>
      </c>
      <c r="F53" s="63">
        <f>E53*Assumptions!$B$59</f>
        <v>21375.808012693946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197770.32000000007</v>
      </c>
      <c r="D54" s="63">
        <f t="shared" si="22"/>
        <v>73155</v>
      </c>
      <c r="E54" s="63">
        <f t="shared" ref="E54:E92" si="25">MAX(0,E53+F53-G53)</f>
        <v>591397.35501786578</v>
      </c>
      <c r="F54" s="63">
        <f>E54*Assumptions!$B$59</f>
        <v>22177.400813169967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124615.32000000007</v>
      </c>
      <c r="D55" s="63">
        <f t="shared" si="22"/>
        <v>73155</v>
      </c>
      <c r="E55" s="63">
        <f t="shared" si="25"/>
        <v>613574.75583103579</v>
      </c>
      <c r="F55" s="63">
        <f>E55*Assumptions!$B$59</f>
        <v>23009.05334366384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51460.320000000065</v>
      </c>
      <c r="D56" s="63">
        <f t="shared" si="22"/>
        <v>51460.320000000065</v>
      </c>
      <c r="E56" s="63">
        <f t="shared" si="25"/>
        <v>636583.80917469959</v>
      </c>
      <c r="F56" s="63">
        <f>E56*Assumptions!$B$59</f>
        <v>23871.892844051235</v>
      </c>
      <c r="G56" s="63">
        <f t="shared" si="23"/>
        <v>21694.679999999935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638761.0220187509</v>
      </c>
      <c r="F57" s="63">
        <f>E57*Assumptions!$B$59</f>
        <v>23953.538325703157</v>
      </c>
      <c r="G57" s="63">
        <f t="shared" si="23"/>
        <v>73155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589559.56034445402</v>
      </c>
      <c r="F58" s="63">
        <f>E58*Assumptions!$B$59</f>
        <v>22108.483512917024</v>
      </c>
      <c r="G58" s="63">
        <f t="shared" si="23"/>
        <v>73155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538513.04385737109</v>
      </c>
      <c r="F59" s="63">
        <f>E59*Assumptions!$B$59</f>
        <v>20194.239144651416</v>
      </c>
      <c r="G59" s="63">
        <f t="shared" si="23"/>
        <v>73155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485552.28300202254</v>
      </c>
      <c r="F60" s="63">
        <f>E60*Assumptions!$B$59</f>
        <v>18208.210612575844</v>
      </c>
      <c r="G60" s="63">
        <f t="shared" si="23"/>
        <v>73155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430605.49361459841</v>
      </c>
      <c r="F61" s="63">
        <f>E61*Assumptions!$B$59</f>
        <v>16147.706010547439</v>
      </c>
      <c r="G61" s="63">
        <f t="shared" si="23"/>
        <v>73155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373598.19962514588</v>
      </c>
      <c r="F62" s="63">
        <f>E62*Assumptions!$B$59</f>
        <v>14009.932485942971</v>
      </c>
      <c r="G62" s="63">
        <f t="shared" si="23"/>
        <v>73155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314453.13211108884</v>
      </c>
      <c r="F63" s="63">
        <f>E63*Assumptions!$B$59</f>
        <v>11791.992454165831</v>
      </c>
      <c r="G63" s="63">
        <f t="shared" si="23"/>
        <v>73155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253090.12456525466</v>
      </c>
      <c r="F64" s="63">
        <f>E64*Assumptions!$B$59</f>
        <v>9490.8796711970499</v>
      </c>
      <c r="G64" s="63">
        <f t="shared" si="23"/>
        <v>73155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189426.0042364517</v>
      </c>
      <c r="F65" s="63">
        <f>E65*Assumptions!$B$59</f>
        <v>7103.4751588669387</v>
      </c>
      <c r="G65" s="63">
        <f t="shared" si="23"/>
        <v>73155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123374.47939531863</v>
      </c>
      <c r="F66" s="63">
        <f>E66*Assumptions!$B$59</f>
        <v>4626.5429773244487</v>
      </c>
      <c r="G66" s="63">
        <f t="shared" si="23"/>
        <v>73155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54846.022372643085</v>
      </c>
      <c r="F67" s="63">
        <f>E67*Assumptions!$B$59</f>
        <v>2056.7258389741155</v>
      </c>
      <c r="G67" s="63">
        <f t="shared" si="23"/>
        <v>56902.748211617203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4" t="s">
        <v>596</v>
      </c>
      <c r="D93" s="126">
        <f>SUM(D53:D92)</f>
        <v>270925.32000000007</v>
      </c>
      <c r="F93" s="126">
        <f>SUM(F53:F92)</f>
        <v>240125.88120644525</v>
      </c>
      <c r="G93" s="126">
        <f>SUM(G53:G92)</f>
        <v>810147.42821161717</v>
      </c>
    </row>
    <row r="96" spans="1:7" ht="15" customHeight="1" x14ac:dyDescent="0.25">
      <c r="A96" s="127" t="s">
        <v>597</v>
      </c>
    </row>
    <row r="97" spans="1:86" ht="15" customHeight="1" x14ac:dyDescent="0.25">
      <c r="A97" t="s">
        <v>598</v>
      </c>
      <c r="C97">
        <f>IF(AND(Projects!$G$17="Yes",1&gt;=Projects!$C$17,1&lt;Projects!$C$17+Projects!$D$17),Projects!$B$17*INDEX(Curves!$B$4:$AO$4,1,1-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$4:$AO$4,1,1-Projects!$C$24+1),0)+IF(AND(Projects!$G$25="Yes",1&gt;=Projects!$C$25,1&lt;Projects!$C$25+Projects!$D$25),Projects!$B$25*INDEX(Curves!$B$4:$AO$4,1,1-Projects!$C$25+1),0)+IF(AND(Projects!$G$26="Yes",1&gt;=Projects!$C$26,1&lt;Projects!$C$26+Projects!$D$26),Projects!$B$26*INDEX(Curves!$B$4:$AO$4,1,1-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>
        <f>IF(AND(Projects!$G$17="Yes",2&gt;=Projects!$C$17,2&lt;Projects!$C$17+Projects!$D$17),Projects!$B$17*INDEX(Curves!$B$4:$AO$4,1,2-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$4:$AO$4,1,2-Projects!$C$24+1),0)+IF(AND(Projects!$G$25="Yes",2&gt;=Projects!$C$25,2&lt;Projects!$C$25+Projects!$D$25),Projects!$B$25*INDEX(Curves!$B$4:$AO$4,1,2-Projects!$C$25+1),0)+IF(AND(Projects!$G$26="Yes",2&gt;=Projects!$C$26,2&lt;Projects!$C$26+Projects!$D$26),Projects!$B$26*INDEX(Curves!$B$4:$AO$4,1,2-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>
        <f>IF(AND(Projects!$G$17="Yes",3&gt;=Projects!$C$17,3&lt;Projects!$C$17+Projects!$D$17),Projects!$B$17*INDEX(Curves!$B$4:$AO$4,1,3-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$4:$AO$4,1,3-Projects!$C$24+1),0)+IF(AND(Projects!$G$25="Yes",3&gt;=Projects!$C$25,3&lt;Projects!$C$25+Projects!$D$25),Projects!$B$25*INDEX(Curves!$B$4:$AO$4,1,3-Projects!$C$25+1),0)+IF(AND(Projects!$G$26="Yes",3&gt;=Projects!$C$26,3&lt;Projects!$C$26+Projects!$D$26),Projects!$B$26*INDEX(Curves!$B$4:$AO$4,1,3-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>
        <f>IF(AND(Projects!$G$17="Yes",4&gt;=Projects!$C$17,4&lt;Projects!$C$17+Projects!$D$17),Projects!$B$17*INDEX(Curves!$B$4:$AO$4,1,4-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$4:$AO$4,1,4-Projects!$C$24+1),0)+IF(AND(Projects!$G$25="Yes",4&gt;=Projects!$C$25,4&lt;Projects!$C$25+Projects!$D$25),Projects!$B$25*INDEX(Curves!$B$4:$AO$4,1,4-Projects!$C$25+1),0)+IF(AND(Projects!$G$26="Yes",4&gt;=Projects!$C$26,4&lt;Projects!$C$26+Projects!$D$26),Projects!$B$26*INDEX(Curves!$B$4:$AO$4,1,4-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>
        <f>IF(AND(Projects!$G$17="Yes",5&gt;=Projects!$C$17,5&lt;Projects!$C$17+Projects!$D$17),Projects!$B$17*INDEX(Curves!$B$4:$AO$4,1,5-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$4:$AO$4,1,5-Projects!$C$24+1),0)+IF(AND(Projects!$G$25="Yes",5&gt;=Projects!$C$25,5&lt;Projects!$C$25+Projects!$D$25),Projects!$B$25*INDEX(Curves!$B$4:$AO$4,1,5-Projects!$C$25+1),0)+IF(AND(Projects!$G$26="Yes",5&gt;=Projects!$C$26,5&lt;Projects!$C$26+Projects!$D$26),Projects!$B$26*INDEX(Curves!$B$4:$AO$4,1,5-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>
        <f>IF(AND(Projects!$G$17="Yes",6&gt;=Projects!$C$17,6&lt;Projects!$C$17+Projects!$D$17),Projects!$B$17*INDEX(Curves!$B$4:$AO$4,1,6-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$4:$AO$4,1,6-Projects!$C$24+1),0)+IF(AND(Projects!$G$25="Yes",6&gt;=Projects!$C$25,6&lt;Projects!$C$25+Projects!$D$25),Projects!$B$25*INDEX(Curves!$B$4:$AO$4,1,6-Projects!$C$25+1),0)+IF(AND(Projects!$G$26="Yes",6&gt;=Projects!$C$26,6&lt;Projects!$C$26+Projects!$D$26),Projects!$B$26*INDEX(Curves!$B$4:$AO$4,1,6-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>
        <f>IF(AND(Projects!$G$17="Yes",7&gt;=Projects!$C$17,7&lt;Projects!$C$17+Projects!$D$17),Projects!$B$17*INDEX(Curves!$B$4:$AO$4,1,7-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$4:$AO$4,1,7-Projects!$C$24+1),0)+IF(AND(Projects!$G$25="Yes",7&gt;=Projects!$C$25,7&lt;Projects!$C$25+Projects!$D$25),Projects!$B$25*INDEX(Curves!$B$4:$AO$4,1,7-Projects!$C$25+1),0)+IF(AND(Projects!$G$26="Yes",7&gt;=Projects!$C$26,7&lt;Projects!$C$26+Projects!$D$26),Projects!$B$26*INDEX(Curves!$B$4:$AO$4,1,7-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>
        <f>IF(AND(Projects!$G$17="Yes",8&gt;=Projects!$C$17,8&lt;Projects!$C$17+Projects!$D$17),Projects!$B$17*INDEX(Curves!$B$4:$AO$4,1,8-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$4:$AO$4,1,8-Projects!$C$24+1),0)+IF(AND(Projects!$G$25="Yes",8&gt;=Projects!$C$25,8&lt;Projects!$C$25+Projects!$D$25),Projects!$B$25*INDEX(Curves!$B$4:$AO$4,1,8-Projects!$C$25+1),0)+IF(AND(Projects!$G$26="Yes",8&gt;=Projects!$C$26,8&lt;Projects!$C$26+Projects!$D$26),Projects!$B$26*INDEX(Curves!$B$4:$AO$4,1,8-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>
        <f>IF(AND(Projects!$G$17="Yes",9&gt;=Projects!$C$17,9&lt;Projects!$C$17+Projects!$D$17),Projects!$B$17*INDEX(Curves!$B$4:$AO$4,1,9-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$4:$AO$4,1,9-Projects!$C$24+1),0)+IF(AND(Projects!$G$25="Yes",9&gt;=Projects!$C$25,9&lt;Projects!$C$25+Projects!$D$25),Projects!$B$25*INDEX(Curves!$B$4:$AO$4,1,9-Projects!$C$25+1),0)+IF(AND(Projects!$G$26="Yes",9&gt;=Projects!$C$26,9&lt;Projects!$C$26+Projects!$D$26),Projects!$B$26*INDEX(Curves!$B$4:$AO$4,1,9-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>
        <f>IF(AND(Projects!$G$17="Yes",10&gt;=Projects!$C$17,10&lt;Projects!$C$17+Projects!$D$17),Projects!$B$17*INDEX(Curves!$B$4:$AO$4,1,10-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$4:$AO$4,1,10-Projects!$C$24+1),0)+IF(AND(Projects!$G$25="Yes",10&gt;=Projects!$C$25,10&lt;Projects!$C$25+Projects!$D$25),Projects!$B$25*INDEX(Curves!$B$4:$AO$4,1,10-Projects!$C$25+1),0)+IF(AND(Projects!$G$26="Yes",10&gt;=Projects!$C$26,10&lt;Projects!$C$26+Projects!$D$26),Projects!$B$26*INDEX(Curves!$B$4:$AO$4,1,10-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>
        <f>IF(AND(Projects!$G$17="Yes",11&gt;=Projects!$C$17,11&lt;Projects!$C$17+Projects!$D$17),Projects!$B$17*INDEX(Curves!$B$4:$AO$4,1,11-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$4:$AO$4,1,11-Projects!$C$24+1),0)+IF(AND(Projects!$G$25="Yes",11&gt;=Projects!$C$25,11&lt;Projects!$C$25+Projects!$D$25),Projects!$B$25*INDEX(Curves!$B$4:$AO$4,1,11-Projects!$C$25+1),0)+IF(AND(Projects!$G$26="Yes",11&gt;=Projects!$C$26,11&lt;Projects!$C$26+Projects!$D$26),Projects!$B$26*INDEX(Curves!$B$4:$AO$4,1,11-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>
        <f>IF(AND(Projects!$G$17="Yes",12&gt;=Projects!$C$17,12&lt;Projects!$C$17+Projects!$D$17),Projects!$B$17*INDEX(Curves!$B$4:$AO$4,1,12-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$4:$AO$4,1,12-Projects!$C$24+1),0)+IF(AND(Projects!$G$25="Yes",12&gt;=Projects!$C$25,12&lt;Projects!$C$25+Projects!$D$25),Projects!$B$25*INDEX(Curves!$B$4:$AO$4,1,12-Projects!$C$25+1),0)+IF(AND(Projects!$G$26="Yes",12&gt;=Projects!$C$26,12&lt;Projects!$C$26+Projects!$D$26),Projects!$B$26*INDEX(Curves!$B$4:$AO$4,1,12-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>
        <f>IF(AND(Projects!$G$17="Yes",13&gt;=Projects!$C$17,13&lt;Projects!$C$17+Projects!$D$17),Projects!$B$17*INDEX(Curves!$B$4:$AO$4,1,13-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$4:$AO$4,1,13-Projects!$C$24+1),0)+IF(AND(Projects!$G$25="Yes",13&gt;=Projects!$C$25,13&lt;Projects!$C$25+Projects!$D$25),Projects!$B$25*INDEX(Curves!$B$4:$AO$4,1,13-Projects!$C$25+1),0)+IF(AND(Projects!$G$26="Yes",13&gt;=Projects!$C$26,13&lt;Projects!$C$26+Projects!$D$26),Projects!$B$26*INDEX(Curves!$B$4:$AO$4,1,13-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>
        <f>IF(AND(Projects!$G$17="Yes",14&gt;=Projects!$C$17,14&lt;Projects!$C$17+Projects!$D$17),Projects!$B$17*INDEX(Curves!$B$4:$AO$4,1,14-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$4:$AO$4,1,14-Projects!$C$24+1),0)+IF(AND(Projects!$G$25="Yes",14&gt;=Projects!$C$25,14&lt;Projects!$C$25+Projects!$D$25),Projects!$B$25*INDEX(Curves!$B$4:$AO$4,1,14-Projects!$C$25+1),0)+IF(AND(Projects!$G$26="Yes",14&gt;=Projects!$C$26,14&lt;Projects!$C$26+Projects!$D$26),Projects!$B$26*INDEX(Curves!$B$4:$AO$4,1,14-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>
        <f>IF(AND(Projects!$G$17="Yes",15&gt;=Projects!$C$17,15&lt;Projects!$C$17+Projects!$D$17),Projects!$B$17*INDEX(Curves!$B$4:$AO$4,1,15-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$4:$AO$4,1,15-Projects!$C$24+1),0)+IF(AND(Projects!$G$25="Yes",15&gt;=Projects!$C$25,15&lt;Projects!$C$25+Projects!$D$25),Projects!$B$25*INDEX(Curves!$B$4:$AO$4,1,15-Projects!$C$25+1),0)+IF(AND(Projects!$G$26="Yes",15&gt;=Projects!$C$26,15&lt;Projects!$C$26+Projects!$D$26),Projects!$B$26*INDEX(Curves!$B$4:$AO$4,1,15-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>
        <f>IF(AND(Projects!$G$17="Yes",16&gt;=Projects!$C$17,16&lt;Projects!$C$17+Projects!$D$17),Projects!$B$17*INDEX(Curves!$B$4:$AO$4,1,16-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$4:$AO$4,1,16-Projects!$C$24+1),0)+IF(AND(Projects!$G$25="Yes",16&gt;=Projects!$C$25,16&lt;Projects!$C$25+Projects!$D$25),Projects!$B$25*INDEX(Curves!$B$4:$AO$4,1,16-Projects!$C$25+1),0)+IF(AND(Projects!$G$26="Yes",16&gt;=Projects!$C$26,16&lt;Projects!$C$26+Projects!$D$26),Projects!$B$26*INDEX(Curves!$B$4:$AO$4,1,16-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0</v>
      </c>
      <c r="S97">
        <f>IF(AND(Projects!$G$17="Yes",17&gt;=Projects!$C$17,17&lt;Projects!$C$17+Projects!$D$17),Projects!$B$17*INDEX(Curves!$B$4:$AO$4,1,17-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$4:$AO$4,1,17-Projects!$C$24+1),0)+IF(AND(Projects!$G$25="Yes",17&gt;=Projects!$C$25,17&lt;Projects!$C$25+Projects!$D$25),Projects!$B$25*INDEX(Curves!$B$4:$AO$4,1,17-Projects!$C$25+1),0)+IF(AND(Projects!$G$26="Yes",17&gt;=Projects!$C$26,17&lt;Projects!$C$26+Projects!$D$26),Projects!$B$26*INDEX(Curves!$B$4:$AO$4,1,17-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0</v>
      </c>
      <c r="T97">
        <f>IF(AND(Projects!$G$17="Yes",18&gt;=Projects!$C$17,18&lt;Projects!$C$17+Projects!$D$17),Projects!$B$17*INDEX(Curves!$B$4:$AO$4,1,18-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$4:$AO$4,1,18-Projects!$C$24+1),0)+IF(AND(Projects!$G$25="Yes",18&gt;=Projects!$C$25,18&lt;Projects!$C$25+Projects!$D$25),Projects!$B$25*INDEX(Curves!$B$4:$AO$4,1,18-Projects!$C$25+1),0)+IF(AND(Projects!$G$26="Yes",18&gt;=Projects!$C$26,18&lt;Projects!$C$26+Projects!$D$26),Projects!$B$26*INDEX(Curves!$B$4:$AO$4,1,18-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0</v>
      </c>
      <c r="U97">
        <f>IF(AND(Projects!$G$17="Yes",19&gt;=Projects!$C$17,19&lt;Projects!$C$17+Projects!$D$17),Projects!$B$17*INDEX(Curves!$B$4:$AO$4,1,19-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$4:$AO$4,1,19-Projects!$C$24+1),0)+IF(AND(Projects!$G$25="Yes",19&gt;=Projects!$C$25,19&lt;Projects!$C$25+Projects!$D$25),Projects!$B$25*INDEX(Curves!$B$4:$AO$4,1,19-Projects!$C$25+1),0)+IF(AND(Projects!$G$26="Yes",19&gt;=Projects!$C$26,19&lt;Projects!$C$26+Projects!$D$26),Projects!$B$26*INDEX(Curves!$B$4:$AO$4,1,19-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0</v>
      </c>
      <c r="V97">
        <f>IF(AND(Projects!$G$17="Yes",20&gt;=Projects!$C$17,20&lt;Projects!$C$17+Projects!$D$17),Projects!$B$17*INDEX(Curves!$B$4:$AO$4,1,20-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$4:$AO$4,1,20-Projects!$C$24+1),0)+IF(AND(Projects!$G$25="Yes",20&gt;=Projects!$C$25,20&lt;Projects!$C$25+Projects!$D$25),Projects!$B$25*INDEX(Curves!$B$4:$AO$4,1,20-Projects!$C$25+1),0)+IF(AND(Projects!$G$26="Yes",20&gt;=Projects!$C$26,20&lt;Projects!$C$26+Projects!$D$26),Projects!$B$26*INDEX(Curves!$B$4:$AO$4,1,20-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0</v>
      </c>
      <c r="W97">
        <f>IF(AND(Projects!$G$17="Yes",21&gt;=Projects!$C$17,21&lt;Projects!$C$17+Projects!$D$17),Projects!$B$17*INDEX(Curves!$B$4:$AO$4,1,21-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$4:$AO$4,1,21-Projects!$C$24+1),0)+IF(AND(Projects!$G$25="Yes",21&gt;=Projects!$C$25,21&lt;Projects!$C$25+Projects!$D$25),Projects!$B$25*INDEX(Curves!$B$4:$AO$4,1,21-Projects!$C$25+1),0)+IF(AND(Projects!$G$26="Yes",21&gt;=Projects!$C$26,21&lt;Projects!$C$26+Projects!$D$26),Projects!$B$26*INDEX(Curves!$B$4:$AO$4,1,21-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0</v>
      </c>
      <c r="X97">
        <f>IF(AND(Projects!$G$17="Yes",22&gt;=Projects!$C$17,22&lt;Projects!$C$17+Projects!$D$17),Projects!$B$17*INDEX(Curves!$B$4:$AO$4,1,22-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$4:$AO$4,1,22-Projects!$C$24+1),0)+IF(AND(Projects!$G$25="Yes",22&gt;=Projects!$C$25,22&lt;Projects!$C$25+Projects!$D$25),Projects!$B$25*INDEX(Curves!$B$4:$AO$4,1,22-Projects!$C$25+1),0)+IF(AND(Projects!$G$26="Yes",22&gt;=Projects!$C$26,22&lt;Projects!$C$26+Projects!$D$26),Projects!$B$26*INDEX(Curves!$B$4:$AO$4,1,22-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0</v>
      </c>
      <c r="Y97">
        <f>IF(AND(Projects!$G$17="Yes",23&gt;=Projects!$C$17,23&lt;Projects!$C$17+Projects!$D$17),Projects!$B$17*INDEX(Curves!$B$4:$AO$4,1,23-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$4:$AO$4,1,23-Projects!$C$24+1),0)+IF(AND(Projects!$G$25="Yes",23&gt;=Projects!$C$25,23&lt;Projects!$C$25+Projects!$D$25),Projects!$B$25*INDEX(Curves!$B$4:$AO$4,1,23-Projects!$C$25+1),0)+IF(AND(Projects!$G$26="Yes",23&gt;=Projects!$C$26,23&lt;Projects!$C$26+Projects!$D$26),Projects!$B$26*INDEX(Curves!$B$4:$AO$4,1,23-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0</v>
      </c>
      <c r="Z97">
        <f>IF(AND(Projects!$G$17="Yes",24&gt;=Projects!$C$17,24&lt;Projects!$C$17+Projects!$D$17),Projects!$B$17*INDEX(Curves!$B$4:$AO$4,1,24-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$4:$AO$4,1,24-Projects!$C$24+1),0)+IF(AND(Projects!$G$25="Yes",24&gt;=Projects!$C$25,24&lt;Projects!$C$25+Projects!$D$25),Projects!$B$25*INDEX(Curves!$B$4:$AO$4,1,24-Projects!$C$25+1),0)+IF(AND(Projects!$G$26="Yes",24&gt;=Projects!$C$26,24&lt;Projects!$C$26+Projects!$D$26),Projects!$B$26*INDEX(Curves!$B$4:$AO$4,1,24-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0</v>
      </c>
      <c r="AA97">
        <f>IF(AND(Projects!$G$17="Yes",25&gt;=Projects!$C$17,25&lt;Projects!$C$17+Projects!$D$17),Projects!$B$17*INDEX(Curves!$B$4:$AO$4,1,25-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$4:$AO$4,1,25-Projects!$C$24+1),0)+IF(AND(Projects!$G$25="Yes",25&gt;=Projects!$C$25,25&lt;Projects!$C$25+Projects!$D$25),Projects!$B$25*INDEX(Curves!$B$4:$AO$4,1,25-Projects!$C$25+1),0)+IF(AND(Projects!$G$26="Yes",25&gt;=Projects!$C$26,25&lt;Projects!$C$26+Projects!$D$26),Projects!$B$26*INDEX(Curves!$B$4:$AO$4,1,25-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0</v>
      </c>
      <c r="AB97">
        <f>IF(AND(Projects!$G$17="Yes",26&gt;=Projects!$C$17,26&lt;Projects!$C$17+Projects!$D$17),Projects!$B$17*INDEX(Curves!$B$4:$AO$4,1,26-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$4:$AO$4,1,26-Projects!$C$24+1),0)+IF(AND(Projects!$G$25="Yes",26&gt;=Projects!$C$25,26&lt;Projects!$C$25+Projects!$D$25),Projects!$B$25*INDEX(Curves!$B$4:$AO$4,1,26-Projects!$C$25+1),0)+IF(AND(Projects!$G$26="Yes",26&gt;=Projects!$C$26,26&lt;Projects!$C$26+Projects!$D$26),Projects!$B$26*INDEX(Curves!$B$4:$AO$4,1,26-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0</v>
      </c>
      <c r="AC97">
        <f>IF(AND(Projects!$G$17="Yes",27&gt;=Projects!$C$17,27&lt;Projects!$C$17+Projects!$D$17),Projects!$B$17*INDEX(Curves!$B$4:$AO$4,1,27-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$4:$AO$4,1,27-Projects!$C$24+1),0)+IF(AND(Projects!$G$25="Yes",27&gt;=Projects!$C$25,27&lt;Projects!$C$25+Projects!$D$25),Projects!$B$25*INDEX(Curves!$B$4:$AO$4,1,27-Projects!$C$25+1),0)+IF(AND(Projects!$G$26="Yes",27&gt;=Projects!$C$26,27&lt;Projects!$C$26+Projects!$D$26),Projects!$B$26*INDEX(Curves!$B$4:$AO$4,1,27-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0</v>
      </c>
      <c r="AD97">
        <f>IF(AND(Projects!$G$17="Yes",28&gt;=Projects!$C$17,28&lt;Projects!$C$17+Projects!$D$17),Projects!$B$17*INDEX(Curves!$B$4:$AO$4,1,28-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$4:$AO$4,1,28-Projects!$C$24+1),0)+IF(AND(Projects!$G$25="Yes",28&gt;=Projects!$C$25,28&lt;Projects!$C$25+Projects!$D$25),Projects!$B$25*INDEX(Curves!$B$4:$AO$4,1,28-Projects!$C$25+1),0)+IF(AND(Projects!$G$26="Yes",28&gt;=Projects!$C$26,28&lt;Projects!$C$26+Projects!$D$26),Projects!$B$26*INDEX(Curves!$B$4:$AO$4,1,28-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0</v>
      </c>
      <c r="AE97">
        <f>IF(AND(Projects!$G$17="Yes",29&gt;=Projects!$C$17,29&lt;Projects!$C$17+Projects!$D$17),Projects!$B$17*INDEX(Curves!$B$4:$AO$4,1,29-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$4:$AO$4,1,29-Projects!$C$24+1),0)+IF(AND(Projects!$G$25="Yes",29&gt;=Projects!$C$25,29&lt;Projects!$C$25+Projects!$D$25),Projects!$B$25*INDEX(Curves!$B$4:$AO$4,1,29-Projects!$C$25+1),0)+IF(AND(Projects!$G$26="Yes",29&gt;=Projects!$C$26,29&lt;Projects!$C$26+Projects!$D$26),Projects!$B$26*INDEX(Curves!$B$4:$AO$4,1,29-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0</v>
      </c>
      <c r="AF97">
        <f>IF(AND(Projects!$G$17="Yes",30&gt;=Projects!$C$17,30&lt;Projects!$C$17+Projects!$D$17),Projects!$B$17*INDEX(Curves!$B$4:$AO$4,1,30-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$4:$AO$4,1,30-Projects!$C$24+1),0)+IF(AND(Projects!$G$25="Yes",30&gt;=Projects!$C$25,30&lt;Projects!$C$25+Projects!$D$25),Projects!$B$25*INDEX(Curves!$B$4:$AO$4,1,30-Projects!$C$25+1),0)+IF(AND(Projects!$G$26="Yes",30&gt;=Projects!$C$26,30&lt;Projects!$C$26+Projects!$D$26),Projects!$B$26*INDEX(Curves!$B$4:$AO$4,1,30-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0</v>
      </c>
      <c r="AG97">
        <f>IF(AND(Projects!$G$17="Yes",31&gt;=Projects!$C$17,31&lt;Projects!$C$17+Projects!$D$17),Projects!$B$17*INDEX(Curves!$B$4:$AO$4,1,31-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$4:$AO$4,1,31-Projects!$C$24+1),0)+IF(AND(Projects!$G$25="Yes",31&gt;=Projects!$C$25,31&lt;Projects!$C$25+Projects!$D$25),Projects!$B$25*INDEX(Curves!$B$4:$AO$4,1,31-Projects!$C$25+1),0)+IF(AND(Projects!$G$26="Yes",31&gt;=Projects!$C$26,31&lt;Projects!$C$26+Projects!$D$26),Projects!$B$26*INDEX(Curves!$B$4:$AO$4,1,31-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477306</v>
      </c>
      <c r="AH97">
        <f>IF(AND(Projects!$G$17="Yes",32&gt;=Projects!$C$17,32&lt;Projects!$C$17+Projects!$D$17),Projects!$B$17*INDEX(Curves!$B$4:$AO$4,1,32-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$4:$AO$4,1,32-Projects!$C$24+1),0)+IF(AND(Projects!$G$25="Yes",32&gt;=Projects!$C$25,32&lt;Projects!$C$25+Projects!$D$25),Projects!$B$25*INDEX(Curves!$B$4:$AO$4,1,32-Projects!$C$25+1),0)+IF(AND(Projects!$G$26="Yes",32&gt;=Projects!$C$26,32&lt;Projects!$C$26+Projects!$D$26),Projects!$B$26*INDEX(Curves!$B$4:$AO$4,1,32-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589698</v>
      </c>
      <c r="AI97">
        <f>IF(AND(Projects!$G$17="Yes",33&gt;=Projects!$C$17,33&lt;Projects!$C$17+Projects!$D$17),Projects!$B$17*INDEX(Curves!$B$4:$AO$4,1,33-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$4:$AO$4,1,33-Projects!$C$24+1),0)+IF(AND(Projects!$G$25="Yes",33&gt;=Projects!$C$25,33&lt;Projects!$C$25+Projects!$D$25),Projects!$B$25*INDEX(Curves!$B$4:$AO$4,1,33-Projects!$C$25+1),0)+IF(AND(Projects!$G$26="Yes",33&gt;=Projects!$C$26,33&lt;Projects!$C$26+Projects!$D$26),Projects!$B$26*INDEX(Curves!$B$4:$AO$4,1,33-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710676</v>
      </c>
      <c r="AJ97">
        <f>IF(AND(Projects!$G$17="Yes",34&gt;=Projects!$C$17,34&lt;Projects!$C$17+Projects!$D$17),Projects!$B$17*INDEX(Curves!$B$4:$AO$4,1,34-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$4:$AO$4,1,34-Projects!$C$24+1),0)+IF(AND(Projects!$G$25="Yes",34&gt;=Projects!$C$25,34&lt;Projects!$C$25+Projects!$D$25),Projects!$B$25*INDEX(Curves!$B$4:$AO$4,1,34-Projects!$C$25+1),0)+IF(AND(Projects!$G$26="Yes",34&gt;=Projects!$C$26,34&lt;Projects!$C$26+Projects!$D$26),Projects!$B$26*INDEX(Curves!$B$4:$AO$4,1,34-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835416</v>
      </c>
      <c r="AK97">
        <f>IF(AND(Projects!$G$17="Yes",35&gt;=Projects!$C$17,35&lt;Projects!$C$17+Projects!$D$17),Projects!$B$17*INDEX(Curves!$B$4:$AO$4,1,35-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$4:$AO$4,1,35-Projects!$C$24+1),0)+IF(AND(Projects!$G$25="Yes",35&gt;=Projects!$C$25,35&lt;Projects!$C$25+Projects!$D$25),Projects!$B$25*INDEX(Curves!$B$4:$AO$4,1,35-Projects!$C$25+1),0)+IF(AND(Projects!$G$26="Yes",35&gt;=Projects!$C$26,35&lt;Projects!$C$26+Projects!$D$26),Projects!$B$26*INDEX(Curves!$B$4:$AO$4,1,35-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1355679</v>
      </c>
      <c r="AL97">
        <f>IF(AND(Projects!$G$17="Yes",36&gt;=Projects!$C$17,36&lt;Projects!$C$17+Projects!$D$17),Projects!$B$17*INDEX(Curves!$B$4:$AO$4,1,36-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$4:$AO$4,1,36-Projects!$C$24+1),0)+IF(AND(Projects!$G$25="Yes",36&gt;=Projects!$C$25,36&lt;Projects!$C$25+Projects!$D$25),Projects!$B$25*INDEX(Curves!$B$4:$AO$4,1,36-Projects!$C$25+1),0)+IF(AND(Projects!$G$26="Yes",36&gt;=Projects!$C$26,36&lt;Projects!$C$26+Projects!$D$26),Projects!$B$26*INDEX(Curves!$B$4:$AO$4,1,36-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1562811</v>
      </c>
      <c r="AM97">
        <f>IF(AND(Projects!$G$17="Yes",37&gt;=Projects!$C$17,37&lt;Projects!$C$17+Projects!$D$17),Projects!$B$17*INDEX(Curves!$B$4:$AO$4,1,37-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$4:$AO$4,1,37-Projects!$C$24+1),0)+IF(AND(Projects!$G$25="Yes",37&gt;=Projects!$C$25,37&lt;Projects!$C$25+Projects!$D$25),Projects!$B$25*INDEX(Curves!$B$4:$AO$4,1,37-Projects!$C$25+1),0)+IF(AND(Projects!$G$26="Yes",37&gt;=Projects!$C$26,37&lt;Projects!$C$26+Projects!$D$26),Projects!$B$26*INDEX(Curves!$B$4:$AO$4,1,37-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1761096</v>
      </c>
      <c r="AN97">
        <f>IF(AND(Projects!$G$17="Yes",38&gt;=Projects!$C$17,38&lt;Projects!$C$17+Projects!$D$17),Projects!$B$17*INDEX(Curves!$B$4:$AO$4,1,38-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$4:$AO$4,1,38-Projects!$C$24+1),0)+IF(AND(Projects!$G$25="Yes",38&gt;=Projects!$C$25,38&lt;Projects!$C$25+Projects!$D$25),Projects!$B$25*INDEX(Curves!$B$4:$AO$4,1,38-Projects!$C$25+1),0)+IF(AND(Projects!$G$26="Yes",38&gt;=Projects!$C$26,38&lt;Projects!$C$26+Projects!$D$26),Projects!$B$26*INDEX(Curves!$B$4:$AO$4,1,38-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1940052</v>
      </c>
      <c r="AO97">
        <f>IF(AND(Projects!$G$17="Yes",39&gt;=Projects!$C$17,39&lt;Projects!$C$17+Projects!$D$17),Projects!$B$17*INDEX(Curves!$B$4:$AO$4,1,39-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$4:$AO$4,1,39-Projects!$C$24+1),0)+IF(AND(Projects!$G$25="Yes",39&gt;=Projects!$C$25,39&lt;Projects!$C$25+Projects!$D$25),Projects!$B$25*INDEX(Curves!$B$4:$AO$4,1,39-Projects!$C$25+1),0)+IF(AND(Projects!$G$26="Yes",39&gt;=Projects!$C$26,39&lt;Projects!$C$26+Projects!$D$26),Projects!$B$26*INDEX(Curves!$B$4:$AO$4,1,39-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2487201</v>
      </c>
      <c r="AP97">
        <f>IF(AND(Projects!$G$17="Yes",40&gt;=Projects!$C$17,40&lt;Projects!$C$17+Projects!$D$17),Projects!$B$17*INDEX(Curves!$B$4:$AO$4,1,40-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$4:$AO$4,1,40-Projects!$C$24+1),0)+IF(AND(Projects!$G$25="Yes",40&gt;=Projects!$C$25,40&lt;Projects!$C$25+Projects!$D$25),Projects!$B$25*INDEX(Curves!$B$4:$AO$4,1,40-Projects!$C$25+1),0)+IF(AND(Projects!$G$26="Yes",40&gt;=Projects!$C$26,40&lt;Projects!$C$26+Projects!$D$26),Projects!$B$26*INDEX(Curves!$B$4:$AO$4,1,40-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2691585</v>
      </c>
      <c r="AQ97">
        <f>IF(AND(Projects!$G$17="Yes",41&gt;=Projects!$C$17,41&lt;Projects!$C$17+Projects!$D$17),Projects!$B$17*INDEX(Curves!$B$4:$AO$4,1,41-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$4:$AO$4,1,41-Projects!$C$24+1),0)+IF(AND(Projects!$G$25="Yes",41&gt;=Projects!$C$25,41&lt;Projects!$C$25+Projects!$D$25),Projects!$B$25*INDEX(Curves!$B$4:$AO$4,1,41-Projects!$C$25+1),0)+IF(AND(Projects!$G$26="Yes",41&gt;=Projects!$C$26,41&lt;Projects!$C$26+Projects!$D$26),Projects!$B$26*INDEX(Curves!$B$4:$AO$4,1,41-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2857461</v>
      </c>
      <c r="AR97">
        <f>IF(AND(Projects!$G$17="Yes",42&gt;=Projects!$C$17,42&lt;Projects!$C$17+Projects!$D$17),Projects!$B$17*INDEX(Curves!$B$4:$AO$4,1,42-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$4:$AO$4,1,42-Projects!$C$24+1),0)+IF(AND(Projects!$G$25="Yes",42&gt;=Projects!$C$25,42&lt;Projects!$C$25+Projects!$D$25),Projects!$B$25*INDEX(Curves!$B$4:$AO$4,1,42-Projects!$C$25+1),0)+IF(AND(Projects!$G$26="Yes",42&gt;=Projects!$C$26,42&lt;Projects!$C$26+Projects!$D$26),Projects!$B$26*INDEX(Curves!$B$4:$AO$4,1,42-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2976612</v>
      </c>
      <c r="AS97">
        <f>IF(AND(Projects!$G$17="Yes",43&gt;=Projects!$C$17,43&lt;Projects!$C$17+Projects!$D$17),Projects!$B$17*INDEX(Curves!$B$4:$AO$4,1,43-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$4:$AO$4,1,43-Projects!$C$24+1),0)+IF(AND(Projects!$G$25="Yes",43&gt;=Projects!$C$25,43&lt;Projects!$C$25+Projects!$D$25),Projects!$B$25*INDEX(Curves!$B$4:$AO$4,1,43-Projects!$C$25+1),0)+IF(AND(Projects!$G$26="Yes",43&gt;=Projects!$C$26,43&lt;Projects!$C$26+Projects!$D$26),Projects!$B$26*INDEX(Curves!$B$4:$AO$4,1,43-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3520422</v>
      </c>
      <c r="AT97">
        <f>IF(AND(Projects!$G$17="Yes",44&gt;=Projects!$C$17,44&lt;Projects!$C$17+Projects!$D$17),Projects!$B$17*INDEX(Curves!$B$4:$AO$4,1,44-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$4:$AO$4,1,44-Projects!$C$24+1),0)+IF(AND(Projects!$G$25="Yes",44&gt;=Projects!$C$25,44&lt;Projects!$C$25+Projects!$D$25),Projects!$B$25*INDEX(Curves!$B$4:$AO$4,1,44-Projects!$C$25+1),0)+IF(AND(Projects!$G$26="Yes",44&gt;=Projects!$C$26,44&lt;Projects!$C$26+Projects!$D$26),Projects!$B$26*INDEX(Curves!$B$4:$AO$4,1,44-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3643374</v>
      </c>
      <c r="AU97">
        <f>IF(AND(Projects!$G$17="Yes",45&gt;=Projects!$C$17,45&lt;Projects!$C$17+Projects!$D$17),Projects!$B$17*INDEX(Curves!$B$4:$AO$4,1,45-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$4:$AO$4,1,45-Projects!$C$24+1),0)+IF(AND(Projects!$G$25="Yes",45&gt;=Projects!$C$25,45&lt;Projects!$C$25+Projects!$D$25),Projects!$B$25*INDEX(Curves!$B$4:$AO$4,1,45-Projects!$C$25+1),0)+IF(AND(Projects!$G$26="Yes",45&gt;=Projects!$C$26,45&lt;Projects!$C$26+Projects!$D$26),Projects!$B$26*INDEX(Curves!$B$4:$AO$4,1,45-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3718635</v>
      </c>
      <c r="AV97">
        <f>IF(AND(Projects!$G$17="Yes",46&gt;=Projects!$C$17,46&lt;Projects!$C$17+Projects!$D$17),Projects!$B$17*INDEX(Curves!$B$4:$AO$4,1,46-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$4:$AO$4,1,46-Projects!$C$24+1),0)+IF(AND(Projects!$G$25="Yes",46&gt;=Projects!$C$25,46&lt;Projects!$C$25+Projects!$D$25),Projects!$B$25*INDEX(Curves!$B$4:$AO$4,1,46-Projects!$C$25+1),0)+IF(AND(Projects!$G$26="Yes",46&gt;=Projects!$C$26,46&lt;Projects!$C$26+Projects!$D$26),Projects!$B$26*INDEX(Curves!$B$4:$AO$4,1,46-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3743952</v>
      </c>
      <c r="AW97">
        <f>IF(AND(Projects!$G$17="Yes",47&gt;=Projects!$C$17,47&lt;Projects!$C$17+Projects!$D$17),Projects!$B$17*INDEX(Curves!$B$4:$AO$4,1,47-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$4:$AO$4,1,47-Projects!$C$24+1),0)+IF(AND(Projects!$G$25="Yes",47&gt;=Projects!$C$25,47&lt;Projects!$C$25+Projects!$D$25),Projects!$B$25*INDEX(Curves!$B$4:$AO$4,1,47-Projects!$C$25+1),0)+IF(AND(Projects!$G$26="Yes",47&gt;=Projects!$C$26,47&lt;Projects!$C$26+Projects!$D$26),Projects!$B$26*INDEX(Curves!$B$4:$AO$4,1,47-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4116390</v>
      </c>
      <c r="AX97">
        <f>IF(AND(Projects!$G$17="Yes",48&gt;=Projects!$C$17,48&lt;Projects!$C$17+Projects!$D$17),Projects!$B$17*INDEX(Curves!$B$4:$AO$4,1,48-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$4:$AO$4,1,48-Projects!$C$24+1),0)+IF(AND(Projects!$G$25="Yes",48&gt;=Projects!$C$25,48&lt;Projects!$C$25+Projects!$D$25),Projects!$B$25*INDEX(Curves!$B$4:$AO$4,1,48-Projects!$C$25+1),0)+IF(AND(Projects!$G$26="Yes",48&gt;=Projects!$C$26,48&lt;Projects!$C$26+Projects!$D$26),Projects!$B$26*INDEX(Curves!$B$4:$AO$4,1,48-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4134789</v>
      </c>
      <c r="AY97">
        <f>IF(AND(Projects!$G$17="Yes",49&gt;=Projects!$C$17,49&lt;Projects!$C$17+Projects!$D$17),Projects!$B$17*INDEX(Curves!$B$4:$AO$4,1,49-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$4:$AO$4,1,49-Projects!$C$24+1),0)+IF(AND(Projects!$G$25="Yes",49&gt;=Projects!$C$25,49&lt;Projects!$C$25+Projects!$D$25),Projects!$B$25*INDEX(Curves!$B$4:$AO$4,1,49-Projects!$C$25+1),0)+IF(AND(Projects!$G$26="Yes",49&gt;=Projects!$C$26,49&lt;Projects!$C$26+Projects!$D$26),Projects!$B$26*INDEX(Curves!$B$4:$AO$4,1,49-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4112652</v>
      </c>
      <c r="AZ97">
        <f>IF(AND(Projects!$G$17="Yes",50&gt;=Projects!$C$17,50&lt;Projects!$C$17+Projects!$D$17),Projects!$B$17*INDEX(Curves!$B$4:$AO$4,1,50-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$4:$AO$4,1,50-Projects!$C$24+1),0)+IF(AND(Projects!$G$25="Yes",50&gt;=Projects!$C$25,50&lt;Projects!$C$25+Projects!$D$25),Projects!$B$25*INDEX(Curves!$B$4:$AO$4,1,50-Projects!$C$25+1),0)+IF(AND(Projects!$G$26="Yes",50&gt;=Projects!$C$26,50&lt;Projects!$C$26+Projects!$D$26),Projects!$B$26*INDEX(Curves!$B$4:$AO$4,1,50-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3672792</v>
      </c>
      <c r="BA97">
        <f>IF(AND(Projects!$G$17="Yes",51&gt;=Projects!$C$17,51&lt;Projects!$C$17+Projects!$D$17),Projects!$B$17*INDEX(Curves!$B$4:$AO$4,1,51-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$4:$AO$4,1,51-Projects!$C$24+1),0)+IF(AND(Projects!$G$25="Yes",51&gt;=Projects!$C$25,51&lt;Projects!$C$25+Projects!$D$25),Projects!$B$25*INDEX(Curves!$B$4:$AO$4,1,51-Projects!$C$25+1),0)+IF(AND(Projects!$G$26="Yes",51&gt;=Projects!$C$26,51&lt;Projects!$C$26+Projects!$D$26),Projects!$B$26*INDEX(Curves!$B$4:$AO$4,1,51-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4053486</v>
      </c>
      <c r="BB97">
        <f>IF(AND(Projects!$G$17="Yes",52&gt;=Projects!$C$17,52&lt;Projects!$C$17+Projects!$D$17),Projects!$B$17*INDEX(Curves!$B$4:$AO$4,1,52-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$4:$AO$4,1,52-Projects!$C$24+1),0)+IF(AND(Projects!$G$25="Yes",52&gt;=Projects!$C$25,52&lt;Projects!$C$25+Projects!$D$25),Projects!$B$25*INDEX(Curves!$B$4:$AO$4,1,52-Projects!$C$25+1),0)+IF(AND(Projects!$G$26="Yes",52&gt;=Projects!$C$26,52&lt;Projects!$C$26+Projects!$D$26),Projects!$B$26*INDEX(Curves!$B$4:$AO$4,1,52-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4075830</v>
      </c>
      <c r="BC97">
        <f>IF(AND(Projects!$G$17="Yes",53&gt;=Projects!$C$17,53&lt;Projects!$C$17+Projects!$D$17),Projects!$B$17*INDEX(Curves!$B$4:$AO$4,1,53-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$4:$AO$4,1,53-Projects!$C$24+1),0)+IF(AND(Projects!$G$25="Yes",53&gt;=Projects!$C$25,53&lt;Projects!$C$25+Projects!$D$25),Projects!$B$25*INDEX(Curves!$B$4:$AO$4,1,53-Projects!$C$25+1),0)+IF(AND(Projects!$G$26="Yes",53&gt;=Projects!$C$26,53&lt;Projects!$C$26+Projects!$D$26),Projects!$B$26*INDEX(Curves!$B$4:$AO$4,1,53-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4053486</v>
      </c>
      <c r="BD97">
        <f>IF(AND(Projects!$G$17="Yes",54&gt;=Projects!$C$17,54&lt;Projects!$C$17+Projects!$D$17),Projects!$B$17*INDEX(Curves!$B$4:$AO$4,1,54-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$4:$AO$4,1,54-Projects!$C$24+1),0)+IF(AND(Projects!$G$25="Yes",54&gt;=Projects!$C$25,54&lt;Projects!$C$25+Projects!$D$25),Projects!$B$25*INDEX(Curves!$B$4:$AO$4,1,54-Projects!$C$25+1),0)+IF(AND(Projects!$G$26="Yes",54&gt;=Projects!$C$26,54&lt;Projects!$C$26+Projects!$D$26),Projects!$B$26*INDEX(Curves!$B$4:$AO$4,1,54-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3672792</v>
      </c>
      <c r="BE97">
        <f>IF(AND(Projects!$G$17="Yes",55&gt;=Projects!$C$17,55&lt;Projects!$C$17+Projects!$D$17),Projects!$B$17*INDEX(Curves!$B$4:$AO$4,1,55-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$4:$AO$4,1,55-Projects!$C$24+1),0)+IF(AND(Projects!$G$25="Yes",55&gt;=Projects!$C$25,55&lt;Projects!$C$25+Projects!$D$25),Projects!$B$25*INDEX(Curves!$B$4:$AO$4,1,55-Projects!$C$25+1),0)+IF(AND(Projects!$G$26="Yes",55&gt;=Projects!$C$26,55&lt;Projects!$C$26+Projects!$D$26),Projects!$B$26*INDEX(Curves!$B$4:$AO$4,1,55-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4112652</v>
      </c>
      <c r="BF97">
        <f>IF(AND(Projects!$G$17="Yes",56&gt;=Projects!$C$17,56&lt;Projects!$C$17+Projects!$D$17),Projects!$B$17*INDEX(Curves!$B$4:$AO$4,1,56-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$4:$AO$4,1,56-Projects!$C$24+1),0)+IF(AND(Projects!$G$25="Yes",56&gt;=Projects!$C$25,56&lt;Projects!$C$25+Projects!$D$25),Projects!$B$25*INDEX(Curves!$B$4:$AO$4,1,56-Projects!$C$25+1),0)+IF(AND(Projects!$G$26="Yes",56&gt;=Projects!$C$26,56&lt;Projects!$C$26+Projects!$D$26),Projects!$B$26*INDEX(Curves!$B$4:$AO$4,1,56-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4134789</v>
      </c>
      <c r="BG97">
        <f>IF(AND(Projects!$G$17="Yes",57&gt;=Projects!$C$17,57&lt;Projects!$C$17+Projects!$D$17),Projects!$B$17*INDEX(Curves!$B$4:$AO$4,1,57-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$4:$AO$4,1,57-Projects!$C$24+1),0)+IF(AND(Projects!$G$25="Yes",57&gt;=Projects!$C$25,57&lt;Projects!$C$25+Projects!$D$25),Projects!$B$25*INDEX(Curves!$B$4:$AO$4,1,57-Projects!$C$25+1),0)+IF(AND(Projects!$G$26="Yes",57&gt;=Projects!$C$26,57&lt;Projects!$C$26+Projects!$D$26),Projects!$B$26*INDEX(Curves!$B$4:$AO$4,1,57-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4116390</v>
      </c>
      <c r="BH97">
        <f>IF(AND(Projects!$G$17="Yes",58&gt;=Projects!$C$17,58&lt;Projects!$C$17+Projects!$D$17),Projects!$B$17*INDEX(Curves!$B$4:$AO$4,1,58-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$4:$AO$4,1,58-Projects!$C$24+1),0)+IF(AND(Projects!$G$25="Yes",58&gt;=Projects!$C$25,58&lt;Projects!$C$25+Projects!$D$25),Projects!$B$25*INDEX(Curves!$B$4:$AO$4,1,58-Projects!$C$25+1),0)+IF(AND(Projects!$G$26="Yes",58&gt;=Projects!$C$26,58&lt;Projects!$C$26+Projects!$D$26),Projects!$B$26*INDEX(Curves!$B$4:$AO$4,1,58-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3743952</v>
      </c>
      <c r="BI97">
        <f>IF(AND(Projects!$G$17="Yes",59&gt;=Projects!$C$17,59&lt;Projects!$C$17+Projects!$D$17),Projects!$B$17*INDEX(Curves!$B$4:$AO$4,1,59-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$4:$AO$4,1,59-Projects!$C$24+1),0)+IF(AND(Projects!$G$25="Yes",59&gt;=Projects!$C$25,59&lt;Projects!$C$25+Projects!$D$25),Projects!$B$25*INDEX(Curves!$B$4:$AO$4,1,59-Projects!$C$25+1),0)+IF(AND(Projects!$G$26="Yes",59&gt;=Projects!$C$26,59&lt;Projects!$C$26+Projects!$D$26),Projects!$B$26*INDEX(Curves!$B$4:$AO$4,1,59-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4116390</v>
      </c>
      <c r="BJ97">
        <f>IF(AND(Projects!$G$17="Yes",60&gt;=Projects!$C$17,60&lt;Projects!$C$17+Projects!$D$17),Projects!$B$17*INDEX(Curves!$B$4:$AO$4,1,60-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$4:$AO$4,1,60-Projects!$C$24+1),0)+IF(AND(Projects!$G$25="Yes",60&gt;=Projects!$C$25,60&lt;Projects!$C$25+Projects!$D$25),Projects!$B$25*INDEX(Curves!$B$4:$AO$4,1,60-Projects!$C$25+1),0)+IF(AND(Projects!$G$26="Yes",60&gt;=Projects!$C$26,60&lt;Projects!$C$26+Projects!$D$26),Projects!$B$26*INDEX(Curves!$B$4:$AO$4,1,60-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4134789</v>
      </c>
      <c r="BK97">
        <f>IF(AND(Projects!$G$17="Yes",61&gt;=Projects!$C$17,61&lt;Projects!$C$17+Projects!$D$17),Projects!$B$17*INDEX(Curves!$B$4:$AO$4,1,61-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$4:$AO$4,1,61-Projects!$C$24+1),0)+IF(AND(Projects!$G$25="Yes",61&gt;=Projects!$C$25,61&lt;Projects!$C$25+Projects!$D$25),Projects!$B$25*INDEX(Curves!$B$4:$AO$4,1,61-Projects!$C$25+1),0)+IF(AND(Projects!$G$26="Yes",61&gt;=Projects!$C$26,61&lt;Projects!$C$26+Projects!$D$26),Projects!$B$26*INDEX(Curves!$B$4:$AO$4,1,61-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4112652</v>
      </c>
      <c r="BL97">
        <f>IF(AND(Projects!$G$17="Yes",62&gt;=Projects!$C$17,62&lt;Projects!$C$17+Projects!$D$17),Projects!$B$17*INDEX(Curves!$B$4:$AO$4,1,62-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$4:$AO$4,1,62-Projects!$C$24+1),0)+IF(AND(Projects!$G$25="Yes",62&gt;=Projects!$C$25,62&lt;Projects!$C$25+Projects!$D$25),Projects!$B$25*INDEX(Curves!$B$4:$AO$4,1,62-Projects!$C$25+1),0)+IF(AND(Projects!$G$26="Yes",62&gt;=Projects!$C$26,62&lt;Projects!$C$26+Projects!$D$26),Projects!$B$26*INDEX(Curves!$B$4:$AO$4,1,62-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3672792</v>
      </c>
      <c r="BM97">
        <f>IF(AND(Projects!$G$17="Yes",63&gt;=Projects!$C$17,63&lt;Projects!$C$17+Projects!$D$17),Projects!$B$17*INDEX(Curves!$B$4:$AO$4,1,63-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$4:$AO$4,1,63-Projects!$C$24+1),0)+IF(AND(Projects!$G$25="Yes",63&gt;=Projects!$C$25,63&lt;Projects!$C$25+Projects!$D$25),Projects!$B$25*INDEX(Curves!$B$4:$AO$4,1,63-Projects!$C$25+1),0)+IF(AND(Projects!$G$26="Yes",63&gt;=Projects!$C$26,63&lt;Projects!$C$26+Projects!$D$26),Projects!$B$26*INDEX(Curves!$B$4:$AO$4,1,63-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4053486</v>
      </c>
      <c r="BN97">
        <f>IF(AND(Projects!$G$17="Yes",64&gt;=Projects!$C$17,64&lt;Projects!$C$17+Projects!$D$17),Projects!$B$17*INDEX(Curves!$B$4:$AO$4,1,64-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$4:$AO$4,1,64-Projects!$C$24+1),0)+IF(AND(Projects!$G$25="Yes",64&gt;=Projects!$C$25,64&lt;Projects!$C$25+Projects!$D$25),Projects!$B$25*INDEX(Curves!$B$4:$AO$4,1,64-Projects!$C$25+1),0)+IF(AND(Projects!$G$26="Yes",64&gt;=Projects!$C$26,64&lt;Projects!$C$26+Projects!$D$26),Projects!$B$26*INDEX(Curves!$B$4:$AO$4,1,64-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4075830</v>
      </c>
      <c r="BO97">
        <f>IF(AND(Projects!$G$17="Yes",65&gt;=Projects!$C$17,65&lt;Projects!$C$17+Projects!$D$17),Projects!$B$17*INDEX(Curves!$B$4:$AO$4,1,65-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$4:$AO$4,1,65-Projects!$C$24+1),0)+IF(AND(Projects!$G$25="Yes",65&gt;=Projects!$C$25,65&lt;Projects!$C$25+Projects!$D$25),Projects!$B$25*INDEX(Curves!$B$4:$AO$4,1,65-Projects!$C$25+1),0)+IF(AND(Projects!$G$26="Yes",65&gt;=Projects!$C$26,65&lt;Projects!$C$26+Projects!$D$26),Projects!$B$26*INDEX(Curves!$B$4:$AO$4,1,65-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4053486</v>
      </c>
      <c r="BP97">
        <f>IF(AND(Projects!$G$17="Yes",66&gt;=Projects!$C$17,66&lt;Projects!$C$17+Projects!$D$17),Projects!$B$17*INDEX(Curves!$B$4:$AO$4,1,66-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$4:$AO$4,1,66-Projects!$C$24+1),0)+IF(AND(Projects!$G$25="Yes",66&gt;=Projects!$C$25,66&lt;Projects!$C$25+Projects!$D$25),Projects!$B$25*INDEX(Curves!$B$4:$AO$4,1,66-Projects!$C$25+1),0)+IF(AND(Projects!$G$26="Yes",66&gt;=Projects!$C$26,66&lt;Projects!$C$26+Projects!$D$26),Projects!$B$26*INDEX(Curves!$B$4:$AO$4,1,66-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3672792</v>
      </c>
      <c r="BQ97">
        <f>IF(AND(Projects!$G$17="Yes",67&gt;=Projects!$C$17,67&lt;Projects!$C$17+Projects!$D$17),Projects!$B$17*INDEX(Curves!$B$4:$AO$4,1,67-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$4:$AO$4,1,67-Projects!$C$24+1),0)+IF(AND(Projects!$G$25="Yes",67&gt;=Projects!$C$25,67&lt;Projects!$C$25+Projects!$D$25),Projects!$B$25*INDEX(Curves!$B$4:$AO$4,1,67-Projects!$C$25+1),0)+IF(AND(Projects!$G$26="Yes",67&gt;=Projects!$C$26,67&lt;Projects!$C$26+Projects!$D$26),Projects!$B$26*INDEX(Curves!$B$4:$AO$4,1,67-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4112652</v>
      </c>
      <c r="BR97">
        <f>IF(AND(Projects!$G$17="Yes",68&gt;=Projects!$C$17,68&lt;Projects!$C$17+Projects!$D$17),Projects!$B$17*INDEX(Curves!$B$4:$AO$4,1,68-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$4:$AO$4,1,68-Projects!$C$24+1),0)+IF(AND(Projects!$G$25="Yes",68&gt;=Projects!$C$25,68&lt;Projects!$C$25+Projects!$D$25),Projects!$B$25*INDEX(Curves!$B$4:$AO$4,1,68-Projects!$C$25+1),0)+IF(AND(Projects!$G$26="Yes",68&gt;=Projects!$C$26,68&lt;Projects!$C$26+Projects!$D$26),Projects!$B$26*INDEX(Curves!$B$4:$AO$4,1,68-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4134789</v>
      </c>
      <c r="BS97">
        <f>IF(AND(Projects!$G$17="Yes",69&gt;=Projects!$C$17,69&lt;Projects!$C$17+Projects!$D$17),Projects!$B$17*INDEX(Curves!$B$4:$AO$4,1,69-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$4:$AO$4,1,69-Projects!$C$24+1),0)+IF(AND(Projects!$G$25="Yes",69&gt;=Projects!$C$25,69&lt;Projects!$C$25+Projects!$D$25),Projects!$B$25*INDEX(Curves!$B$4:$AO$4,1,69-Projects!$C$25+1),0)+IF(AND(Projects!$G$26="Yes",69&gt;=Projects!$C$26,69&lt;Projects!$C$26+Projects!$D$26),Projects!$B$26*INDEX(Curves!$B$4:$AO$4,1,69-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4514145</v>
      </c>
      <c r="BT97">
        <f>IF(AND(Projects!$G$17="Yes",70&gt;=Projects!$C$17,70&lt;Projects!$C$17+Projects!$D$17),Projects!$B$17*INDEX(Curves!$B$4:$AO$4,1,70-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$4:$AO$4,1,70-Projects!$C$24+1),0)+IF(AND(Projects!$G$25="Yes",70&gt;=Projects!$C$25,70&lt;Projects!$C$25+Projects!$D$25),Projects!$B$25*INDEX(Curves!$B$4:$AO$4,1,70-Projects!$C$25+1),0)+IF(AND(Projects!$G$26="Yes",70&gt;=Projects!$C$26,70&lt;Projects!$C$26+Projects!$D$26),Projects!$B$26*INDEX(Curves!$B$4:$AO$4,1,70-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4235367</v>
      </c>
      <c r="BU97">
        <f>IF(AND(Projects!$G$17="Yes",71&gt;=Projects!$C$17,71&lt;Projects!$C$17+Projects!$D$17),Projects!$B$17*INDEX(Curves!$B$4:$AO$4,1,71-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$4:$AO$4,1,71-Projects!$C$24+1),0)+IF(AND(Projects!$G$25="Yes",71&gt;=Projects!$C$25,71&lt;Projects!$C$25+Projects!$D$25),Projects!$B$25*INDEX(Curves!$B$4:$AO$4,1,71-Projects!$C$25+1),0)+IF(AND(Projects!$G$26="Yes",71&gt;=Projects!$C$26,71&lt;Projects!$C$26+Projects!$D$26),Projects!$B$26*INDEX(Curves!$B$4:$AO$4,1,71-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4708620</v>
      </c>
      <c r="BV97">
        <f>IF(AND(Projects!$G$17="Yes",72&gt;=Projects!$C$17,72&lt;Projects!$C$17+Projects!$D$17),Projects!$B$17*INDEX(Curves!$B$4:$AO$4,1,72-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$4:$AO$4,1,72-Projects!$C$24+1),0)+IF(AND(Projects!$G$25="Yes",72&gt;=Projects!$C$25,72&lt;Projects!$C$25+Projects!$D$25),Projects!$B$25*INDEX(Curves!$B$4:$AO$4,1,72-Projects!$C$25+1),0)+IF(AND(Projects!$G$26="Yes",72&gt;=Projects!$C$26,72&lt;Projects!$C$26+Projects!$D$26),Projects!$B$26*INDEX(Curves!$B$4:$AO$4,1,72-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4830969</v>
      </c>
      <c r="BW97">
        <f>IF(AND(Projects!$G$17="Yes",73&gt;=Projects!$C$17,73&lt;Projects!$C$17+Projects!$D$17),Projects!$B$17*INDEX(Curves!$B$4:$AO$4,1,73-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$4:$AO$4,1,73-Projects!$C$24+1),0)+IF(AND(Projects!$G$25="Yes",73&gt;=Projects!$C$25,73&lt;Projects!$C$25+Projects!$D$25),Projects!$B$25*INDEX(Curves!$B$4:$AO$4,1,73-Projects!$C$25+1),0)+IF(AND(Projects!$G$26="Yes",73&gt;=Projects!$C$26,73&lt;Projects!$C$26+Projects!$D$26),Projects!$B$26*INDEX(Curves!$B$4:$AO$4,1,73-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4910922</v>
      </c>
      <c r="BX97">
        <f>IF(AND(Projects!$G$17="Yes",74&gt;=Projects!$C$17,74&lt;Projects!$C$17+Projects!$D$17),Projects!$B$17*INDEX(Curves!$B$4:$AO$4,1,74-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$4:$AO$4,1,74-Projects!$C$24+1),0)+IF(AND(Projects!$G$25="Yes",74&gt;=Projects!$C$25,74&lt;Projects!$C$25+Projects!$D$25),Projects!$B$25*INDEX(Curves!$B$4:$AO$4,1,74-Projects!$C$25+1),0)+IF(AND(Projects!$G$26="Yes",74&gt;=Projects!$C$26,74&lt;Projects!$C$26+Projects!$D$26),Projects!$B$26*INDEX(Curves!$B$4:$AO$4,1,74-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4565622</v>
      </c>
      <c r="BY97">
        <f>IF(AND(Projects!$G$17="Yes",75&gt;=Projects!$C$17,75&lt;Projects!$C$17+Projects!$D$17),Projects!$B$17*INDEX(Curves!$B$4:$AO$4,1,75-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$4:$AO$4,1,75-Projects!$C$24+1),0)+IF(AND(Projects!$G$25="Yes",75&gt;=Projects!$C$25,75&lt;Projects!$C$25+Projects!$D$25),Projects!$B$25*INDEX(Curves!$B$4:$AO$4,1,75-Projects!$C$25+1),0)+IF(AND(Projects!$G$26="Yes",75&gt;=Projects!$C$26,75&lt;Projects!$C$26+Projects!$D$26),Projects!$B$26*INDEX(Curves!$B$4:$AO$4,1,75-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5027541</v>
      </c>
      <c r="BZ97">
        <f>IF(AND(Projects!$G$17="Yes",76&gt;=Projects!$C$17,76&lt;Projects!$C$17+Projects!$D$17),Projects!$B$17*INDEX(Curves!$B$4:$AO$4,1,76-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$4:$AO$4,1,76-Projects!$C$24+1),0)+IF(AND(Projects!$G$25="Yes",76&gt;=Projects!$C$25,76&lt;Projects!$C$25+Projects!$D$25),Projects!$B$25*INDEX(Curves!$B$4:$AO$4,1,76-Projects!$C$25+1),0)+IF(AND(Projects!$G$26="Yes",76&gt;=Projects!$C$26,76&lt;Projects!$C$26+Projects!$D$26),Projects!$B$26*INDEX(Curves!$B$4:$AO$4,1,76-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5112390</v>
      </c>
      <c r="CA97">
        <f>IF(AND(Projects!$G$17="Yes",77&gt;=Projects!$C$17,77&lt;Projects!$C$17+Projects!$D$17),Projects!$B$17*INDEX(Curves!$B$4:$AO$4,1,77-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$4:$AO$4,1,77-Projects!$C$24+1),0)+IF(AND(Projects!$G$25="Yes",77&gt;=Projects!$C$25,77&lt;Projects!$C$25+Projects!$D$25),Projects!$B$25*INDEX(Curves!$B$4:$AO$4,1,77-Projects!$C$25+1),0)+IF(AND(Projects!$G$26="Yes",77&gt;=Projects!$C$26,77&lt;Projects!$C$26+Projects!$D$26),Projects!$B$26*INDEX(Curves!$B$4:$AO$4,1,77-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5129466</v>
      </c>
      <c r="CB97">
        <f>IF(AND(Projects!$G$17="Yes",78&gt;=Projects!$C$17,78&lt;Projects!$C$17+Projects!$D$17),Projects!$B$17*INDEX(Curves!$B$4:$AO$4,1,78-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$4:$AO$4,1,78-Projects!$C$24+1),0)+IF(AND(Projects!$G$25="Yes",78&gt;=Projects!$C$25,78&lt;Projects!$C$25+Projects!$D$25),Projects!$B$25*INDEX(Curves!$B$4:$AO$4,1,78-Projects!$C$25+1),0)+IF(AND(Projects!$G$26="Yes",78&gt;=Projects!$C$26,78&lt;Projects!$C$26+Projects!$D$26),Projects!$B$26*INDEX(Curves!$B$4:$AO$4,1,78-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4762242</v>
      </c>
      <c r="CC97">
        <f>IF(AND(Projects!$G$17="Yes",79&gt;=Projects!$C$17,79&lt;Projects!$C$17+Projects!$D$17),Projects!$B$17*INDEX(Curves!$B$4:$AO$4,1,79-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$4:$AO$4,1,79-Projects!$C$24+1),0)+IF(AND(Projects!$G$25="Yes",79&gt;=Projects!$C$25,79&lt;Projects!$C$25+Projects!$D$25),Projects!$B$25*INDEX(Curves!$B$4:$AO$4,1,79-Projects!$C$25+1),0)+IF(AND(Projects!$G$26="Yes",79&gt;=Projects!$C$26,79&lt;Projects!$C$26+Projects!$D$26),Projects!$B$26*INDEX(Curves!$B$4:$AO$4,1,79-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4711326</v>
      </c>
      <c r="CD97">
        <f>IF(AND(Projects!$G$17="Yes",80&gt;=Projects!$C$17,80&lt;Projects!$C$17+Projects!$D$17),Projects!$B$17*INDEX(Curves!$B$4:$AO$4,1,80-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$4:$AO$4,1,80-Projects!$C$24+1),0)+IF(AND(Projects!$G$25="Yes",80&gt;=Projects!$C$25,80&lt;Projects!$C$25+Projects!$D$25),Projects!$B$25*INDEX(Curves!$B$4:$AO$4,1,80-Projects!$C$25+1),0)+IF(AND(Projects!$G$26="Yes",80&gt;=Projects!$C$26,80&lt;Projects!$C$26+Projects!$D$26),Projects!$B$26*INDEX(Curves!$B$4:$AO$4,1,80-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4581651</v>
      </c>
      <c r="CE97">
        <f>IF(AND(Projects!$G$17="Yes",81&gt;=Projects!$C$17,81&lt;Projects!$C$17+Projects!$D$17),Projects!$B$17*INDEX(Curves!$B$4:$AO$4,1,81-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$4:$AO$4,1,81-Projects!$C$24+1),0)+IF(AND(Projects!$G$25="Yes",81&gt;=Projects!$C$25,81&lt;Projects!$C$25+Projects!$D$25),Projects!$B$25*INDEX(Curves!$B$4:$AO$4,1,81-Projects!$C$25+1),0)+IF(AND(Projects!$G$26="Yes",81&gt;=Projects!$C$26,81&lt;Projects!$C$26+Projects!$D$26),Projects!$B$26*INDEX(Curves!$B$4:$AO$4,1,81-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4379769</v>
      </c>
      <c r="CF97">
        <f>IF(AND(Projects!$G$17="Yes",82&gt;=Projects!$C$17,82&lt;Projects!$C$17+Projects!$D$17),Projects!$B$17*INDEX(Curves!$B$4:$AO$4,1,82-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$4:$AO$4,1,82-Projects!$C$24+1),0)+IF(AND(Projects!$G$25="Yes",82&gt;=Projects!$C$25,82&lt;Projects!$C$25+Projects!$D$25),Projects!$B$25*INDEX(Curves!$B$4:$AO$4,1,82-Projects!$C$25+1),0)+IF(AND(Projects!$G$26="Yes",82&gt;=Projects!$C$26,82&lt;Projects!$C$26+Projects!$D$26),Projects!$B$26*INDEX(Curves!$B$4:$AO$4,1,82-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3801366</v>
      </c>
      <c r="CG97">
        <f>IF(AND(Projects!$G$17="Yes",83&gt;=Projects!$C$17,83&lt;Projects!$C$17+Projects!$D$17),Projects!$B$17*INDEX(Curves!$B$4:$AO$4,1,83-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$4:$AO$4,1,83-Projects!$C$24+1),0)+IF(AND(Projects!$G$25="Yes",83&gt;=Projects!$C$25,83&lt;Projects!$C$25+Projects!$D$25),Projects!$B$25*INDEX(Curves!$B$4:$AO$4,1,83-Projects!$C$25+1),0)+IF(AND(Projects!$G$26="Yes",83&gt;=Projects!$C$26,83&lt;Projects!$C$26+Projects!$D$26),Projects!$B$26*INDEX(Curves!$B$4:$AO$4,1,83-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3558981</v>
      </c>
      <c r="CH97">
        <f>IF(AND(Projects!$G$17="Yes",84&gt;=Projects!$C$17,84&lt;Projects!$C$17+Projects!$D$17),Projects!$B$17*INDEX(Curves!$B$4:$AO$4,1,84-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$4:$AO$4,1,84-Projects!$C$24+1),0)+IF(AND(Projects!$G$25="Yes",84&gt;=Projects!$C$25,84&lt;Projects!$C$25+Projects!$D$25),Projects!$B$25*INDEX(Curves!$B$4:$AO$4,1,84-Projects!$C$25+1),0)+IF(AND(Projects!$G$26="Yes",84&gt;=Projects!$C$26,84&lt;Projects!$C$26+Projects!$D$26),Projects!$B$26*INDEX(Curves!$B$4:$AO$4,1,84-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3268158</v>
      </c>
    </row>
    <row r="98" spans="1:86" ht="15" customHeight="1" x14ac:dyDescent="0.25">
      <c r="A98" t="s">
        <v>599</v>
      </c>
      <c r="C98">
        <f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>
        <f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>
        <f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>
        <f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>
        <f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>
        <f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>
        <f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>
        <f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>
        <f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>
        <f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>
        <f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>
        <f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>
        <f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>
        <f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>
        <f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>
        <f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0</v>
      </c>
      <c r="S98">
        <f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0</v>
      </c>
      <c r="T98">
        <f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0</v>
      </c>
      <c r="U98">
        <f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0</v>
      </c>
      <c r="V98">
        <f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0</v>
      </c>
      <c r="W98">
        <f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0</v>
      </c>
      <c r="X98">
        <f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0</v>
      </c>
      <c r="Y98">
        <f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0</v>
      </c>
      <c r="Z98">
        <f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0</v>
      </c>
      <c r="AA98">
        <f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0</v>
      </c>
      <c r="AB98">
        <f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0</v>
      </c>
      <c r="AC98">
        <f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0</v>
      </c>
      <c r="AD98">
        <f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0</v>
      </c>
      <c r="AE98">
        <f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0</v>
      </c>
      <c r="AF98">
        <f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0</v>
      </c>
      <c r="AG98">
        <f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43831.168831168819</v>
      </c>
      <c r="AH98">
        <f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43831.168831168819</v>
      </c>
      <c r="AI98">
        <f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43831.168831168819</v>
      </c>
      <c r="AJ98">
        <f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43831.168831168819</v>
      </c>
      <c r="AK98">
        <f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80357.142857142841</v>
      </c>
      <c r="AL98">
        <f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80357.142857142841</v>
      </c>
      <c r="AM98">
        <f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80357.142857142841</v>
      </c>
      <c r="AN98">
        <f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80357.142857142841</v>
      </c>
      <c r="AO98">
        <f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116883.11688311686</v>
      </c>
      <c r="AP98">
        <f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116883.11688311686</v>
      </c>
      <c r="AQ98">
        <f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116883.11688311686</v>
      </c>
      <c r="AR98">
        <f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116883.11688311686</v>
      </c>
      <c r="AS98">
        <f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160714.28571428568</v>
      </c>
      <c r="AT98">
        <f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160714.28571428568</v>
      </c>
      <c r="AU98">
        <f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160714.28571428568</v>
      </c>
      <c r="AV98">
        <f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160714.28571428568</v>
      </c>
      <c r="AW98">
        <f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197240.2597402597</v>
      </c>
      <c r="AX98">
        <f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197240.2597402597</v>
      </c>
      <c r="AY98">
        <f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241071.42857142852</v>
      </c>
      <c r="AZ98">
        <f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153409.09090909088</v>
      </c>
      <c r="BA98">
        <f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189935.0649350649</v>
      </c>
      <c r="BB98">
        <f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189935.0649350649</v>
      </c>
      <c r="BC98">
        <f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226461.03896103892</v>
      </c>
      <c r="BD98">
        <f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153409.09090909088</v>
      </c>
      <c r="BE98">
        <f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197240.2597402597</v>
      </c>
      <c r="BF98">
        <f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197240.2597402597</v>
      </c>
      <c r="BG98">
        <f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233766.23376623372</v>
      </c>
      <c r="BH98">
        <f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160714.28571428568</v>
      </c>
      <c r="BI98">
        <f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197240.2597402597</v>
      </c>
      <c r="BJ98">
        <f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197240.2597402597</v>
      </c>
      <c r="BK98">
        <f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241071.42857142852</v>
      </c>
      <c r="BL98">
        <f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153409.09090909088</v>
      </c>
      <c r="BM98">
        <f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189935.0649350649</v>
      </c>
      <c r="BN98">
        <f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189935.0649350649</v>
      </c>
      <c r="BO98">
        <f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226461.03896103892</v>
      </c>
      <c r="BP98">
        <f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153409.09090909088</v>
      </c>
      <c r="BQ98">
        <f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197240.2597402597</v>
      </c>
      <c r="BR98">
        <f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197240.2597402597</v>
      </c>
      <c r="BS98">
        <f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270292.20779220772</v>
      </c>
      <c r="BT98">
        <f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197240.2597402597</v>
      </c>
      <c r="BU98">
        <f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233766.23376623372</v>
      </c>
      <c r="BV98">
        <f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233766.23376623372</v>
      </c>
      <c r="BW98">
        <f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277597.40259740257</v>
      </c>
      <c r="BX98">
        <f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189935.0649350649</v>
      </c>
      <c r="BY98">
        <f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226461.03896103892</v>
      </c>
      <c r="BZ98">
        <f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226461.03896103892</v>
      </c>
      <c r="CA98">
        <f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262987.01298701297</v>
      </c>
      <c r="CB98">
        <f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189935.0649350649</v>
      </c>
      <c r="CC98">
        <f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189935.0649350649</v>
      </c>
      <c r="CD98">
        <f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189935.0649350649</v>
      </c>
      <c r="CE98">
        <f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226461.03896103892</v>
      </c>
      <c r="CF98">
        <f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153409.09090909088</v>
      </c>
      <c r="CG98">
        <f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153409.09090909088</v>
      </c>
      <c r="CH98">
        <f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153409.09090909088</v>
      </c>
    </row>
    <row r="99" spans="1:86" ht="15" customHeight="1" x14ac:dyDescent="0.25">
      <c r="A99" t="s">
        <v>600</v>
      </c>
      <c r="C99">
        <f>IF(AND(Projects!$G$17="Yes",1&gt;=Projects!$C$17,1&lt;Projects!$C$17+Projects!$D$17),IF(1=Projects!$C$17+Projects!$D$17-1,Projects!$B$17*INDEX(Curves!$B$4:$AO$4,1,1-Projects!$C$17+1)*Assumptions!$B$11*0.95+0.05*Projects!$B$17*Assumptions!$B$11,Projects!$B$17*INDEX(Curves!$B$4:$AO$4,1,1-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$4:$AO$4,1,1-Projects!$C$24+1)*Assumptions!$B$11*0.95+0.05*Projects!$B$24*Assumptions!$B$11,Projects!$B$24*INDEX(Curves!$B$4:$AO$4,1,1-Projects!$C$24+1)*Assumptions!$B$11*0.95),0)+IF(AND(Projects!$G$25="Yes",1&gt;=Projects!$C$25,1&lt;Projects!$C$25+Projects!$D$25),IF(1=Projects!$C$25+Projects!$D$25-1,Projects!$B$25*INDEX(Curves!$B$4:$AO$4,1,1-Projects!$C$25+1)*Assumptions!$B$11*0.95+0.05*Projects!$B$25*Assumptions!$B$11,Projects!$B$25*INDEX(Curves!$B$4:$AO$4,1,1-Projects!$C$25+1)*Assumptions!$B$11*0.95),0)+IF(AND(Projects!$G$26="Yes",1&gt;=Projects!$C$26,1&lt;Projects!$C$26+Projects!$D$26),IF(1=Projects!$C$26+Projects!$D$26-1,Projects!$B$26*INDEX(Curves!$B$4:$AO$4,1,1-Projects!$C$26+1)*Assumptions!$B$11*0.95+0.05*Projects!$B$26*Assumptions!$B$11,Projects!$B$26*INDEX(Curves!$B$4:$AO$4,1,1-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>
        <f>IF(AND(Projects!$G$17="Yes",2&gt;=Projects!$C$17,2&lt;Projects!$C$17+Projects!$D$17),IF(2=Projects!$C$17+Projects!$D$17-1,Projects!$B$17*INDEX(Curves!$B$4:$AO$4,1,2-Projects!$C$17+1)*Assumptions!$B$11*0.95+0.05*Projects!$B$17*Assumptions!$B$11,Projects!$B$17*INDEX(Curves!$B$4:$AO$4,1,2-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$4:$AO$4,1,2-Projects!$C$24+1)*Assumptions!$B$11*0.95+0.05*Projects!$B$24*Assumptions!$B$11,Projects!$B$24*INDEX(Curves!$B$4:$AO$4,1,2-Projects!$C$24+1)*Assumptions!$B$11*0.95),0)+IF(AND(Projects!$G$25="Yes",2&gt;=Projects!$C$25,2&lt;Projects!$C$25+Projects!$D$25),IF(2=Projects!$C$25+Projects!$D$25-1,Projects!$B$25*INDEX(Curves!$B$4:$AO$4,1,2-Projects!$C$25+1)*Assumptions!$B$11*0.95+0.05*Projects!$B$25*Assumptions!$B$11,Projects!$B$25*INDEX(Curves!$B$4:$AO$4,1,2-Projects!$C$25+1)*Assumptions!$B$11*0.95),0)+IF(AND(Projects!$G$26="Yes",2&gt;=Projects!$C$26,2&lt;Projects!$C$26+Projects!$D$26),IF(2=Projects!$C$26+Projects!$D$26-1,Projects!$B$26*INDEX(Curves!$B$4:$AO$4,1,2-Projects!$C$26+1)*Assumptions!$B$11*0.95+0.05*Projects!$B$26*Assumptions!$B$11,Projects!$B$26*INDEX(Curves!$B$4:$AO$4,1,2-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>
        <f>IF(AND(Projects!$G$17="Yes",3&gt;=Projects!$C$17,3&lt;Projects!$C$17+Projects!$D$17),IF(3=Projects!$C$17+Projects!$D$17-1,Projects!$B$17*INDEX(Curves!$B$4:$AO$4,1,3-Projects!$C$17+1)*Assumptions!$B$11*0.95+0.05*Projects!$B$17*Assumptions!$B$11,Projects!$B$17*INDEX(Curves!$B$4:$AO$4,1,3-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$4:$AO$4,1,3-Projects!$C$24+1)*Assumptions!$B$11*0.95+0.05*Projects!$B$24*Assumptions!$B$11,Projects!$B$24*INDEX(Curves!$B$4:$AO$4,1,3-Projects!$C$24+1)*Assumptions!$B$11*0.95),0)+IF(AND(Projects!$G$25="Yes",3&gt;=Projects!$C$25,3&lt;Projects!$C$25+Projects!$D$25),IF(3=Projects!$C$25+Projects!$D$25-1,Projects!$B$25*INDEX(Curves!$B$4:$AO$4,1,3-Projects!$C$25+1)*Assumptions!$B$11*0.95+0.05*Projects!$B$25*Assumptions!$B$11,Projects!$B$25*INDEX(Curves!$B$4:$AO$4,1,3-Projects!$C$25+1)*Assumptions!$B$11*0.95),0)+IF(AND(Projects!$G$26="Yes",3&gt;=Projects!$C$26,3&lt;Projects!$C$26+Projects!$D$26),IF(3=Projects!$C$26+Projects!$D$26-1,Projects!$B$26*INDEX(Curves!$B$4:$AO$4,1,3-Projects!$C$26+1)*Assumptions!$B$11*0.95+0.05*Projects!$B$26*Assumptions!$B$11,Projects!$B$26*INDEX(Curves!$B$4:$AO$4,1,3-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>
        <f>IF(AND(Projects!$G$17="Yes",4&gt;=Projects!$C$17,4&lt;Projects!$C$17+Projects!$D$17),IF(4=Projects!$C$17+Projects!$D$17-1,Projects!$B$17*INDEX(Curves!$B$4:$AO$4,1,4-Projects!$C$17+1)*Assumptions!$B$11*0.95+0.05*Projects!$B$17*Assumptions!$B$11,Projects!$B$17*INDEX(Curves!$B$4:$AO$4,1,4-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$4:$AO$4,1,4-Projects!$C$24+1)*Assumptions!$B$11*0.95+0.05*Projects!$B$24*Assumptions!$B$11,Projects!$B$24*INDEX(Curves!$B$4:$AO$4,1,4-Projects!$C$24+1)*Assumptions!$B$11*0.95),0)+IF(AND(Projects!$G$25="Yes",4&gt;=Projects!$C$25,4&lt;Projects!$C$25+Projects!$D$25),IF(4=Projects!$C$25+Projects!$D$25-1,Projects!$B$25*INDEX(Curves!$B$4:$AO$4,1,4-Projects!$C$25+1)*Assumptions!$B$11*0.95+0.05*Projects!$B$25*Assumptions!$B$11,Projects!$B$25*INDEX(Curves!$B$4:$AO$4,1,4-Projects!$C$25+1)*Assumptions!$B$11*0.95),0)+IF(AND(Projects!$G$26="Yes",4&gt;=Projects!$C$26,4&lt;Projects!$C$26+Projects!$D$26),IF(4=Projects!$C$26+Projects!$D$26-1,Projects!$B$26*INDEX(Curves!$B$4:$AO$4,1,4-Projects!$C$26+1)*Assumptions!$B$11*0.95+0.05*Projects!$B$26*Assumptions!$B$11,Projects!$B$26*INDEX(Curves!$B$4:$AO$4,1,4-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>
        <f>IF(AND(Projects!$G$17="Yes",5&gt;=Projects!$C$17,5&lt;Projects!$C$17+Projects!$D$17),IF(5=Projects!$C$17+Projects!$D$17-1,Projects!$B$17*INDEX(Curves!$B$4:$AO$4,1,5-Projects!$C$17+1)*Assumptions!$B$11*0.95+0.05*Projects!$B$17*Assumptions!$B$11,Projects!$B$17*INDEX(Curves!$B$4:$AO$4,1,5-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$4:$AO$4,1,5-Projects!$C$24+1)*Assumptions!$B$11*0.95+0.05*Projects!$B$24*Assumptions!$B$11,Projects!$B$24*INDEX(Curves!$B$4:$AO$4,1,5-Projects!$C$24+1)*Assumptions!$B$11*0.95),0)+IF(AND(Projects!$G$25="Yes",5&gt;=Projects!$C$25,5&lt;Projects!$C$25+Projects!$D$25),IF(5=Projects!$C$25+Projects!$D$25-1,Projects!$B$25*INDEX(Curves!$B$4:$AO$4,1,5-Projects!$C$25+1)*Assumptions!$B$11*0.95+0.05*Projects!$B$25*Assumptions!$B$11,Projects!$B$25*INDEX(Curves!$B$4:$AO$4,1,5-Projects!$C$25+1)*Assumptions!$B$11*0.95),0)+IF(AND(Projects!$G$26="Yes",5&gt;=Projects!$C$26,5&lt;Projects!$C$26+Projects!$D$26),IF(5=Projects!$C$26+Projects!$D$26-1,Projects!$B$26*INDEX(Curves!$B$4:$AO$4,1,5-Projects!$C$26+1)*Assumptions!$B$11*0.95+0.05*Projects!$B$26*Assumptions!$B$11,Projects!$B$26*INDEX(Curves!$B$4:$AO$4,1,5-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>
        <f>IF(AND(Projects!$G$17="Yes",6&gt;=Projects!$C$17,6&lt;Projects!$C$17+Projects!$D$17),IF(6=Projects!$C$17+Projects!$D$17-1,Projects!$B$17*INDEX(Curves!$B$4:$AO$4,1,6-Projects!$C$17+1)*Assumptions!$B$11*0.95+0.05*Projects!$B$17*Assumptions!$B$11,Projects!$B$17*INDEX(Curves!$B$4:$AO$4,1,6-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$4:$AO$4,1,6-Projects!$C$24+1)*Assumptions!$B$11*0.95+0.05*Projects!$B$24*Assumptions!$B$11,Projects!$B$24*INDEX(Curves!$B$4:$AO$4,1,6-Projects!$C$24+1)*Assumptions!$B$11*0.95),0)+IF(AND(Projects!$G$25="Yes",6&gt;=Projects!$C$25,6&lt;Projects!$C$25+Projects!$D$25),IF(6=Projects!$C$25+Projects!$D$25-1,Projects!$B$25*INDEX(Curves!$B$4:$AO$4,1,6-Projects!$C$25+1)*Assumptions!$B$11*0.95+0.05*Projects!$B$25*Assumptions!$B$11,Projects!$B$25*INDEX(Curves!$B$4:$AO$4,1,6-Projects!$C$25+1)*Assumptions!$B$11*0.95),0)+IF(AND(Projects!$G$26="Yes",6&gt;=Projects!$C$26,6&lt;Projects!$C$26+Projects!$D$26),IF(6=Projects!$C$26+Projects!$D$26-1,Projects!$B$26*INDEX(Curves!$B$4:$AO$4,1,6-Projects!$C$26+1)*Assumptions!$B$11*0.95+0.05*Projects!$B$26*Assumptions!$B$11,Projects!$B$26*INDEX(Curves!$B$4:$AO$4,1,6-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>
        <f>IF(AND(Projects!$G$17="Yes",7&gt;=Projects!$C$17,7&lt;Projects!$C$17+Projects!$D$17),IF(7=Projects!$C$17+Projects!$D$17-1,Projects!$B$17*INDEX(Curves!$B$4:$AO$4,1,7-Projects!$C$17+1)*Assumptions!$B$11*0.95+0.05*Projects!$B$17*Assumptions!$B$11,Projects!$B$17*INDEX(Curves!$B$4:$AO$4,1,7-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$4:$AO$4,1,7-Projects!$C$24+1)*Assumptions!$B$11*0.95+0.05*Projects!$B$24*Assumptions!$B$11,Projects!$B$24*INDEX(Curves!$B$4:$AO$4,1,7-Projects!$C$24+1)*Assumptions!$B$11*0.95),0)+IF(AND(Projects!$G$25="Yes",7&gt;=Projects!$C$25,7&lt;Projects!$C$25+Projects!$D$25),IF(7=Projects!$C$25+Projects!$D$25-1,Projects!$B$25*INDEX(Curves!$B$4:$AO$4,1,7-Projects!$C$25+1)*Assumptions!$B$11*0.95+0.05*Projects!$B$25*Assumptions!$B$11,Projects!$B$25*INDEX(Curves!$B$4:$AO$4,1,7-Projects!$C$25+1)*Assumptions!$B$11*0.95),0)+IF(AND(Projects!$G$26="Yes",7&gt;=Projects!$C$26,7&lt;Projects!$C$26+Projects!$D$26),IF(7=Projects!$C$26+Projects!$D$26-1,Projects!$B$26*INDEX(Curves!$B$4:$AO$4,1,7-Projects!$C$26+1)*Assumptions!$B$11*0.95+0.05*Projects!$B$26*Assumptions!$B$11,Projects!$B$26*INDEX(Curves!$B$4:$AO$4,1,7-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>
        <f>IF(AND(Projects!$G$17="Yes",8&gt;=Projects!$C$17,8&lt;Projects!$C$17+Projects!$D$17),IF(8=Projects!$C$17+Projects!$D$17-1,Projects!$B$17*INDEX(Curves!$B$4:$AO$4,1,8-Projects!$C$17+1)*Assumptions!$B$11*0.95+0.05*Projects!$B$17*Assumptions!$B$11,Projects!$B$17*INDEX(Curves!$B$4:$AO$4,1,8-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$4:$AO$4,1,8-Projects!$C$24+1)*Assumptions!$B$11*0.95+0.05*Projects!$B$24*Assumptions!$B$11,Projects!$B$24*INDEX(Curves!$B$4:$AO$4,1,8-Projects!$C$24+1)*Assumptions!$B$11*0.95),0)+IF(AND(Projects!$G$25="Yes",8&gt;=Projects!$C$25,8&lt;Projects!$C$25+Projects!$D$25),IF(8=Projects!$C$25+Projects!$D$25-1,Projects!$B$25*INDEX(Curves!$B$4:$AO$4,1,8-Projects!$C$25+1)*Assumptions!$B$11*0.95+0.05*Projects!$B$25*Assumptions!$B$11,Projects!$B$25*INDEX(Curves!$B$4:$AO$4,1,8-Projects!$C$25+1)*Assumptions!$B$11*0.95),0)+IF(AND(Projects!$G$26="Yes",8&gt;=Projects!$C$26,8&lt;Projects!$C$26+Projects!$D$26),IF(8=Projects!$C$26+Projects!$D$26-1,Projects!$B$26*INDEX(Curves!$B$4:$AO$4,1,8-Projects!$C$26+1)*Assumptions!$B$11*0.95+0.05*Projects!$B$26*Assumptions!$B$11,Projects!$B$26*INDEX(Curves!$B$4:$AO$4,1,8-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>
        <f>IF(AND(Projects!$G$17="Yes",9&gt;=Projects!$C$17,9&lt;Projects!$C$17+Projects!$D$17),IF(9=Projects!$C$17+Projects!$D$17-1,Projects!$B$17*INDEX(Curves!$B$4:$AO$4,1,9-Projects!$C$17+1)*Assumptions!$B$11*0.95+0.05*Projects!$B$17*Assumptions!$B$11,Projects!$B$17*INDEX(Curves!$B$4:$AO$4,1,9-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$4:$AO$4,1,9-Projects!$C$24+1)*Assumptions!$B$11*0.95+0.05*Projects!$B$24*Assumptions!$B$11,Projects!$B$24*INDEX(Curves!$B$4:$AO$4,1,9-Projects!$C$24+1)*Assumptions!$B$11*0.95),0)+IF(AND(Projects!$G$25="Yes",9&gt;=Projects!$C$25,9&lt;Projects!$C$25+Projects!$D$25),IF(9=Projects!$C$25+Projects!$D$25-1,Projects!$B$25*INDEX(Curves!$B$4:$AO$4,1,9-Projects!$C$25+1)*Assumptions!$B$11*0.95+0.05*Projects!$B$25*Assumptions!$B$11,Projects!$B$25*INDEX(Curves!$B$4:$AO$4,1,9-Projects!$C$25+1)*Assumptions!$B$11*0.95),0)+IF(AND(Projects!$G$26="Yes",9&gt;=Projects!$C$26,9&lt;Projects!$C$26+Projects!$D$26),IF(9=Projects!$C$26+Projects!$D$26-1,Projects!$B$26*INDEX(Curves!$B$4:$AO$4,1,9-Projects!$C$26+1)*Assumptions!$B$11*0.95+0.05*Projects!$B$26*Assumptions!$B$11,Projects!$B$26*INDEX(Curves!$B$4:$AO$4,1,9-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>
        <f>IF(AND(Projects!$G$17="Yes",10&gt;=Projects!$C$17,10&lt;Projects!$C$17+Projects!$D$17),IF(10=Projects!$C$17+Projects!$D$17-1,Projects!$B$17*INDEX(Curves!$B$4:$AO$4,1,10-Projects!$C$17+1)*Assumptions!$B$11*0.95+0.05*Projects!$B$17*Assumptions!$B$11,Projects!$B$17*INDEX(Curves!$B$4:$AO$4,1,10-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$4:$AO$4,1,10-Projects!$C$24+1)*Assumptions!$B$11*0.95+0.05*Projects!$B$24*Assumptions!$B$11,Projects!$B$24*INDEX(Curves!$B$4:$AO$4,1,10-Projects!$C$24+1)*Assumptions!$B$11*0.95),0)+IF(AND(Projects!$G$25="Yes",10&gt;=Projects!$C$25,10&lt;Projects!$C$25+Projects!$D$25),IF(10=Projects!$C$25+Projects!$D$25-1,Projects!$B$25*INDEX(Curves!$B$4:$AO$4,1,10-Projects!$C$25+1)*Assumptions!$B$11*0.95+0.05*Projects!$B$25*Assumptions!$B$11,Projects!$B$25*INDEX(Curves!$B$4:$AO$4,1,10-Projects!$C$25+1)*Assumptions!$B$11*0.95),0)+IF(AND(Projects!$G$26="Yes",10&gt;=Projects!$C$26,10&lt;Projects!$C$26+Projects!$D$26),IF(10=Projects!$C$26+Projects!$D$26-1,Projects!$B$26*INDEX(Curves!$B$4:$AO$4,1,10-Projects!$C$26+1)*Assumptions!$B$11*0.95+0.05*Projects!$B$26*Assumptions!$B$11,Projects!$B$26*INDEX(Curves!$B$4:$AO$4,1,10-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>
        <f>IF(AND(Projects!$G$17="Yes",11&gt;=Projects!$C$17,11&lt;Projects!$C$17+Projects!$D$17),IF(11=Projects!$C$17+Projects!$D$17-1,Projects!$B$17*INDEX(Curves!$B$4:$AO$4,1,11-Projects!$C$17+1)*Assumptions!$B$11*0.95+0.05*Projects!$B$17*Assumptions!$B$11,Projects!$B$17*INDEX(Curves!$B$4:$AO$4,1,11-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$4:$AO$4,1,11-Projects!$C$24+1)*Assumptions!$B$11*0.95+0.05*Projects!$B$24*Assumptions!$B$11,Projects!$B$24*INDEX(Curves!$B$4:$AO$4,1,11-Projects!$C$24+1)*Assumptions!$B$11*0.95),0)+IF(AND(Projects!$G$25="Yes",11&gt;=Projects!$C$25,11&lt;Projects!$C$25+Projects!$D$25),IF(11=Projects!$C$25+Projects!$D$25-1,Projects!$B$25*INDEX(Curves!$B$4:$AO$4,1,11-Projects!$C$25+1)*Assumptions!$B$11*0.95+0.05*Projects!$B$25*Assumptions!$B$11,Projects!$B$25*INDEX(Curves!$B$4:$AO$4,1,11-Projects!$C$25+1)*Assumptions!$B$11*0.95),0)+IF(AND(Projects!$G$26="Yes",11&gt;=Projects!$C$26,11&lt;Projects!$C$26+Projects!$D$26),IF(11=Projects!$C$26+Projects!$D$26-1,Projects!$B$26*INDEX(Curves!$B$4:$AO$4,1,11-Projects!$C$26+1)*Assumptions!$B$11*0.95+0.05*Projects!$B$26*Assumptions!$B$11,Projects!$B$26*INDEX(Curves!$B$4:$AO$4,1,11-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>
        <f>IF(AND(Projects!$G$17="Yes",12&gt;=Projects!$C$17,12&lt;Projects!$C$17+Projects!$D$17),IF(12=Projects!$C$17+Projects!$D$17-1,Projects!$B$17*INDEX(Curves!$B$4:$AO$4,1,12-Projects!$C$17+1)*Assumptions!$B$11*0.95+0.05*Projects!$B$17*Assumptions!$B$11,Projects!$B$17*INDEX(Curves!$B$4:$AO$4,1,12-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$4:$AO$4,1,12-Projects!$C$24+1)*Assumptions!$B$11*0.95+0.05*Projects!$B$24*Assumptions!$B$11,Projects!$B$24*INDEX(Curves!$B$4:$AO$4,1,12-Projects!$C$24+1)*Assumptions!$B$11*0.95),0)+IF(AND(Projects!$G$25="Yes",12&gt;=Projects!$C$25,12&lt;Projects!$C$25+Projects!$D$25),IF(12=Projects!$C$25+Projects!$D$25-1,Projects!$B$25*INDEX(Curves!$B$4:$AO$4,1,12-Projects!$C$25+1)*Assumptions!$B$11*0.95+0.05*Projects!$B$25*Assumptions!$B$11,Projects!$B$25*INDEX(Curves!$B$4:$AO$4,1,12-Projects!$C$25+1)*Assumptions!$B$11*0.95),0)+IF(AND(Projects!$G$26="Yes",12&gt;=Projects!$C$26,12&lt;Projects!$C$26+Projects!$D$26),IF(12=Projects!$C$26+Projects!$D$26-1,Projects!$B$26*INDEX(Curves!$B$4:$AO$4,1,12-Projects!$C$26+1)*Assumptions!$B$11*0.95+0.05*Projects!$B$26*Assumptions!$B$11,Projects!$B$26*INDEX(Curves!$B$4:$AO$4,1,12-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>
        <f>IF(AND(Projects!$G$17="Yes",13&gt;=Projects!$C$17,13&lt;Projects!$C$17+Projects!$D$17),IF(13=Projects!$C$17+Projects!$D$17-1,Projects!$B$17*INDEX(Curves!$B$4:$AO$4,1,13-Projects!$C$17+1)*Assumptions!$B$11*0.95+0.05*Projects!$B$17*Assumptions!$B$11,Projects!$B$17*INDEX(Curves!$B$4:$AO$4,1,13-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$4:$AO$4,1,13-Projects!$C$24+1)*Assumptions!$B$11*0.95+0.05*Projects!$B$24*Assumptions!$B$11,Projects!$B$24*INDEX(Curves!$B$4:$AO$4,1,13-Projects!$C$24+1)*Assumptions!$B$11*0.95),0)+IF(AND(Projects!$G$25="Yes",13&gt;=Projects!$C$25,13&lt;Projects!$C$25+Projects!$D$25),IF(13=Projects!$C$25+Projects!$D$25-1,Projects!$B$25*INDEX(Curves!$B$4:$AO$4,1,13-Projects!$C$25+1)*Assumptions!$B$11*0.95+0.05*Projects!$B$25*Assumptions!$B$11,Projects!$B$25*INDEX(Curves!$B$4:$AO$4,1,13-Projects!$C$25+1)*Assumptions!$B$11*0.95),0)+IF(AND(Projects!$G$26="Yes",13&gt;=Projects!$C$26,13&lt;Projects!$C$26+Projects!$D$26),IF(13=Projects!$C$26+Projects!$D$26-1,Projects!$B$26*INDEX(Curves!$B$4:$AO$4,1,13-Projects!$C$26+1)*Assumptions!$B$11*0.95+0.05*Projects!$B$26*Assumptions!$B$11,Projects!$B$26*INDEX(Curves!$B$4:$AO$4,1,13-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>
        <f>IF(AND(Projects!$G$17="Yes",14&gt;=Projects!$C$17,14&lt;Projects!$C$17+Projects!$D$17),IF(14=Projects!$C$17+Projects!$D$17-1,Projects!$B$17*INDEX(Curves!$B$4:$AO$4,1,14-Projects!$C$17+1)*Assumptions!$B$11*0.95+0.05*Projects!$B$17*Assumptions!$B$11,Projects!$B$17*INDEX(Curves!$B$4:$AO$4,1,14-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$4:$AO$4,1,14-Projects!$C$24+1)*Assumptions!$B$11*0.95+0.05*Projects!$B$24*Assumptions!$B$11,Projects!$B$24*INDEX(Curves!$B$4:$AO$4,1,14-Projects!$C$24+1)*Assumptions!$B$11*0.95),0)+IF(AND(Projects!$G$25="Yes",14&gt;=Projects!$C$25,14&lt;Projects!$C$25+Projects!$D$25),IF(14=Projects!$C$25+Projects!$D$25-1,Projects!$B$25*INDEX(Curves!$B$4:$AO$4,1,14-Projects!$C$25+1)*Assumptions!$B$11*0.95+0.05*Projects!$B$25*Assumptions!$B$11,Projects!$B$25*INDEX(Curves!$B$4:$AO$4,1,14-Projects!$C$25+1)*Assumptions!$B$11*0.95),0)+IF(AND(Projects!$G$26="Yes",14&gt;=Projects!$C$26,14&lt;Projects!$C$26+Projects!$D$26),IF(14=Projects!$C$26+Projects!$D$26-1,Projects!$B$26*INDEX(Curves!$B$4:$AO$4,1,14-Projects!$C$26+1)*Assumptions!$B$11*0.95+0.05*Projects!$B$26*Assumptions!$B$11,Projects!$B$26*INDEX(Curves!$B$4:$AO$4,1,14-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>
        <f>IF(AND(Projects!$G$17="Yes",15&gt;=Projects!$C$17,15&lt;Projects!$C$17+Projects!$D$17),IF(15=Projects!$C$17+Projects!$D$17-1,Projects!$B$17*INDEX(Curves!$B$4:$AO$4,1,15-Projects!$C$17+1)*Assumptions!$B$11*0.95+0.05*Projects!$B$17*Assumptions!$B$11,Projects!$B$17*INDEX(Curves!$B$4:$AO$4,1,15-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$4:$AO$4,1,15-Projects!$C$24+1)*Assumptions!$B$11*0.95+0.05*Projects!$B$24*Assumptions!$B$11,Projects!$B$24*INDEX(Curves!$B$4:$AO$4,1,15-Projects!$C$24+1)*Assumptions!$B$11*0.95),0)+IF(AND(Projects!$G$25="Yes",15&gt;=Projects!$C$25,15&lt;Projects!$C$25+Projects!$D$25),IF(15=Projects!$C$25+Projects!$D$25-1,Projects!$B$25*INDEX(Curves!$B$4:$AO$4,1,15-Projects!$C$25+1)*Assumptions!$B$11*0.95+0.05*Projects!$B$25*Assumptions!$B$11,Projects!$B$25*INDEX(Curves!$B$4:$AO$4,1,15-Projects!$C$25+1)*Assumptions!$B$11*0.95),0)+IF(AND(Projects!$G$26="Yes",15&gt;=Projects!$C$26,15&lt;Projects!$C$26+Projects!$D$26),IF(15=Projects!$C$26+Projects!$D$26-1,Projects!$B$26*INDEX(Curves!$B$4:$AO$4,1,15-Projects!$C$26+1)*Assumptions!$B$11*0.95+0.05*Projects!$B$26*Assumptions!$B$11,Projects!$B$26*INDEX(Curves!$B$4:$AO$4,1,15-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>
        <f>IF(AND(Projects!$G$17="Yes",16&gt;=Projects!$C$17,16&lt;Projects!$C$17+Projects!$D$17),IF(16=Projects!$C$17+Projects!$D$17-1,Projects!$B$17*INDEX(Curves!$B$4:$AO$4,1,16-Projects!$C$17+1)*Assumptions!$B$11*0.95+0.05*Projects!$B$17*Assumptions!$B$11,Projects!$B$17*INDEX(Curves!$B$4:$AO$4,1,16-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$4:$AO$4,1,16-Projects!$C$24+1)*Assumptions!$B$11*0.95+0.05*Projects!$B$24*Assumptions!$B$11,Projects!$B$24*INDEX(Curves!$B$4:$AO$4,1,16-Projects!$C$24+1)*Assumptions!$B$11*0.95),0)+IF(AND(Projects!$G$25="Yes",16&gt;=Projects!$C$25,16&lt;Projects!$C$25+Projects!$D$25),IF(16=Projects!$C$25+Projects!$D$25-1,Projects!$B$25*INDEX(Curves!$B$4:$AO$4,1,16-Projects!$C$25+1)*Assumptions!$B$11*0.95+0.05*Projects!$B$25*Assumptions!$B$11,Projects!$B$25*INDEX(Curves!$B$4:$AO$4,1,16-Projects!$C$25+1)*Assumptions!$B$11*0.95),0)+IF(AND(Projects!$G$26="Yes",16&gt;=Projects!$C$26,16&lt;Projects!$C$26+Projects!$D$26),IF(16=Projects!$C$26+Projects!$D$26-1,Projects!$B$26*INDEX(Curves!$B$4:$AO$4,1,16-Projects!$C$26+1)*Assumptions!$B$11*0.95+0.05*Projects!$B$26*Assumptions!$B$11,Projects!$B$26*INDEX(Curves!$B$4:$AO$4,1,16-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0</v>
      </c>
      <c r="S99">
        <f>IF(AND(Projects!$G$17="Yes",17&gt;=Projects!$C$17,17&lt;Projects!$C$17+Projects!$D$17),IF(17=Projects!$C$17+Projects!$D$17-1,Projects!$B$17*INDEX(Curves!$B$4:$AO$4,1,17-Projects!$C$17+1)*Assumptions!$B$11*0.95+0.05*Projects!$B$17*Assumptions!$B$11,Projects!$B$17*INDEX(Curves!$B$4:$AO$4,1,17-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$4:$AO$4,1,17-Projects!$C$24+1)*Assumptions!$B$11*0.95+0.05*Projects!$B$24*Assumptions!$B$11,Projects!$B$24*INDEX(Curves!$B$4:$AO$4,1,17-Projects!$C$24+1)*Assumptions!$B$11*0.95),0)+IF(AND(Projects!$G$25="Yes",17&gt;=Projects!$C$25,17&lt;Projects!$C$25+Projects!$D$25),IF(17=Projects!$C$25+Projects!$D$25-1,Projects!$B$25*INDEX(Curves!$B$4:$AO$4,1,17-Projects!$C$25+1)*Assumptions!$B$11*0.95+0.05*Projects!$B$25*Assumptions!$B$11,Projects!$B$25*INDEX(Curves!$B$4:$AO$4,1,17-Projects!$C$25+1)*Assumptions!$B$11*0.95),0)+IF(AND(Projects!$G$26="Yes",17&gt;=Projects!$C$26,17&lt;Projects!$C$26+Projects!$D$26),IF(17=Projects!$C$26+Projects!$D$26-1,Projects!$B$26*INDEX(Curves!$B$4:$AO$4,1,17-Projects!$C$26+1)*Assumptions!$B$11*0.95+0.05*Projects!$B$26*Assumptions!$B$11,Projects!$B$26*INDEX(Curves!$B$4:$AO$4,1,17-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0</v>
      </c>
      <c r="T99">
        <f>IF(AND(Projects!$G$17="Yes",18&gt;=Projects!$C$17,18&lt;Projects!$C$17+Projects!$D$17),IF(18=Projects!$C$17+Projects!$D$17-1,Projects!$B$17*INDEX(Curves!$B$4:$AO$4,1,18-Projects!$C$17+1)*Assumptions!$B$11*0.95+0.05*Projects!$B$17*Assumptions!$B$11,Projects!$B$17*INDEX(Curves!$B$4:$AO$4,1,18-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$4:$AO$4,1,18-Projects!$C$24+1)*Assumptions!$B$11*0.95+0.05*Projects!$B$24*Assumptions!$B$11,Projects!$B$24*INDEX(Curves!$B$4:$AO$4,1,18-Projects!$C$24+1)*Assumptions!$B$11*0.95),0)+IF(AND(Projects!$G$25="Yes",18&gt;=Projects!$C$25,18&lt;Projects!$C$25+Projects!$D$25),IF(18=Projects!$C$25+Projects!$D$25-1,Projects!$B$25*INDEX(Curves!$B$4:$AO$4,1,18-Projects!$C$25+1)*Assumptions!$B$11*0.95+0.05*Projects!$B$25*Assumptions!$B$11,Projects!$B$25*INDEX(Curves!$B$4:$AO$4,1,18-Projects!$C$25+1)*Assumptions!$B$11*0.95),0)+IF(AND(Projects!$G$26="Yes",18&gt;=Projects!$C$26,18&lt;Projects!$C$26+Projects!$D$26),IF(18=Projects!$C$26+Projects!$D$26-1,Projects!$B$26*INDEX(Curves!$B$4:$AO$4,1,18-Projects!$C$26+1)*Assumptions!$B$11*0.95+0.05*Projects!$B$26*Assumptions!$B$11,Projects!$B$26*INDEX(Curves!$B$4:$AO$4,1,18-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0</v>
      </c>
      <c r="U99">
        <f>IF(AND(Projects!$G$17="Yes",19&gt;=Projects!$C$17,19&lt;Projects!$C$17+Projects!$D$17),IF(19=Projects!$C$17+Projects!$D$17-1,Projects!$B$17*INDEX(Curves!$B$4:$AO$4,1,19-Projects!$C$17+1)*Assumptions!$B$11*0.95+0.05*Projects!$B$17*Assumptions!$B$11,Projects!$B$17*INDEX(Curves!$B$4:$AO$4,1,19-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$4:$AO$4,1,19-Projects!$C$24+1)*Assumptions!$B$11*0.95+0.05*Projects!$B$24*Assumptions!$B$11,Projects!$B$24*INDEX(Curves!$B$4:$AO$4,1,19-Projects!$C$24+1)*Assumptions!$B$11*0.95),0)+IF(AND(Projects!$G$25="Yes",19&gt;=Projects!$C$25,19&lt;Projects!$C$25+Projects!$D$25),IF(19=Projects!$C$25+Projects!$D$25-1,Projects!$B$25*INDEX(Curves!$B$4:$AO$4,1,19-Projects!$C$25+1)*Assumptions!$B$11*0.95+0.05*Projects!$B$25*Assumptions!$B$11,Projects!$B$25*INDEX(Curves!$B$4:$AO$4,1,19-Projects!$C$25+1)*Assumptions!$B$11*0.95),0)+IF(AND(Projects!$G$26="Yes",19&gt;=Projects!$C$26,19&lt;Projects!$C$26+Projects!$D$26),IF(19=Projects!$C$26+Projects!$D$26-1,Projects!$B$26*INDEX(Curves!$B$4:$AO$4,1,19-Projects!$C$26+1)*Assumptions!$B$11*0.95+0.05*Projects!$B$26*Assumptions!$B$11,Projects!$B$26*INDEX(Curves!$B$4:$AO$4,1,19-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0</v>
      </c>
      <c r="V99">
        <f>IF(AND(Projects!$G$17="Yes",20&gt;=Projects!$C$17,20&lt;Projects!$C$17+Projects!$D$17),IF(20=Projects!$C$17+Projects!$D$17-1,Projects!$B$17*INDEX(Curves!$B$4:$AO$4,1,20-Projects!$C$17+1)*Assumptions!$B$11*0.95+0.05*Projects!$B$17*Assumptions!$B$11,Projects!$B$17*INDEX(Curves!$B$4:$AO$4,1,20-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$4:$AO$4,1,20-Projects!$C$24+1)*Assumptions!$B$11*0.95+0.05*Projects!$B$24*Assumptions!$B$11,Projects!$B$24*INDEX(Curves!$B$4:$AO$4,1,20-Projects!$C$24+1)*Assumptions!$B$11*0.95),0)+IF(AND(Projects!$G$25="Yes",20&gt;=Projects!$C$25,20&lt;Projects!$C$25+Projects!$D$25),IF(20=Projects!$C$25+Projects!$D$25-1,Projects!$B$25*INDEX(Curves!$B$4:$AO$4,1,20-Projects!$C$25+1)*Assumptions!$B$11*0.95+0.05*Projects!$B$25*Assumptions!$B$11,Projects!$B$25*INDEX(Curves!$B$4:$AO$4,1,20-Projects!$C$25+1)*Assumptions!$B$11*0.95),0)+IF(AND(Projects!$G$26="Yes",20&gt;=Projects!$C$26,20&lt;Projects!$C$26+Projects!$D$26),IF(20=Projects!$C$26+Projects!$D$26-1,Projects!$B$26*INDEX(Curves!$B$4:$AO$4,1,20-Projects!$C$26+1)*Assumptions!$B$11*0.95+0.05*Projects!$B$26*Assumptions!$B$11,Projects!$B$26*INDEX(Curves!$B$4:$AO$4,1,20-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0</v>
      </c>
      <c r="W99">
        <f>IF(AND(Projects!$G$17="Yes",21&gt;=Projects!$C$17,21&lt;Projects!$C$17+Projects!$D$17),IF(21=Projects!$C$17+Projects!$D$17-1,Projects!$B$17*INDEX(Curves!$B$4:$AO$4,1,21-Projects!$C$17+1)*Assumptions!$B$11*0.95+0.05*Projects!$B$17*Assumptions!$B$11,Projects!$B$17*INDEX(Curves!$B$4:$AO$4,1,21-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$4:$AO$4,1,21-Projects!$C$24+1)*Assumptions!$B$11*0.95+0.05*Projects!$B$24*Assumptions!$B$11,Projects!$B$24*INDEX(Curves!$B$4:$AO$4,1,21-Projects!$C$24+1)*Assumptions!$B$11*0.95),0)+IF(AND(Projects!$G$25="Yes",21&gt;=Projects!$C$25,21&lt;Projects!$C$25+Projects!$D$25),IF(21=Projects!$C$25+Projects!$D$25-1,Projects!$B$25*INDEX(Curves!$B$4:$AO$4,1,21-Projects!$C$25+1)*Assumptions!$B$11*0.95+0.05*Projects!$B$25*Assumptions!$B$11,Projects!$B$25*INDEX(Curves!$B$4:$AO$4,1,21-Projects!$C$25+1)*Assumptions!$B$11*0.95),0)+IF(AND(Projects!$G$26="Yes",21&gt;=Projects!$C$26,21&lt;Projects!$C$26+Projects!$D$26),IF(21=Projects!$C$26+Projects!$D$26-1,Projects!$B$26*INDEX(Curves!$B$4:$AO$4,1,21-Projects!$C$26+1)*Assumptions!$B$11*0.95+0.05*Projects!$B$26*Assumptions!$B$11,Projects!$B$26*INDEX(Curves!$B$4:$AO$4,1,21-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0</v>
      </c>
      <c r="X99">
        <f>IF(AND(Projects!$G$17="Yes",22&gt;=Projects!$C$17,22&lt;Projects!$C$17+Projects!$D$17),IF(22=Projects!$C$17+Projects!$D$17-1,Projects!$B$17*INDEX(Curves!$B$4:$AO$4,1,22-Projects!$C$17+1)*Assumptions!$B$11*0.95+0.05*Projects!$B$17*Assumptions!$B$11,Projects!$B$17*INDEX(Curves!$B$4:$AO$4,1,22-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$4:$AO$4,1,22-Projects!$C$24+1)*Assumptions!$B$11*0.95+0.05*Projects!$B$24*Assumptions!$B$11,Projects!$B$24*INDEX(Curves!$B$4:$AO$4,1,22-Projects!$C$24+1)*Assumptions!$B$11*0.95),0)+IF(AND(Projects!$G$25="Yes",22&gt;=Projects!$C$25,22&lt;Projects!$C$25+Projects!$D$25),IF(22=Projects!$C$25+Projects!$D$25-1,Projects!$B$25*INDEX(Curves!$B$4:$AO$4,1,22-Projects!$C$25+1)*Assumptions!$B$11*0.95+0.05*Projects!$B$25*Assumptions!$B$11,Projects!$B$25*INDEX(Curves!$B$4:$AO$4,1,22-Projects!$C$25+1)*Assumptions!$B$11*0.95),0)+IF(AND(Projects!$G$26="Yes",22&gt;=Projects!$C$26,22&lt;Projects!$C$26+Projects!$D$26),IF(22=Projects!$C$26+Projects!$D$26-1,Projects!$B$26*INDEX(Curves!$B$4:$AO$4,1,22-Projects!$C$26+1)*Assumptions!$B$11*0.95+0.05*Projects!$B$26*Assumptions!$B$11,Projects!$B$26*INDEX(Curves!$B$4:$AO$4,1,22-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0</v>
      </c>
      <c r="Y99">
        <f>IF(AND(Projects!$G$17="Yes",23&gt;=Projects!$C$17,23&lt;Projects!$C$17+Projects!$D$17),IF(23=Projects!$C$17+Projects!$D$17-1,Projects!$B$17*INDEX(Curves!$B$4:$AO$4,1,23-Projects!$C$17+1)*Assumptions!$B$11*0.95+0.05*Projects!$B$17*Assumptions!$B$11,Projects!$B$17*INDEX(Curves!$B$4:$AO$4,1,23-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$4:$AO$4,1,23-Projects!$C$24+1)*Assumptions!$B$11*0.95+0.05*Projects!$B$24*Assumptions!$B$11,Projects!$B$24*INDEX(Curves!$B$4:$AO$4,1,23-Projects!$C$24+1)*Assumptions!$B$11*0.95),0)+IF(AND(Projects!$G$25="Yes",23&gt;=Projects!$C$25,23&lt;Projects!$C$25+Projects!$D$25),IF(23=Projects!$C$25+Projects!$D$25-1,Projects!$B$25*INDEX(Curves!$B$4:$AO$4,1,23-Projects!$C$25+1)*Assumptions!$B$11*0.95+0.05*Projects!$B$25*Assumptions!$B$11,Projects!$B$25*INDEX(Curves!$B$4:$AO$4,1,23-Projects!$C$25+1)*Assumptions!$B$11*0.95),0)+IF(AND(Projects!$G$26="Yes",23&gt;=Projects!$C$26,23&lt;Projects!$C$26+Projects!$D$26),IF(23=Projects!$C$26+Projects!$D$26-1,Projects!$B$26*INDEX(Curves!$B$4:$AO$4,1,23-Projects!$C$26+1)*Assumptions!$B$11*0.95+0.05*Projects!$B$26*Assumptions!$B$11,Projects!$B$26*INDEX(Curves!$B$4:$AO$4,1,23-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0</v>
      </c>
      <c r="Z99">
        <f>IF(AND(Projects!$G$17="Yes",24&gt;=Projects!$C$17,24&lt;Projects!$C$17+Projects!$D$17),IF(24=Projects!$C$17+Projects!$D$17-1,Projects!$B$17*INDEX(Curves!$B$4:$AO$4,1,24-Projects!$C$17+1)*Assumptions!$B$11*0.95+0.05*Projects!$B$17*Assumptions!$B$11,Projects!$B$17*INDEX(Curves!$B$4:$AO$4,1,24-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$4:$AO$4,1,24-Projects!$C$24+1)*Assumptions!$B$11*0.95+0.05*Projects!$B$24*Assumptions!$B$11,Projects!$B$24*INDEX(Curves!$B$4:$AO$4,1,24-Projects!$C$24+1)*Assumptions!$B$11*0.95),0)+IF(AND(Projects!$G$25="Yes",24&gt;=Projects!$C$25,24&lt;Projects!$C$25+Projects!$D$25),IF(24=Projects!$C$25+Projects!$D$25-1,Projects!$B$25*INDEX(Curves!$B$4:$AO$4,1,24-Projects!$C$25+1)*Assumptions!$B$11*0.95+0.05*Projects!$B$25*Assumptions!$B$11,Projects!$B$25*INDEX(Curves!$B$4:$AO$4,1,24-Projects!$C$25+1)*Assumptions!$B$11*0.95),0)+IF(AND(Projects!$G$26="Yes",24&gt;=Projects!$C$26,24&lt;Projects!$C$26+Projects!$D$26),IF(24=Projects!$C$26+Projects!$D$26-1,Projects!$B$26*INDEX(Curves!$B$4:$AO$4,1,24-Projects!$C$26+1)*Assumptions!$B$11*0.95+0.05*Projects!$B$26*Assumptions!$B$11,Projects!$B$26*INDEX(Curves!$B$4:$AO$4,1,24-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0</v>
      </c>
      <c r="AA99">
        <f>IF(AND(Projects!$G$17="Yes",25&gt;=Projects!$C$17,25&lt;Projects!$C$17+Projects!$D$17),IF(25=Projects!$C$17+Projects!$D$17-1,Projects!$B$17*INDEX(Curves!$B$4:$AO$4,1,25-Projects!$C$17+1)*Assumptions!$B$11*0.95+0.05*Projects!$B$17*Assumptions!$B$11,Projects!$B$17*INDEX(Curves!$B$4:$AO$4,1,25-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$4:$AO$4,1,25-Projects!$C$24+1)*Assumptions!$B$11*0.95+0.05*Projects!$B$24*Assumptions!$B$11,Projects!$B$24*INDEX(Curves!$B$4:$AO$4,1,25-Projects!$C$24+1)*Assumptions!$B$11*0.95),0)+IF(AND(Projects!$G$25="Yes",25&gt;=Projects!$C$25,25&lt;Projects!$C$25+Projects!$D$25),IF(25=Projects!$C$25+Projects!$D$25-1,Projects!$B$25*INDEX(Curves!$B$4:$AO$4,1,25-Projects!$C$25+1)*Assumptions!$B$11*0.95+0.05*Projects!$B$25*Assumptions!$B$11,Projects!$B$25*INDEX(Curves!$B$4:$AO$4,1,25-Projects!$C$25+1)*Assumptions!$B$11*0.95),0)+IF(AND(Projects!$G$26="Yes",25&gt;=Projects!$C$26,25&lt;Projects!$C$26+Projects!$D$26),IF(25=Projects!$C$26+Projects!$D$26-1,Projects!$B$26*INDEX(Curves!$B$4:$AO$4,1,25-Projects!$C$26+1)*Assumptions!$B$11*0.95+0.05*Projects!$B$26*Assumptions!$B$11,Projects!$B$26*INDEX(Curves!$B$4:$AO$4,1,25-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0</v>
      </c>
      <c r="AB99">
        <f>IF(AND(Projects!$G$17="Yes",26&gt;=Projects!$C$17,26&lt;Projects!$C$17+Projects!$D$17),IF(26=Projects!$C$17+Projects!$D$17-1,Projects!$B$17*INDEX(Curves!$B$4:$AO$4,1,26-Projects!$C$17+1)*Assumptions!$B$11*0.95+0.05*Projects!$B$17*Assumptions!$B$11,Projects!$B$17*INDEX(Curves!$B$4:$AO$4,1,26-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$4:$AO$4,1,26-Projects!$C$24+1)*Assumptions!$B$11*0.95+0.05*Projects!$B$24*Assumptions!$B$11,Projects!$B$24*INDEX(Curves!$B$4:$AO$4,1,26-Projects!$C$24+1)*Assumptions!$B$11*0.95),0)+IF(AND(Projects!$G$25="Yes",26&gt;=Projects!$C$25,26&lt;Projects!$C$25+Projects!$D$25),IF(26=Projects!$C$25+Projects!$D$25-1,Projects!$B$25*INDEX(Curves!$B$4:$AO$4,1,26-Projects!$C$25+1)*Assumptions!$B$11*0.95+0.05*Projects!$B$25*Assumptions!$B$11,Projects!$B$25*INDEX(Curves!$B$4:$AO$4,1,26-Projects!$C$25+1)*Assumptions!$B$11*0.95),0)+IF(AND(Projects!$G$26="Yes",26&gt;=Projects!$C$26,26&lt;Projects!$C$26+Projects!$D$26),IF(26=Projects!$C$26+Projects!$D$26-1,Projects!$B$26*INDEX(Curves!$B$4:$AO$4,1,26-Projects!$C$26+1)*Assumptions!$B$11*0.95+0.05*Projects!$B$26*Assumptions!$B$11,Projects!$B$26*INDEX(Curves!$B$4:$AO$4,1,26-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0</v>
      </c>
      <c r="AC99">
        <f>IF(AND(Projects!$G$17="Yes",27&gt;=Projects!$C$17,27&lt;Projects!$C$17+Projects!$D$17),IF(27=Projects!$C$17+Projects!$D$17-1,Projects!$B$17*INDEX(Curves!$B$4:$AO$4,1,27-Projects!$C$17+1)*Assumptions!$B$11*0.95+0.05*Projects!$B$17*Assumptions!$B$11,Projects!$B$17*INDEX(Curves!$B$4:$AO$4,1,27-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$4:$AO$4,1,27-Projects!$C$24+1)*Assumptions!$B$11*0.95+0.05*Projects!$B$24*Assumptions!$B$11,Projects!$B$24*INDEX(Curves!$B$4:$AO$4,1,27-Projects!$C$24+1)*Assumptions!$B$11*0.95),0)+IF(AND(Projects!$G$25="Yes",27&gt;=Projects!$C$25,27&lt;Projects!$C$25+Projects!$D$25),IF(27=Projects!$C$25+Projects!$D$25-1,Projects!$B$25*INDEX(Curves!$B$4:$AO$4,1,27-Projects!$C$25+1)*Assumptions!$B$11*0.95+0.05*Projects!$B$25*Assumptions!$B$11,Projects!$B$25*INDEX(Curves!$B$4:$AO$4,1,27-Projects!$C$25+1)*Assumptions!$B$11*0.95),0)+IF(AND(Projects!$G$26="Yes",27&gt;=Projects!$C$26,27&lt;Projects!$C$26+Projects!$D$26),IF(27=Projects!$C$26+Projects!$D$26-1,Projects!$B$26*INDEX(Curves!$B$4:$AO$4,1,27-Projects!$C$26+1)*Assumptions!$B$11*0.95+0.05*Projects!$B$26*Assumptions!$B$11,Projects!$B$26*INDEX(Curves!$B$4:$AO$4,1,27-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0</v>
      </c>
      <c r="AD99">
        <f>IF(AND(Projects!$G$17="Yes",28&gt;=Projects!$C$17,28&lt;Projects!$C$17+Projects!$D$17),IF(28=Projects!$C$17+Projects!$D$17-1,Projects!$B$17*INDEX(Curves!$B$4:$AO$4,1,28-Projects!$C$17+1)*Assumptions!$B$11*0.95+0.05*Projects!$B$17*Assumptions!$B$11,Projects!$B$17*INDEX(Curves!$B$4:$AO$4,1,28-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$4:$AO$4,1,28-Projects!$C$24+1)*Assumptions!$B$11*0.95+0.05*Projects!$B$24*Assumptions!$B$11,Projects!$B$24*INDEX(Curves!$B$4:$AO$4,1,28-Projects!$C$24+1)*Assumptions!$B$11*0.95),0)+IF(AND(Projects!$G$25="Yes",28&gt;=Projects!$C$25,28&lt;Projects!$C$25+Projects!$D$25),IF(28=Projects!$C$25+Projects!$D$25-1,Projects!$B$25*INDEX(Curves!$B$4:$AO$4,1,28-Projects!$C$25+1)*Assumptions!$B$11*0.95+0.05*Projects!$B$25*Assumptions!$B$11,Projects!$B$25*INDEX(Curves!$B$4:$AO$4,1,28-Projects!$C$25+1)*Assumptions!$B$11*0.95),0)+IF(AND(Projects!$G$26="Yes",28&gt;=Projects!$C$26,28&lt;Projects!$C$26+Projects!$D$26),IF(28=Projects!$C$26+Projects!$D$26-1,Projects!$B$26*INDEX(Curves!$B$4:$AO$4,1,28-Projects!$C$26+1)*Assumptions!$B$11*0.95+0.05*Projects!$B$26*Assumptions!$B$11,Projects!$B$26*INDEX(Curves!$B$4:$AO$4,1,28-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0</v>
      </c>
      <c r="AE99">
        <f>IF(AND(Projects!$G$17="Yes",29&gt;=Projects!$C$17,29&lt;Projects!$C$17+Projects!$D$17),IF(29=Projects!$C$17+Projects!$D$17-1,Projects!$B$17*INDEX(Curves!$B$4:$AO$4,1,29-Projects!$C$17+1)*Assumptions!$B$11*0.95+0.05*Projects!$B$17*Assumptions!$B$11,Projects!$B$17*INDEX(Curves!$B$4:$AO$4,1,29-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$4:$AO$4,1,29-Projects!$C$24+1)*Assumptions!$B$11*0.95+0.05*Projects!$B$24*Assumptions!$B$11,Projects!$B$24*INDEX(Curves!$B$4:$AO$4,1,29-Projects!$C$24+1)*Assumptions!$B$11*0.95),0)+IF(AND(Projects!$G$25="Yes",29&gt;=Projects!$C$25,29&lt;Projects!$C$25+Projects!$D$25),IF(29=Projects!$C$25+Projects!$D$25-1,Projects!$B$25*INDEX(Curves!$B$4:$AO$4,1,29-Projects!$C$25+1)*Assumptions!$B$11*0.95+0.05*Projects!$B$25*Assumptions!$B$11,Projects!$B$25*INDEX(Curves!$B$4:$AO$4,1,29-Projects!$C$25+1)*Assumptions!$B$11*0.95),0)+IF(AND(Projects!$G$26="Yes",29&gt;=Projects!$C$26,29&lt;Projects!$C$26+Projects!$D$26),IF(29=Projects!$C$26+Projects!$D$26-1,Projects!$B$26*INDEX(Curves!$B$4:$AO$4,1,29-Projects!$C$26+1)*Assumptions!$B$11*0.95+0.05*Projects!$B$26*Assumptions!$B$11,Projects!$B$26*INDEX(Curves!$B$4:$AO$4,1,29-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0</v>
      </c>
      <c r="AF99">
        <f>IF(AND(Projects!$G$17="Yes",30&gt;=Projects!$C$17,30&lt;Projects!$C$17+Projects!$D$17),IF(30=Projects!$C$17+Projects!$D$17-1,Projects!$B$17*INDEX(Curves!$B$4:$AO$4,1,30-Projects!$C$17+1)*Assumptions!$B$11*0.95+0.05*Projects!$B$17*Assumptions!$B$11,Projects!$B$17*INDEX(Curves!$B$4:$AO$4,1,30-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$4:$AO$4,1,30-Projects!$C$24+1)*Assumptions!$B$11*0.95+0.05*Projects!$B$24*Assumptions!$B$11,Projects!$B$24*INDEX(Curves!$B$4:$AO$4,1,30-Projects!$C$24+1)*Assumptions!$B$11*0.95),0)+IF(AND(Projects!$G$25="Yes",30&gt;=Projects!$C$25,30&lt;Projects!$C$25+Projects!$D$25),IF(30=Projects!$C$25+Projects!$D$25-1,Projects!$B$25*INDEX(Curves!$B$4:$AO$4,1,30-Projects!$C$25+1)*Assumptions!$B$11*0.95+0.05*Projects!$B$25*Assumptions!$B$11,Projects!$B$25*INDEX(Curves!$B$4:$AO$4,1,30-Projects!$C$25+1)*Assumptions!$B$11*0.95),0)+IF(AND(Projects!$G$26="Yes",30&gt;=Projects!$C$26,30&lt;Projects!$C$26+Projects!$D$26),IF(30=Projects!$C$26+Projects!$D$26-1,Projects!$B$26*INDEX(Curves!$B$4:$AO$4,1,30-Projects!$C$26+1)*Assumptions!$B$11*0.95+0.05*Projects!$B$26*Assumptions!$B$11,Projects!$B$26*INDEX(Curves!$B$4:$AO$4,1,30-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0</v>
      </c>
      <c r="AG99">
        <f>IF(AND(Projects!$G$17="Yes",31&gt;=Projects!$C$17,31&lt;Projects!$C$17+Projects!$D$17),IF(31=Projects!$C$17+Projects!$D$17-1,Projects!$B$17*INDEX(Curves!$B$4:$AO$4,1,31-Projects!$C$17+1)*Assumptions!$B$11*0.95+0.05*Projects!$B$17*Assumptions!$B$11,Projects!$B$17*INDEX(Curves!$B$4:$AO$4,1,31-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$4:$AO$4,1,31-Projects!$C$24+1)*Assumptions!$B$11*0.95+0.05*Projects!$B$24*Assumptions!$B$11,Projects!$B$24*INDEX(Curves!$B$4:$AO$4,1,31-Projects!$C$24+1)*Assumptions!$B$11*0.95),0)+IF(AND(Projects!$G$25="Yes",31&gt;=Projects!$C$25,31&lt;Projects!$C$25+Projects!$D$25),IF(31=Projects!$C$25+Projects!$D$25-1,Projects!$B$25*INDEX(Curves!$B$4:$AO$4,1,31-Projects!$C$25+1)*Assumptions!$B$11*0.95+0.05*Projects!$B$25*Assumptions!$B$11,Projects!$B$25*INDEX(Curves!$B$4:$AO$4,1,31-Projects!$C$25+1)*Assumptions!$B$11*0.95),0)+IF(AND(Projects!$G$26="Yes",31&gt;=Projects!$C$26,31&lt;Projects!$C$26+Projects!$D$26),IF(31=Projects!$C$26+Projects!$D$26-1,Projects!$B$26*INDEX(Curves!$B$4:$AO$4,1,31-Projects!$C$26+1)*Assumptions!$B$11*0.95+0.05*Projects!$B$26*Assumptions!$B$11,Projects!$B$26*INDEX(Curves!$B$4:$AO$4,1,31-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22083.150974025968</v>
      </c>
      <c r="AH99">
        <f>IF(AND(Projects!$G$17="Yes",32&gt;=Projects!$C$17,32&lt;Projects!$C$17+Projects!$D$17),IF(32=Projects!$C$17+Projects!$D$17-1,Projects!$B$17*INDEX(Curves!$B$4:$AO$4,1,32-Projects!$C$17+1)*Assumptions!$B$11*0.95+0.05*Projects!$B$17*Assumptions!$B$11,Projects!$B$17*INDEX(Curves!$B$4:$AO$4,1,32-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$4:$AO$4,1,32-Projects!$C$24+1)*Assumptions!$B$11*0.95+0.05*Projects!$B$24*Assumptions!$B$11,Projects!$B$24*INDEX(Curves!$B$4:$AO$4,1,32-Projects!$C$24+1)*Assumptions!$B$11*0.95),0)+IF(AND(Projects!$G$25="Yes",32&gt;=Projects!$C$25,32&lt;Projects!$C$25+Projects!$D$25),IF(32=Projects!$C$25+Projects!$D$25-1,Projects!$B$25*INDEX(Curves!$B$4:$AO$4,1,32-Projects!$C$25+1)*Assumptions!$B$11*0.95+0.05*Projects!$B$25*Assumptions!$B$11,Projects!$B$25*INDEX(Curves!$B$4:$AO$4,1,32-Projects!$C$25+1)*Assumptions!$B$11*0.95),0)+IF(AND(Projects!$G$26="Yes",32&gt;=Projects!$C$26,32&lt;Projects!$C$26+Projects!$D$26),IF(32=Projects!$C$26+Projects!$D$26-1,Projects!$B$26*INDEX(Curves!$B$4:$AO$4,1,32-Projects!$C$26+1)*Assumptions!$B$11*0.95+0.05*Projects!$B$26*Assumptions!$B$11,Projects!$B$26*INDEX(Curves!$B$4:$AO$4,1,32-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27283.105519480516</v>
      </c>
      <c r="AI99">
        <f>IF(AND(Projects!$G$17="Yes",33&gt;=Projects!$C$17,33&lt;Projects!$C$17+Projects!$D$17),IF(33=Projects!$C$17+Projects!$D$17-1,Projects!$B$17*INDEX(Curves!$B$4:$AO$4,1,33-Projects!$C$17+1)*Assumptions!$B$11*0.95+0.05*Projects!$B$17*Assumptions!$B$11,Projects!$B$17*INDEX(Curves!$B$4:$AO$4,1,33-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$4:$AO$4,1,33-Projects!$C$24+1)*Assumptions!$B$11*0.95+0.05*Projects!$B$24*Assumptions!$B$11,Projects!$B$24*INDEX(Curves!$B$4:$AO$4,1,33-Projects!$C$24+1)*Assumptions!$B$11*0.95),0)+IF(AND(Projects!$G$25="Yes",33&gt;=Projects!$C$25,33&lt;Projects!$C$25+Projects!$D$25),IF(33=Projects!$C$25+Projects!$D$25-1,Projects!$B$25*INDEX(Curves!$B$4:$AO$4,1,33-Projects!$C$25+1)*Assumptions!$B$11*0.95+0.05*Projects!$B$25*Assumptions!$B$11,Projects!$B$25*INDEX(Curves!$B$4:$AO$4,1,33-Projects!$C$25+1)*Assumptions!$B$11*0.95),0)+IF(AND(Projects!$G$26="Yes",33&gt;=Projects!$C$26,33&lt;Projects!$C$26+Projects!$D$26),IF(33=Projects!$C$26+Projects!$D$26-1,Projects!$B$26*INDEX(Curves!$B$4:$AO$4,1,33-Projects!$C$26+1)*Assumptions!$B$11*0.95+0.05*Projects!$B$26*Assumptions!$B$11,Projects!$B$26*INDEX(Curves!$B$4:$AO$4,1,33-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32880.301948051943</v>
      </c>
      <c r="AJ99">
        <f>IF(AND(Projects!$G$17="Yes",34&gt;=Projects!$C$17,34&lt;Projects!$C$17+Projects!$D$17),IF(34=Projects!$C$17+Projects!$D$17-1,Projects!$B$17*INDEX(Curves!$B$4:$AO$4,1,34-Projects!$C$17+1)*Assumptions!$B$11*0.95+0.05*Projects!$B$17*Assumptions!$B$11,Projects!$B$17*INDEX(Curves!$B$4:$AO$4,1,34-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$4:$AO$4,1,34-Projects!$C$24+1)*Assumptions!$B$11*0.95+0.05*Projects!$B$24*Assumptions!$B$11,Projects!$B$24*INDEX(Curves!$B$4:$AO$4,1,34-Projects!$C$24+1)*Assumptions!$B$11*0.95),0)+IF(AND(Projects!$G$25="Yes",34&gt;=Projects!$C$25,34&lt;Projects!$C$25+Projects!$D$25),IF(34=Projects!$C$25+Projects!$D$25-1,Projects!$B$25*INDEX(Curves!$B$4:$AO$4,1,34-Projects!$C$25+1)*Assumptions!$B$11*0.95+0.05*Projects!$B$25*Assumptions!$B$11,Projects!$B$25*INDEX(Curves!$B$4:$AO$4,1,34-Projects!$C$25+1)*Assumptions!$B$11*0.95),0)+IF(AND(Projects!$G$26="Yes",34&gt;=Projects!$C$26,34&lt;Projects!$C$26+Projects!$D$26),IF(34=Projects!$C$26+Projects!$D$26-1,Projects!$B$26*INDEX(Curves!$B$4:$AO$4,1,34-Projects!$C$26+1)*Assumptions!$B$11*0.95+0.05*Projects!$B$26*Assumptions!$B$11,Projects!$B$26*INDEX(Curves!$B$4:$AO$4,1,34-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38651.551948051943</v>
      </c>
      <c r="AK99">
        <f>IF(AND(Projects!$G$17="Yes",35&gt;=Projects!$C$17,35&lt;Projects!$C$17+Projects!$D$17),IF(35=Projects!$C$17+Projects!$D$17-1,Projects!$B$17*INDEX(Curves!$B$4:$AO$4,1,35-Projects!$C$17+1)*Assumptions!$B$11*0.95+0.05*Projects!$B$17*Assumptions!$B$11,Projects!$B$17*INDEX(Curves!$B$4:$AO$4,1,35-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$4:$AO$4,1,35-Projects!$C$24+1)*Assumptions!$B$11*0.95+0.05*Projects!$B$24*Assumptions!$B$11,Projects!$B$24*INDEX(Curves!$B$4:$AO$4,1,35-Projects!$C$24+1)*Assumptions!$B$11*0.95),0)+IF(AND(Projects!$G$25="Yes",35&gt;=Projects!$C$25,35&lt;Projects!$C$25+Projects!$D$25),IF(35=Projects!$C$25+Projects!$D$25-1,Projects!$B$25*INDEX(Curves!$B$4:$AO$4,1,35-Projects!$C$25+1)*Assumptions!$B$11*0.95+0.05*Projects!$B$25*Assumptions!$B$11,Projects!$B$25*INDEX(Curves!$B$4:$AO$4,1,35-Projects!$C$25+1)*Assumptions!$B$11*0.95),0)+IF(AND(Projects!$G$26="Yes",35&gt;=Projects!$C$26,35&lt;Projects!$C$26+Projects!$D$26),IF(35=Projects!$C$26+Projects!$D$26-1,Projects!$B$26*INDEX(Curves!$B$4:$AO$4,1,35-Projects!$C$26+1)*Assumptions!$B$11*0.95+0.05*Projects!$B$26*Assumptions!$B$11,Projects!$B$26*INDEX(Curves!$B$4:$AO$4,1,35-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62722.161525974021</v>
      </c>
      <c r="AL99">
        <f>IF(AND(Projects!$G$17="Yes",36&gt;=Projects!$C$17,36&lt;Projects!$C$17+Projects!$D$17),IF(36=Projects!$C$17+Projects!$D$17-1,Projects!$B$17*INDEX(Curves!$B$4:$AO$4,1,36-Projects!$C$17+1)*Assumptions!$B$11*0.95+0.05*Projects!$B$17*Assumptions!$B$11,Projects!$B$17*INDEX(Curves!$B$4:$AO$4,1,36-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$4:$AO$4,1,36-Projects!$C$24+1)*Assumptions!$B$11*0.95+0.05*Projects!$B$24*Assumptions!$B$11,Projects!$B$24*INDEX(Curves!$B$4:$AO$4,1,36-Projects!$C$24+1)*Assumptions!$B$11*0.95),0)+IF(AND(Projects!$G$25="Yes",36&gt;=Projects!$C$25,36&lt;Projects!$C$25+Projects!$D$25),IF(36=Projects!$C$25+Projects!$D$25-1,Projects!$B$25*INDEX(Curves!$B$4:$AO$4,1,36-Projects!$C$25+1)*Assumptions!$B$11*0.95+0.05*Projects!$B$25*Assumptions!$B$11,Projects!$B$25*INDEX(Curves!$B$4:$AO$4,1,36-Projects!$C$25+1)*Assumptions!$B$11*0.95),0)+IF(AND(Projects!$G$26="Yes",36&gt;=Projects!$C$26,36&lt;Projects!$C$26+Projects!$D$26),IF(36=Projects!$C$26+Projects!$D$26-1,Projects!$B$26*INDEX(Curves!$B$4:$AO$4,1,36-Projects!$C$26+1)*Assumptions!$B$11*0.95+0.05*Projects!$B$26*Assumptions!$B$11,Projects!$B$26*INDEX(Curves!$B$4:$AO$4,1,36-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72305.379058441555</v>
      </c>
      <c r="AM99">
        <f>IF(AND(Projects!$G$17="Yes",37&gt;=Projects!$C$17,37&lt;Projects!$C$17+Projects!$D$17),IF(37=Projects!$C$17+Projects!$D$17-1,Projects!$B$17*INDEX(Curves!$B$4:$AO$4,1,37-Projects!$C$17+1)*Assumptions!$B$11*0.95+0.05*Projects!$B$17*Assumptions!$B$11,Projects!$B$17*INDEX(Curves!$B$4:$AO$4,1,37-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$4:$AO$4,1,37-Projects!$C$24+1)*Assumptions!$B$11*0.95+0.05*Projects!$B$24*Assumptions!$B$11,Projects!$B$24*INDEX(Curves!$B$4:$AO$4,1,37-Projects!$C$24+1)*Assumptions!$B$11*0.95),0)+IF(AND(Projects!$G$25="Yes",37&gt;=Projects!$C$25,37&lt;Projects!$C$25+Projects!$D$25),IF(37=Projects!$C$25+Projects!$D$25-1,Projects!$B$25*INDEX(Curves!$B$4:$AO$4,1,37-Projects!$C$25+1)*Assumptions!$B$11*0.95+0.05*Projects!$B$25*Assumptions!$B$11,Projects!$B$25*INDEX(Curves!$B$4:$AO$4,1,37-Projects!$C$25+1)*Assumptions!$B$11*0.95),0)+IF(AND(Projects!$G$26="Yes",37&gt;=Projects!$C$26,37&lt;Projects!$C$26+Projects!$D$26),IF(37=Projects!$C$26+Projects!$D$26-1,Projects!$B$26*INDEX(Curves!$B$4:$AO$4,1,37-Projects!$C$26+1)*Assumptions!$B$11*0.95+0.05*Projects!$B$26*Assumptions!$B$11,Projects!$B$26*INDEX(Curves!$B$4:$AO$4,1,37-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81479.279220779208</v>
      </c>
      <c r="AN99">
        <f>IF(AND(Projects!$G$17="Yes",38&gt;=Projects!$C$17,38&lt;Projects!$C$17+Projects!$D$17),IF(38=Projects!$C$17+Projects!$D$17-1,Projects!$B$17*INDEX(Curves!$B$4:$AO$4,1,38-Projects!$C$17+1)*Assumptions!$B$11*0.95+0.05*Projects!$B$17*Assumptions!$B$11,Projects!$B$17*INDEX(Curves!$B$4:$AO$4,1,38-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$4:$AO$4,1,38-Projects!$C$24+1)*Assumptions!$B$11*0.95+0.05*Projects!$B$24*Assumptions!$B$11,Projects!$B$24*INDEX(Curves!$B$4:$AO$4,1,38-Projects!$C$24+1)*Assumptions!$B$11*0.95),0)+IF(AND(Projects!$G$25="Yes",38&gt;=Projects!$C$25,38&lt;Projects!$C$25+Projects!$D$25),IF(38=Projects!$C$25+Projects!$D$25-1,Projects!$B$25*INDEX(Curves!$B$4:$AO$4,1,38-Projects!$C$25+1)*Assumptions!$B$11*0.95+0.05*Projects!$B$25*Assumptions!$B$11,Projects!$B$25*INDEX(Curves!$B$4:$AO$4,1,38-Projects!$C$25+1)*Assumptions!$B$11*0.95),0)+IF(AND(Projects!$G$26="Yes",38&gt;=Projects!$C$26,38&lt;Projects!$C$26+Projects!$D$26),IF(38=Projects!$C$26+Projects!$D$26-1,Projects!$B$26*INDEX(Curves!$B$4:$AO$4,1,38-Projects!$C$26+1)*Assumptions!$B$11*0.95+0.05*Projects!$B$26*Assumptions!$B$11,Projects!$B$26*INDEX(Curves!$B$4:$AO$4,1,38-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89758.899350649328</v>
      </c>
      <c r="AO99">
        <f>IF(AND(Projects!$G$17="Yes",39&gt;=Projects!$C$17,39&lt;Projects!$C$17+Projects!$D$17),IF(39=Projects!$C$17+Projects!$D$17-1,Projects!$B$17*INDEX(Curves!$B$4:$AO$4,1,39-Projects!$C$17+1)*Assumptions!$B$11*0.95+0.05*Projects!$B$17*Assumptions!$B$11,Projects!$B$17*INDEX(Curves!$B$4:$AO$4,1,39-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$4:$AO$4,1,39-Projects!$C$24+1)*Assumptions!$B$11*0.95+0.05*Projects!$B$24*Assumptions!$B$11,Projects!$B$24*INDEX(Curves!$B$4:$AO$4,1,39-Projects!$C$24+1)*Assumptions!$B$11*0.95),0)+IF(AND(Projects!$G$25="Yes",39&gt;=Projects!$C$25,39&lt;Projects!$C$25+Projects!$D$25),IF(39=Projects!$C$25+Projects!$D$25-1,Projects!$B$25*INDEX(Curves!$B$4:$AO$4,1,39-Projects!$C$25+1)*Assumptions!$B$11*0.95+0.05*Projects!$B$25*Assumptions!$B$11,Projects!$B$25*INDEX(Curves!$B$4:$AO$4,1,39-Projects!$C$25+1)*Assumptions!$B$11*0.95),0)+IF(AND(Projects!$G$26="Yes",39&gt;=Projects!$C$26,39&lt;Projects!$C$26+Projects!$D$26),IF(39=Projects!$C$26+Projects!$D$26-1,Projects!$B$26*INDEX(Curves!$B$4:$AO$4,1,39-Projects!$C$26+1)*Assumptions!$B$11*0.95+0.05*Projects!$B$26*Assumptions!$B$11,Projects!$B$26*INDEX(Curves!$B$4:$AO$4,1,39-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115073.42288961037</v>
      </c>
      <c r="AP99">
        <f>IF(AND(Projects!$G$17="Yes",40&gt;=Projects!$C$17,40&lt;Projects!$C$17+Projects!$D$17),IF(40=Projects!$C$17+Projects!$D$17-1,Projects!$B$17*INDEX(Curves!$B$4:$AO$4,1,40-Projects!$C$17+1)*Assumptions!$B$11*0.95+0.05*Projects!$B$17*Assumptions!$B$11,Projects!$B$17*INDEX(Curves!$B$4:$AO$4,1,40-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$4:$AO$4,1,40-Projects!$C$24+1)*Assumptions!$B$11*0.95+0.05*Projects!$B$24*Assumptions!$B$11,Projects!$B$24*INDEX(Curves!$B$4:$AO$4,1,40-Projects!$C$24+1)*Assumptions!$B$11*0.95),0)+IF(AND(Projects!$G$25="Yes",40&gt;=Projects!$C$25,40&lt;Projects!$C$25+Projects!$D$25),IF(40=Projects!$C$25+Projects!$D$25-1,Projects!$B$25*INDEX(Curves!$B$4:$AO$4,1,40-Projects!$C$25+1)*Assumptions!$B$11*0.95+0.05*Projects!$B$25*Assumptions!$B$11,Projects!$B$25*INDEX(Curves!$B$4:$AO$4,1,40-Projects!$C$25+1)*Assumptions!$B$11*0.95),0)+IF(AND(Projects!$G$26="Yes",40&gt;=Projects!$C$26,40&lt;Projects!$C$26+Projects!$D$26),IF(40=Projects!$C$26+Projects!$D$26-1,Projects!$B$26*INDEX(Curves!$B$4:$AO$4,1,40-Projects!$C$26+1)*Assumptions!$B$11*0.95+0.05*Projects!$B$26*Assumptions!$B$11,Projects!$B$26*INDEX(Curves!$B$4:$AO$4,1,40-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124529.5008116883</v>
      </c>
      <c r="AQ99">
        <f>IF(AND(Projects!$G$17="Yes",41&gt;=Projects!$C$17,41&lt;Projects!$C$17+Projects!$D$17),IF(41=Projects!$C$17+Projects!$D$17-1,Projects!$B$17*INDEX(Curves!$B$4:$AO$4,1,41-Projects!$C$17+1)*Assumptions!$B$11*0.95+0.05*Projects!$B$17*Assumptions!$B$11,Projects!$B$17*INDEX(Curves!$B$4:$AO$4,1,41-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$4:$AO$4,1,41-Projects!$C$24+1)*Assumptions!$B$11*0.95+0.05*Projects!$B$24*Assumptions!$B$11,Projects!$B$24*INDEX(Curves!$B$4:$AO$4,1,41-Projects!$C$24+1)*Assumptions!$B$11*0.95),0)+IF(AND(Projects!$G$25="Yes",41&gt;=Projects!$C$25,41&lt;Projects!$C$25+Projects!$D$25),IF(41=Projects!$C$25+Projects!$D$25-1,Projects!$B$25*INDEX(Curves!$B$4:$AO$4,1,41-Projects!$C$25+1)*Assumptions!$B$11*0.95+0.05*Projects!$B$25*Assumptions!$B$11,Projects!$B$25*INDEX(Curves!$B$4:$AO$4,1,41-Projects!$C$25+1)*Assumptions!$B$11*0.95),0)+IF(AND(Projects!$G$26="Yes",41&gt;=Projects!$C$26,41&lt;Projects!$C$26+Projects!$D$26),IF(41=Projects!$C$26+Projects!$D$26-1,Projects!$B$26*INDEX(Curves!$B$4:$AO$4,1,41-Projects!$C$26+1)*Assumptions!$B$11*0.95+0.05*Projects!$B$26*Assumptions!$B$11,Projects!$B$26*INDEX(Curves!$B$4:$AO$4,1,41-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132203.95860389608</v>
      </c>
      <c r="AR99">
        <f>IF(AND(Projects!$G$17="Yes",42&gt;=Projects!$C$17,42&lt;Projects!$C$17+Projects!$D$17),IF(42=Projects!$C$17+Projects!$D$17-1,Projects!$B$17*INDEX(Curves!$B$4:$AO$4,1,42-Projects!$C$17+1)*Assumptions!$B$11*0.95+0.05*Projects!$B$17*Assumptions!$B$11,Projects!$B$17*INDEX(Curves!$B$4:$AO$4,1,42-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$4:$AO$4,1,42-Projects!$C$24+1)*Assumptions!$B$11*0.95+0.05*Projects!$B$24*Assumptions!$B$11,Projects!$B$24*INDEX(Curves!$B$4:$AO$4,1,42-Projects!$C$24+1)*Assumptions!$B$11*0.95),0)+IF(AND(Projects!$G$25="Yes",42&gt;=Projects!$C$25,42&lt;Projects!$C$25+Projects!$D$25),IF(42=Projects!$C$25+Projects!$D$25-1,Projects!$B$25*INDEX(Curves!$B$4:$AO$4,1,42-Projects!$C$25+1)*Assumptions!$B$11*0.95+0.05*Projects!$B$25*Assumptions!$B$11,Projects!$B$25*INDEX(Curves!$B$4:$AO$4,1,42-Projects!$C$25+1)*Assumptions!$B$11*0.95),0)+IF(AND(Projects!$G$26="Yes",42&gt;=Projects!$C$26,42&lt;Projects!$C$26+Projects!$D$26),IF(42=Projects!$C$26+Projects!$D$26-1,Projects!$B$26*INDEX(Curves!$B$4:$AO$4,1,42-Projects!$C$26+1)*Assumptions!$B$11*0.95+0.05*Projects!$B$26*Assumptions!$B$11,Projects!$B$26*INDEX(Curves!$B$4:$AO$4,1,42-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137716.62662337659</v>
      </c>
      <c r="AS99">
        <f>IF(AND(Projects!$G$17="Yes",43&gt;=Projects!$C$17,43&lt;Projects!$C$17+Projects!$D$17),IF(43=Projects!$C$17+Projects!$D$17-1,Projects!$B$17*INDEX(Curves!$B$4:$AO$4,1,43-Projects!$C$17+1)*Assumptions!$B$11*0.95+0.05*Projects!$B$17*Assumptions!$B$11,Projects!$B$17*INDEX(Curves!$B$4:$AO$4,1,43-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$4:$AO$4,1,43-Projects!$C$24+1)*Assumptions!$B$11*0.95+0.05*Projects!$B$24*Assumptions!$B$11,Projects!$B$24*INDEX(Curves!$B$4:$AO$4,1,43-Projects!$C$24+1)*Assumptions!$B$11*0.95),0)+IF(AND(Projects!$G$25="Yes",43&gt;=Projects!$C$25,43&lt;Projects!$C$25+Projects!$D$25),IF(43=Projects!$C$25+Projects!$D$25-1,Projects!$B$25*INDEX(Curves!$B$4:$AO$4,1,43-Projects!$C$25+1)*Assumptions!$B$11*0.95+0.05*Projects!$B$25*Assumptions!$B$11,Projects!$B$25*INDEX(Curves!$B$4:$AO$4,1,43-Projects!$C$25+1)*Assumptions!$B$11*0.95),0)+IF(AND(Projects!$G$26="Yes",43&gt;=Projects!$C$26,43&lt;Projects!$C$26+Projects!$D$26),IF(43=Projects!$C$26+Projects!$D$26-1,Projects!$B$26*INDEX(Curves!$B$4:$AO$4,1,43-Projects!$C$26+1)*Assumptions!$B$11*0.95+0.05*Projects!$B$26*Assumptions!$B$11,Projects!$B$26*INDEX(Curves!$B$4:$AO$4,1,43-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162876.6672077922</v>
      </c>
      <c r="AT99">
        <f>IF(AND(Projects!$G$17="Yes",44&gt;=Projects!$C$17,44&lt;Projects!$C$17+Projects!$D$17),IF(44=Projects!$C$17+Projects!$D$17-1,Projects!$B$17*INDEX(Curves!$B$4:$AO$4,1,44-Projects!$C$17+1)*Assumptions!$B$11*0.95+0.05*Projects!$B$17*Assumptions!$B$11,Projects!$B$17*INDEX(Curves!$B$4:$AO$4,1,44-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$4:$AO$4,1,44-Projects!$C$24+1)*Assumptions!$B$11*0.95+0.05*Projects!$B$24*Assumptions!$B$11,Projects!$B$24*INDEX(Curves!$B$4:$AO$4,1,44-Projects!$C$24+1)*Assumptions!$B$11*0.95),0)+IF(AND(Projects!$G$25="Yes",44&gt;=Projects!$C$25,44&lt;Projects!$C$25+Projects!$D$25),IF(44=Projects!$C$25+Projects!$D$25-1,Projects!$B$25*INDEX(Curves!$B$4:$AO$4,1,44-Projects!$C$25+1)*Assumptions!$B$11*0.95+0.05*Projects!$B$25*Assumptions!$B$11,Projects!$B$25*INDEX(Curves!$B$4:$AO$4,1,44-Projects!$C$25+1)*Assumptions!$B$11*0.95),0)+IF(AND(Projects!$G$26="Yes",44&gt;=Projects!$C$26,44&lt;Projects!$C$26+Projects!$D$26),IF(44=Projects!$C$26+Projects!$D$26-1,Projects!$B$26*INDEX(Curves!$B$4:$AO$4,1,44-Projects!$C$26+1)*Assumptions!$B$11*0.95+0.05*Projects!$B$26*Assumptions!$B$11,Projects!$B$26*INDEX(Curves!$B$4:$AO$4,1,44-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168565.19318181815</v>
      </c>
      <c r="AU99">
        <f>IF(AND(Projects!$G$17="Yes",45&gt;=Projects!$C$17,45&lt;Projects!$C$17+Projects!$D$17),IF(45=Projects!$C$17+Projects!$D$17-1,Projects!$B$17*INDEX(Curves!$B$4:$AO$4,1,45-Projects!$C$17+1)*Assumptions!$B$11*0.95+0.05*Projects!$B$17*Assumptions!$B$11,Projects!$B$17*INDEX(Curves!$B$4:$AO$4,1,45-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$4:$AO$4,1,45-Projects!$C$24+1)*Assumptions!$B$11*0.95+0.05*Projects!$B$24*Assumptions!$B$11,Projects!$B$24*INDEX(Curves!$B$4:$AO$4,1,45-Projects!$C$24+1)*Assumptions!$B$11*0.95),0)+IF(AND(Projects!$G$25="Yes",45&gt;=Projects!$C$25,45&lt;Projects!$C$25+Projects!$D$25),IF(45=Projects!$C$25+Projects!$D$25-1,Projects!$B$25*INDEX(Curves!$B$4:$AO$4,1,45-Projects!$C$25+1)*Assumptions!$B$11*0.95+0.05*Projects!$B$25*Assumptions!$B$11,Projects!$B$25*INDEX(Curves!$B$4:$AO$4,1,45-Projects!$C$25+1)*Assumptions!$B$11*0.95),0)+IF(AND(Projects!$G$26="Yes",45&gt;=Projects!$C$26,45&lt;Projects!$C$26+Projects!$D$26),IF(45=Projects!$C$26+Projects!$D$26-1,Projects!$B$26*INDEX(Curves!$B$4:$AO$4,1,45-Projects!$C$26+1)*Assumptions!$B$11*0.95+0.05*Projects!$B$26*Assumptions!$B$11,Projects!$B$26*INDEX(Curves!$B$4:$AO$4,1,45-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172047.23620129866</v>
      </c>
      <c r="AV99">
        <f>IF(AND(Projects!$G$17="Yes",46&gt;=Projects!$C$17,46&lt;Projects!$C$17+Projects!$D$17),IF(46=Projects!$C$17+Projects!$D$17-1,Projects!$B$17*INDEX(Curves!$B$4:$AO$4,1,46-Projects!$C$17+1)*Assumptions!$B$11*0.95+0.05*Projects!$B$17*Assumptions!$B$11,Projects!$B$17*INDEX(Curves!$B$4:$AO$4,1,46-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$4:$AO$4,1,46-Projects!$C$24+1)*Assumptions!$B$11*0.95+0.05*Projects!$B$24*Assumptions!$B$11,Projects!$B$24*INDEX(Curves!$B$4:$AO$4,1,46-Projects!$C$24+1)*Assumptions!$B$11*0.95),0)+IF(AND(Projects!$G$25="Yes",46&gt;=Projects!$C$25,46&lt;Projects!$C$25+Projects!$D$25),IF(46=Projects!$C$25+Projects!$D$25-1,Projects!$B$25*INDEX(Curves!$B$4:$AO$4,1,46-Projects!$C$25+1)*Assumptions!$B$11*0.95+0.05*Projects!$B$25*Assumptions!$B$11,Projects!$B$25*INDEX(Curves!$B$4:$AO$4,1,46-Projects!$C$25+1)*Assumptions!$B$11*0.95),0)+IF(AND(Projects!$G$26="Yes",46&gt;=Projects!$C$26,46&lt;Projects!$C$26+Projects!$D$26),IF(46=Projects!$C$26+Projects!$D$26-1,Projects!$B$26*INDEX(Curves!$B$4:$AO$4,1,46-Projects!$C$26+1)*Assumptions!$B$11*0.95+0.05*Projects!$B$26*Assumptions!$B$11,Projects!$B$26*INDEX(Curves!$B$4:$AO$4,1,46-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173218.55844155845</v>
      </c>
      <c r="AW99">
        <f>IF(AND(Projects!$G$17="Yes",47&gt;=Projects!$C$17,47&lt;Projects!$C$17+Projects!$D$17),IF(47=Projects!$C$17+Projects!$D$17-1,Projects!$B$17*INDEX(Curves!$B$4:$AO$4,1,47-Projects!$C$17+1)*Assumptions!$B$11*0.95+0.05*Projects!$B$17*Assumptions!$B$11,Projects!$B$17*INDEX(Curves!$B$4:$AO$4,1,47-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$4:$AO$4,1,47-Projects!$C$24+1)*Assumptions!$B$11*0.95+0.05*Projects!$B$24*Assumptions!$B$11,Projects!$B$24*INDEX(Curves!$B$4:$AO$4,1,47-Projects!$C$24+1)*Assumptions!$B$11*0.95),0)+IF(AND(Projects!$G$25="Yes",47&gt;=Projects!$C$25,47&lt;Projects!$C$25+Projects!$D$25),IF(47=Projects!$C$25+Projects!$D$25-1,Projects!$B$25*INDEX(Curves!$B$4:$AO$4,1,47-Projects!$C$25+1)*Assumptions!$B$11*0.95+0.05*Projects!$B$25*Assumptions!$B$11,Projects!$B$25*INDEX(Curves!$B$4:$AO$4,1,47-Projects!$C$25+1)*Assumptions!$B$11*0.95),0)+IF(AND(Projects!$G$26="Yes",47&gt;=Projects!$C$26,47&lt;Projects!$C$26+Projects!$D$26),IF(47=Projects!$C$26+Projects!$D$26-1,Projects!$B$26*INDEX(Curves!$B$4:$AO$4,1,47-Projects!$C$26+1)*Assumptions!$B$11*0.95+0.05*Projects!$B$26*Assumptions!$B$11,Projects!$B$26*INDEX(Curves!$B$4:$AO$4,1,47-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190449.86201298697</v>
      </c>
      <c r="AX99">
        <f>IF(AND(Projects!$G$17="Yes",48&gt;=Projects!$C$17,48&lt;Projects!$C$17+Projects!$D$17),IF(48=Projects!$C$17+Projects!$D$17-1,Projects!$B$17*INDEX(Curves!$B$4:$AO$4,1,48-Projects!$C$17+1)*Assumptions!$B$11*0.95+0.05*Projects!$B$17*Assumptions!$B$11,Projects!$B$17*INDEX(Curves!$B$4:$AO$4,1,48-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$4:$AO$4,1,48-Projects!$C$24+1)*Assumptions!$B$11*0.95+0.05*Projects!$B$24*Assumptions!$B$11,Projects!$B$24*INDEX(Curves!$B$4:$AO$4,1,48-Projects!$C$24+1)*Assumptions!$B$11*0.95),0)+IF(AND(Projects!$G$25="Yes",48&gt;=Projects!$C$25,48&lt;Projects!$C$25+Projects!$D$25),IF(48=Projects!$C$25+Projects!$D$25-1,Projects!$B$25*INDEX(Curves!$B$4:$AO$4,1,48-Projects!$C$25+1)*Assumptions!$B$11*0.95+0.05*Projects!$B$25*Assumptions!$B$11,Projects!$B$25*INDEX(Curves!$B$4:$AO$4,1,48-Projects!$C$25+1)*Assumptions!$B$11*0.95),0)+IF(AND(Projects!$G$26="Yes",48&gt;=Projects!$C$26,48&lt;Projects!$C$26+Projects!$D$26),IF(48=Projects!$C$26+Projects!$D$26-1,Projects!$B$26*INDEX(Curves!$B$4:$AO$4,1,48-Projects!$C$26+1)*Assumptions!$B$11*0.95+0.05*Projects!$B$26*Assumptions!$B$11,Projects!$B$26*INDEX(Curves!$B$4:$AO$4,1,48-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191301.11444805193</v>
      </c>
      <c r="AY99">
        <f>IF(AND(Projects!$G$17="Yes",49&gt;=Projects!$C$17,49&lt;Projects!$C$17+Projects!$D$17),IF(49=Projects!$C$17+Projects!$D$17-1,Projects!$B$17*INDEX(Curves!$B$4:$AO$4,1,49-Projects!$C$17+1)*Assumptions!$B$11*0.95+0.05*Projects!$B$17*Assumptions!$B$11,Projects!$B$17*INDEX(Curves!$B$4:$AO$4,1,49-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$4:$AO$4,1,49-Projects!$C$24+1)*Assumptions!$B$11*0.95+0.05*Projects!$B$24*Assumptions!$B$11,Projects!$B$24*INDEX(Curves!$B$4:$AO$4,1,49-Projects!$C$24+1)*Assumptions!$B$11*0.95),0)+IF(AND(Projects!$G$25="Yes",49&gt;=Projects!$C$25,49&lt;Projects!$C$25+Projects!$D$25),IF(49=Projects!$C$25+Projects!$D$25-1,Projects!$B$25*INDEX(Curves!$B$4:$AO$4,1,49-Projects!$C$25+1)*Assumptions!$B$11*0.95+0.05*Projects!$B$25*Assumptions!$B$11,Projects!$B$25*INDEX(Curves!$B$4:$AO$4,1,49-Projects!$C$25+1)*Assumptions!$B$11*0.95),0)+IF(AND(Projects!$G$26="Yes",49&gt;=Projects!$C$26,49&lt;Projects!$C$26+Projects!$D$26),IF(49=Projects!$C$26+Projects!$D$26-1,Projects!$B$26*INDEX(Curves!$B$4:$AO$4,1,49-Projects!$C$26+1)*Assumptions!$B$11*0.95+0.05*Projects!$B$26*Assumptions!$B$11,Projects!$B$26*INDEX(Curves!$B$4:$AO$4,1,49-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234108.08766233764</v>
      </c>
      <c r="AZ99">
        <f>IF(AND(Projects!$G$17="Yes",50&gt;=Projects!$C$17,50&lt;Projects!$C$17+Projects!$D$17),IF(50=Projects!$C$17+Projects!$D$17-1,Projects!$B$17*INDEX(Curves!$B$4:$AO$4,1,50-Projects!$C$17+1)*Assumptions!$B$11*0.95+0.05*Projects!$B$17*Assumptions!$B$11,Projects!$B$17*INDEX(Curves!$B$4:$AO$4,1,50-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$4:$AO$4,1,50-Projects!$C$24+1)*Assumptions!$B$11*0.95+0.05*Projects!$B$24*Assumptions!$B$11,Projects!$B$24*INDEX(Curves!$B$4:$AO$4,1,50-Projects!$C$24+1)*Assumptions!$B$11*0.95),0)+IF(AND(Projects!$G$25="Yes",50&gt;=Projects!$C$25,50&lt;Projects!$C$25+Projects!$D$25),IF(50=Projects!$C$25+Projects!$D$25-1,Projects!$B$25*INDEX(Curves!$B$4:$AO$4,1,50-Projects!$C$25+1)*Assumptions!$B$11*0.95+0.05*Projects!$B$25*Assumptions!$B$11,Projects!$B$25*INDEX(Curves!$B$4:$AO$4,1,50-Projects!$C$25+1)*Assumptions!$B$11*0.95),0)+IF(AND(Projects!$G$26="Yes",50&gt;=Projects!$C$26,50&lt;Projects!$C$26+Projects!$D$26),IF(50=Projects!$C$26+Projects!$D$26-1,Projects!$B$26*INDEX(Curves!$B$4:$AO$4,1,50-Projects!$C$26+1)*Assumptions!$B$11*0.95+0.05*Projects!$B$26*Assumptions!$B$11,Projects!$B$26*INDEX(Curves!$B$4:$AO$4,1,50-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169926.25324675321</v>
      </c>
      <c r="BA99">
        <f>IF(AND(Projects!$G$17="Yes",51&gt;=Projects!$C$17,51&lt;Projects!$C$17+Projects!$D$17),IF(51=Projects!$C$17+Projects!$D$17-1,Projects!$B$17*INDEX(Curves!$B$4:$AO$4,1,51-Projects!$C$17+1)*Assumptions!$B$11*0.95+0.05*Projects!$B$17*Assumptions!$B$11,Projects!$B$17*INDEX(Curves!$B$4:$AO$4,1,51-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$4:$AO$4,1,51-Projects!$C$24+1)*Assumptions!$B$11*0.95+0.05*Projects!$B$24*Assumptions!$B$11,Projects!$B$24*INDEX(Curves!$B$4:$AO$4,1,51-Projects!$C$24+1)*Assumptions!$B$11*0.95),0)+IF(AND(Projects!$G$25="Yes",51&gt;=Projects!$C$25,51&lt;Projects!$C$25+Projects!$D$25),IF(51=Projects!$C$25+Projects!$D$25-1,Projects!$B$25*INDEX(Curves!$B$4:$AO$4,1,51-Projects!$C$25+1)*Assumptions!$B$11*0.95+0.05*Projects!$B$25*Assumptions!$B$11,Projects!$B$25*INDEX(Curves!$B$4:$AO$4,1,51-Projects!$C$25+1)*Assumptions!$B$11*0.95),0)+IF(AND(Projects!$G$26="Yes",51&gt;=Projects!$C$26,51&lt;Projects!$C$26+Projects!$D$26),IF(51=Projects!$C$26+Projects!$D$26-1,Projects!$B$26*INDEX(Curves!$B$4:$AO$4,1,51-Projects!$C$26+1)*Assumptions!$B$11*0.95+0.05*Projects!$B$26*Assumptions!$B$11,Projects!$B$26*INDEX(Curves!$B$4:$AO$4,1,51-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187539.53084415582</v>
      </c>
      <c r="BB99">
        <f>IF(AND(Projects!$G$17="Yes",52&gt;=Projects!$C$17,52&lt;Projects!$C$17+Projects!$D$17),IF(52=Projects!$C$17+Projects!$D$17-1,Projects!$B$17*INDEX(Curves!$B$4:$AO$4,1,52-Projects!$C$17+1)*Assumptions!$B$11*0.95+0.05*Projects!$B$17*Assumptions!$B$11,Projects!$B$17*INDEX(Curves!$B$4:$AO$4,1,52-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$4:$AO$4,1,52-Projects!$C$24+1)*Assumptions!$B$11*0.95+0.05*Projects!$B$24*Assumptions!$B$11,Projects!$B$24*INDEX(Curves!$B$4:$AO$4,1,52-Projects!$C$24+1)*Assumptions!$B$11*0.95),0)+IF(AND(Projects!$G$25="Yes",52&gt;=Projects!$C$25,52&lt;Projects!$C$25+Projects!$D$25),IF(52=Projects!$C$25+Projects!$D$25-1,Projects!$B$25*INDEX(Curves!$B$4:$AO$4,1,52-Projects!$C$25+1)*Assumptions!$B$11*0.95+0.05*Projects!$B$25*Assumptions!$B$11,Projects!$B$25*INDEX(Curves!$B$4:$AO$4,1,52-Projects!$C$25+1)*Assumptions!$B$11*0.95),0)+IF(AND(Projects!$G$26="Yes",52&gt;=Projects!$C$26,52&lt;Projects!$C$26+Projects!$D$26),IF(52=Projects!$C$26+Projects!$D$26-1,Projects!$B$26*INDEX(Curves!$B$4:$AO$4,1,52-Projects!$C$26+1)*Assumptions!$B$11*0.95+0.05*Projects!$B$26*Assumptions!$B$11,Projects!$B$26*INDEX(Curves!$B$4:$AO$4,1,52-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188573.30357142855</v>
      </c>
      <c r="BC99">
        <f>IF(AND(Projects!$G$17="Yes",53&gt;=Projects!$C$17,53&lt;Projects!$C$17+Projects!$D$17),IF(53=Projects!$C$17+Projects!$D$17-1,Projects!$B$17*INDEX(Curves!$B$4:$AO$4,1,53-Projects!$C$17+1)*Assumptions!$B$11*0.95+0.05*Projects!$B$17*Assumptions!$B$11,Projects!$B$17*INDEX(Curves!$B$4:$AO$4,1,53-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$4:$AO$4,1,53-Projects!$C$24+1)*Assumptions!$B$11*0.95+0.05*Projects!$B$24*Assumptions!$B$11,Projects!$B$24*INDEX(Curves!$B$4:$AO$4,1,53-Projects!$C$24+1)*Assumptions!$B$11*0.95),0)+IF(AND(Projects!$G$25="Yes",53&gt;=Projects!$C$25,53&lt;Projects!$C$25+Projects!$D$25),IF(53=Projects!$C$25+Projects!$D$25-1,Projects!$B$25*INDEX(Curves!$B$4:$AO$4,1,53-Projects!$C$25+1)*Assumptions!$B$11*0.95+0.05*Projects!$B$25*Assumptions!$B$11,Projects!$B$25*INDEX(Curves!$B$4:$AO$4,1,53-Projects!$C$25+1)*Assumptions!$B$11*0.95),0)+IF(AND(Projects!$G$26="Yes",53&gt;=Projects!$C$26,53&lt;Projects!$C$26+Projects!$D$26),IF(53=Projects!$C$26+Projects!$D$26-1,Projects!$B$26*INDEX(Curves!$B$4:$AO$4,1,53-Projects!$C$26+1)*Assumptions!$B$11*0.95+0.05*Projects!$B$26*Assumptions!$B$11,Projects!$B$26*INDEX(Curves!$B$4:$AO$4,1,53-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224065.50487012984</v>
      </c>
      <c r="BD99">
        <f>IF(AND(Projects!$G$17="Yes",54&gt;=Projects!$C$17,54&lt;Projects!$C$17+Projects!$D$17),IF(54=Projects!$C$17+Projects!$D$17-1,Projects!$B$17*INDEX(Curves!$B$4:$AO$4,1,54-Projects!$C$17+1)*Assumptions!$B$11*0.95+0.05*Projects!$B$17*Assumptions!$B$11,Projects!$B$17*INDEX(Curves!$B$4:$AO$4,1,54-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$4:$AO$4,1,54-Projects!$C$24+1)*Assumptions!$B$11*0.95+0.05*Projects!$B$24*Assumptions!$B$11,Projects!$B$24*INDEX(Curves!$B$4:$AO$4,1,54-Projects!$C$24+1)*Assumptions!$B$11*0.95),0)+IF(AND(Projects!$G$25="Yes",54&gt;=Projects!$C$25,54&lt;Projects!$C$25+Projects!$D$25),IF(54=Projects!$C$25+Projects!$D$25-1,Projects!$B$25*INDEX(Curves!$B$4:$AO$4,1,54-Projects!$C$25+1)*Assumptions!$B$11*0.95+0.05*Projects!$B$25*Assumptions!$B$11,Projects!$B$25*INDEX(Curves!$B$4:$AO$4,1,54-Projects!$C$25+1)*Assumptions!$B$11*0.95),0)+IF(AND(Projects!$G$26="Yes",54&gt;=Projects!$C$26,54&lt;Projects!$C$26+Projects!$D$26),IF(54=Projects!$C$26+Projects!$D$26-1,Projects!$B$26*INDEX(Curves!$B$4:$AO$4,1,54-Projects!$C$26+1)*Assumptions!$B$11*0.95+0.05*Projects!$B$26*Assumptions!$B$11,Projects!$B$26*INDEX(Curves!$B$4:$AO$4,1,54-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169926.25324675321</v>
      </c>
      <c r="BE99">
        <f>IF(AND(Projects!$G$17="Yes",55&gt;=Projects!$C$17,55&lt;Projects!$C$17+Projects!$D$17),IF(55=Projects!$C$17+Projects!$D$17-1,Projects!$B$17*INDEX(Curves!$B$4:$AO$4,1,55-Projects!$C$17+1)*Assumptions!$B$11*0.95+0.05*Projects!$B$17*Assumptions!$B$11,Projects!$B$17*INDEX(Curves!$B$4:$AO$4,1,55-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$4:$AO$4,1,55-Projects!$C$24+1)*Assumptions!$B$11*0.95+0.05*Projects!$B$24*Assumptions!$B$11,Projects!$B$24*INDEX(Curves!$B$4:$AO$4,1,55-Projects!$C$24+1)*Assumptions!$B$11*0.95),0)+IF(AND(Projects!$G$25="Yes",55&gt;=Projects!$C$25,55&lt;Projects!$C$25+Projects!$D$25),IF(55=Projects!$C$25+Projects!$D$25-1,Projects!$B$25*INDEX(Curves!$B$4:$AO$4,1,55-Projects!$C$25+1)*Assumptions!$B$11*0.95+0.05*Projects!$B$25*Assumptions!$B$11,Projects!$B$25*INDEX(Curves!$B$4:$AO$4,1,55-Projects!$C$25+1)*Assumptions!$B$11*0.95),0)+IF(AND(Projects!$G$26="Yes",55&gt;=Projects!$C$26,55&lt;Projects!$C$26+Projects!$D$26),IF(55=Projects!$C$26+Projects!$D$26-1,Projects!$B$26*INDEX(Curves!$B$4:$AO$4,1,55-Projects!$C$26+1)*Assumptions!$B$11*0.95+0.05*Projects!$B$26*Assumptions!$B$11,Projects!$B$26*INDEX(Curves!$B$4:$AO$4,1,55-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190276.91883116882</v>
      </c>
      <c r="BF99">
        <f>IF(AND(Projects!$G$17="Yes",56&gt;=Projects!$C$17,56&lt;Projects!$C$17+Projects!$D$17),IF(56=Projects!$C$17+Projects!$D$17-1,Projects!$B$17*INDEX(Curves!$B$4:$AO$4,1,56-Projects!$C$17+1)*Assumptions!$B$11*0.95+0.05*Projects!$B$17*Assumptions!$B$11,Projects!$B$17*INDEX(Curves!$B$4:$AO$4,1,56-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$4:$AO$4,1,56-Projects!$C$24+1)*Assumptions!$B$11*0.95+0.05*Projects!$B$24*Assumptions!$B$11,Projects!$B$24*INDEX(Curves!$B$4:$AO$4,1,56-Projects!$C$24+1)*Assumptions!$B$11*0.95),0)+IF(AND(Projects!$G$25="Yes",56&gt;=Projects!$C$25,56&lt;Projects!$C$25+Projects!$D$25),IF(56=Projects!$C$25+Projects!$D$25-1,Projects!$B$25*INDEX(Curves!$B$4:$AO$4,1,56-Projects!$C$25+1)*Assumptions!$B$11*0.95+0.05*Projects!$B$25*Assumptions!$B$11,Projects!$B$25*INDEX(Curves!$B$4:$AO$4,1,56-Projects!$C$25+1)*Assumptions!$B$11*0.95),0)+IF(AND(Projects!$G$26="Yes",56&gt;=Projects!$C$26,56&lt;Projects!$C$26+Projects!$D$26),IF(56=Projects!$C$26+Projects!$D$26-1,Projects!$B$26*INDEX(Curves!$B$4:$AO$4,1,56-Projects!$C$26+1)*Assumptions!$B$11*0.95+0.05*Projects!$B$26*Assumptions!$B$11,Projects!$B$26*INDEX(Curves!$B$4:$AO$4,1,56-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191301.11444805193</v>
      </c>
      <c r="BG99">
        <f>IF(AND(Projects!$G$17="Yes",57&gt;=Projects!$C$17,57&lt;Projects!$C$17+Projects!$D$17),IF(57=Projects!$C$17+Projects!$D$17-1,Projects!$B$17*INDEX(Curves!$B$4:$AO$4,1,57-Projects!$C$17+1)*Assumptions!$B$11*0.95+0.05*Projects!$B$17*Assumptions!$B$11,Projects!$B$17*INDEX(Curves!$B$4:$AO$4,1,57-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$4:$AO$4,1,57-Projects!$C$24+1)*Assumptions!$B$11*0.95+0.05*Projects!$B$24*Assumptions!$B$11,Projects!$B$24*INDEX(Curves!$B$4:$AO$4,1,57-Projects!$C$24+1)*Assumptions!$B$11*0.95),0)+IF(AND(Projects!$G$25="Yes",57&gt;=Projects!$C$25,57&lt;Projects!$C$25+Projects!$D$25),IF(57=Projects!$C$25+Projects!$D$25-1,Projects!$B$25*INDEX(Curves!$B$4:$AO$4,1,57-Projects!$C$25+1)*Assumptions!$B$11*0.95+0.05*Projects!$B$25*Assumptions!$B$11,Projects!$B$25*INDEX(Curves!$B$4:$AO$4,1,57-Projects!$C$25+1)*Assumptions!$B$11*0.95),0)+IF(AND(Projects!$G$26="Yes",57&gt;=Projects!$C$26,57&lt;Projects!$C$26+Projects!$D$26),IF(57=Projects!$C$26+Projects!$D$26-1,Projects!$B$26*INDEX(Curves!$B$4:$AO$4,1,57-Projects!$C$26+1)*Assumptions!$B$11*0.95+0.05*Projects!$B$26*Assumptions!$B$11,Projects!$B$26*INDEX(Curves!$B$4:$AO$4,1,57-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226975.83603896102</v>
      </c>
      <c r="BH99">
        <f>IF(AND(Projects!$G$17="Yes",58&gt;=Projects!$C$17,58&lt;Projects!$C$17+Projects!$D$17),IF(58=Projects!$C$17+Projects!$D$17-1,Projects!$B$17*INDEX(Curves!$B$4:$AO$4,1,58-Projects!$C$17+1)*Assumptions!$B$11*0.95+0.05*Projects!$B$17*Assumptions!$B$11,Projects!$B$17*INDEX(Curves!$B$4:$AO$4,1,58-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$4:$AO$4,1,58-Projects!$C$24+1)*Assumptions!$B$11*0.95+0.05*Projects!$B$24*Assumptions!$B$11,Projects!$B$24*INDEX(Curves!$B$4:$AO$4,1,58-Projects!$C$24+1)*Assumptions!$B$11*0.95),0)+IF(AND(Projects!$G$25="Yes",58&gt;=Projects!$C$25,58&lt;Projects!$C$25+Projects!$D$25),IF(58=Projects!$C$25+Projects!$D$25-1,Projects!$B$25*INDEX(Curves!$B$4:$AO$4,1,58-Projects!$C$25+1)*Assumptions!$B$11*0.95+0.05*Projects!$B$25*Assumptions!$B$11,Projects!$B$25*INDEX(Curves!$B$4:$AO$4,1,58-Projects!$C$25+1)*Assumptions!$B$11*0.95),0)+IF(AND(Projects!$G$26="Yes",58&gt;=Projects!$C$26,58&lt;Projects!$C$26+Projects!$D$26),IF(58=Projects!$C$26+Projects!$D$26-1,Projects!$B$26*INDEX(Curves!$B$4:$AO$4,1,58-Projects!$C$26+1)*Assumptions!$B$11*0.95+0.05*Projects!$B$26*Assumptions!$B$11,Projects!$B$26*INDEX(Curves!$B$4:$AO$4,1,58-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173218.55844155845</v>
      </c>
      <c r="BI99">
        <f>IF(AND(Projects!$G$17="Yes",59&gt;=Projects!$C$17,59&lt;Projects!$C$17+Projects!$D$17),IF(59=Projects!$C$17+Projects!$D$17-1,Projects!$B$17*INDEX(Curves!$B$4:$AO$4,1,59-Projects!$C$17+1)*Assumptions!$B$11*0.95+0.05*Projects!$B$17*Assumptions!$B$11,Projects!$B$17*INDEX(Curves!$B$4:$AO$4,1,59-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$4:$AO$4,1,59-Projects!$C$24+1)*Assumptions!$B$11*0.95+0.05*Projects!$B$24*Assumptions!$B$11,Projects!$B$24*INDEX(Curves!$B$4:$AO$4,1,59-Projects!$C$24+1)*Assumptions!$B$11*0.95),0)+IF(AND(Projects!$G$25="Yes",59&gt;=Projects!$C$25,59&lt;Projects!$C$25+Projects!$D$25),IF(59=Projects!$C$25+Projects!$D$25-1,Projects!$B$25*INDEX(Curves!$B$4:$AO$4,1,59-Projects!$C$25+1)*Assumptions!$B$11*0.95+0.05*Projects!$B$25*Assumptions!$B$11,Projects!$B$25*INDEX(Curves!$B$4:$AO$4,1,59-Projects!$C$25+1)*Assumptions!$B$11*0.95),0)+IF(AND(Projects!$G$26="Yes",59&gt;=Projects!$C$26,59&lt;Projects!$C$26+Projects!$D$26),IF(59=Projects!$C$26+Projects!$D$26-1,Projects!$B$26*INDEX(Curves!$B$4:$AO$4,1,59-Projects!$C$26+1)*Assumptions!$B$11*0.95+0.05*Projects!$B$26*Assumptions!$B$11,Projects!$B$26*INDEX(Curves!$B$4:$AO$4,1,59-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190449.86201298697</v>
      </c>
      <c r="BJ99">
        <f>IF(AND(Projects!$G$17="Yes",60&gt;=Projects!$C$17,60&lt;Projects!$C$17+Projects!$D$17),IF(60=Projects!$C$17+Projects!$D$17-1,Projects!$B$17*INDEX(Curves!$B$4:$AO$4,1,60-Projects!$C$17+1)*Assumptions!$B$11*0.95+0.05*Projects!$B$17*Assumptions!$B$11,Projects!$B$17*INDEX(Curves!$B$4:$AO$4,1,60-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$4:$AO$4,1,60-Projects!$C$24+1)*Assumptions!$B$11*0.95+0.05*Projects!$B$24*Assumptions!$B$11,Projects!$B$24*INDEX(Curves!$B$4:$AO$4,1,60-Projects!$C$24+1)*Assumptions!$B$11*0.95),0)+IF(AND(Projects!$G$25="Yes",60&gt;=Projects!$C$25,60&lt;Projects!$C$25+Projects!$D$25),IF(60=Projects!$C$25+Projects!$D$25-1,Projects!$B$25*INDEX(Curves!$B$4:$AO$4,1,60-Projects!$C$25+1)*Assumptions!$B$11*0.95+0.05*Projects!$B$25*Assumptions!$B$11,Projects!$B$25*INDEX(Curves!$B$4:$AO$4,1,60-Projects!$C$25+1)*Assumptions!$B$11*0.95),0)+IF(AND(Projects!$G$26="Yes",60&gt;=Projects!$C$26,60&lt;Projects!$C$26+Projects!$D$26),IF(60=Projects!$C$26+Projects!$D$26-1,Projects!$B$26*INDEX(Curves!$B$4:$AO$4,1,60-Projects!$C$26+1)*Assumptions!$B$11*0.95+0.05*Projects!$B$26*Assumptions!$B$11,Projects!$B$26*INDEX(Curves!$B$4:$AO$4,1,60-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191301.11444805193</v>
      </c>
      <c r="BK99">
        <f>IF(AND(Projects!$G$17="Yes",61&gt;=Projects!$C$17,61&lt;Projects!$C$17+Projects!$D$17),IF(61=Projects!$C$17+Projects!$D$17-1,Projects!$B$17*INDEX(Curves!$B$4:$AO$4,1,61-Projects!$C$17+1)*Assumptions!$B$11*0.95+0.05*Projects!$B$17*Assumptions!$B$11,Projects!$B$17*INDEX(Curves!$B$4:$AO$4,1,61-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$4:$AO$4,1,61-Projects!$C$24+1)*Assumptions!$B$11*0.95+0.05*Projects!$B$24*Assumptions!$B$11,Projects!$B$24*INDEX(Curves!$B$4:$AO$4,1,61-Projects!$C$24+1)*Assumptions!$B$11*0.95),0)+IF(AND(Projects!$G$25="Yes",61&gt;=Projects!$C$25,61&lt;Projects!$C$25+Projects!$D$25),IF(61=Projects!$C$25+Projects!$D$25-1,Projects!$B$25*INDEX(Curves!$B$4:$AO$4,1,61-Projects!$C$25+1)*Assumptions!$B$11*0.95+0.05*Projects!$B$25*Assumptions!$B$11,Projects!$B$25*INDEX(Curves!$B$4:$AO$4,1,61-Projects!$C$25+1)*Assumptions!$B$11*0.95),0)+IF(AND(Projects!$G$26="Yes",61&gt;=Projects!$C$26,61&lt;Projects!$C$26+Projects!$D$26),IF(61=Projects!$C$26+Projects!$D$26-1,Projects!$B$26*INDEX(Curves!$B$4:$AO$4,1,61-Projects!$C$26+1)*Assumptions!$B$11*0.95+0.05*Projects!$B$26*Assumptions!$B$11,Projects!$B$26*INDEX(Curves!$B$4:$AO$4,1,61-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234108.08766233764</v>
      </c>
      <c r="BL99">
        <f>IF(AND(Projects!$G$17="Yes",62&gt;=Projects!$C$17,62&lt;Projects!$C$17+Projects!$D$17),IF(62=Projects!$C$17+Projects!$D$17-1,Projects!$B$17*INDEX(Curves!$B$4:$AO$4,1,62-Projects!$C$17+1)*Assumptions!$B$11*0.95+0.05*Projects!$B$17*Assumptions!$B$11,Projects!$B$17*INDEX(Curves!$B$4:$AO$4,1,62-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$4:$AO$4,1,62-Projects!$C$24+1)*Assumptions!$B$11*0.95+0.05*Projects!$B$24*Assumptions!$B$11,Projects!$B$24*INDEX(Curves!$B$4:$AO$4,1,62-Projects!$C$24+1)*Assumptions!$B$11*0.95),0)+IF(AND(Projects!$G$25="Yes",62&gt;=Projects!$C$25,62&lt;Projects!$C$25+Projects!$D$25),IF(62=Projects!$C$25+Projects!$D$25-1,Projects!$B$25*INDEX(Curves!$B$4:$AO$4,1,62-Projects!$C$25+1)*Assumptions!$B$11*0.95+0.05*Projects!$B$25*Assumptions!$B$11,Projects!$B$25*INDEX(Curves!$B$4:$AO$4,1,62-Projects!$C$25+1)*Assumptions!$B$11*0.95),0)+IF(AND(Projects!$G$26="Yes",62&gt;=Projects!$C$26,62&lt;Projects!$C$26+Projects!$D$26),IF(62=Projects!$C$26+Projects!$D$26-1,Projects!$B$26*INDEX(Curves!$B$4:$AO$4,1,62-Projects!$C$26+1)*Assumptions!$B$11*0.95+0.05*Projects!$B$26*Assumptions!$B$11,Projects!$B$26*INDEX(Curves!$B$4:$AO$4,1,62-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169926.25324675321</v>
      </c>
      <c r="BM99">
        <f>IF(AND(Projects!$G$17="Yes",63&gt;=Projects!$C$17,63&lt;Projects!$C$17+Projects!$D$17),IF(63=Projects!$C$17+Projects!$D$17-1,Projects!$B$17*INDEX(Curves!$B$4:$AO$4,1,63-Projects!$C$17+1)*Assumptions!$B$11*0.95+0.05*Projects!$B$17*Assumptions!$B$11,Projects!$B$17*INDEX(Curves!$B$4:$AO$4,1,63-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$4:$AO$4,1,63-Projects!$C$24+1)*Assumptions!$B$11*0.95+0.05*Projects!$B$24*Assumptions!$B$11,Projects!$B$24*INDEX(Curves!$B$4:$AO$4,1,63-Projects!$C$24+1)*Assumptions!$B$11*0.95),0)+IF(AND(Projects!$G$25="Yes",63&gt;=Projects!$C$25,63&lt;Projects!$C$25+Projects!$D$25),IF(63=Projects!$C$25+Projects!$D$25-1,Projects!$B$25*INDEX(Curves!$B$4:$AO$4,1,63-Projects!$C$25+1)*Assumptions!$B$11*0.95+0.05*Projects!$B$25*Assumptions!$B$11,Projects!$B$25*INDEX(Curves!$B$4:$AO$4,1,63-Projects!$C$25+1)*Assumptions!$B$11*0.95),0)+IF(AND(Projects!$G$26="Yes",63&gt;=Projects!$C$26,63&lt;Projects!$C$26+Projects!$D$26),IF(63=Projects!$C$26+Projects!$D$26-1,Projects!$B$26*INDEX(Curves!$B$4:$AO$4,1,63-Projects!$C$26+1)*Assumptions!$B$11*0.95+0.05*Projects!$B$26*Assumptions!$B$11,Projects!$B$26*INDEX(Curves!$B$4:$AO$4,1,63-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187539.53084415582</v>
      </c>
      <c r="BN99">
        <f>IF(AND(Projects!$G$17="Yes",64&gt;=Projects!$C$17,64&lt;Projects!$C$17+Projects!$D$17),IF(64=Projects!$C$17+Projects!$D$17-1,Projects!$B$17*INDEX(Curves!$B$4:$AO$4,1,64-Projects!$C$17+1)*Assumptions!$B$11*0.95+0.05*Projects!$B$17*Assumptions!$B$11,Projects!$B$17*INDEX(Curves!$B$4:$AO$4,1,64-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$4:$AO$4,1,64-Projects!$C$24+1)*Assumptions!$B$11*0.95+0.05*Projects!$B$24*Assumptions!$B$11,Projects!$B$24*INDEX(Curves!$B$4:$AO$4,1,64-Projects!$C$24+1)*Assumptions!$B$11*0.95),0)+IF(AND(Projects!$G$25="Yes",64&gt;=Projects!$C$25,64&lt;Projects!$C$25+Projects!$D$25),IF(64=Projects!$C$25+Projects!$D$25-1,Projects!$B$25*INDEX(Curves!$B$4:$AO$4,1,64-Projects!$C$25+1)*Assumptions!$B$11*0.95+0.05*Projects!$B$25*Assumptions!$B$11,Projects!$B$25*INDEX(Curves!$B$4:$AO$4,1,64-Projects!$C$25+1)*Assumptions!$B$11*0.95),0)+IF(AND(Projects!$G$26="Yes",64&gt;=Projects!$C$26,64&lt;Projects!$C$26+Projects!$D$26),IF(64=Projects!$C$26+Projects!$D$26-1,Projects!$B$26*INDEX(Curves!$B$4:$AO$4,1,64-Projects!$C$26+1)*Assumptions!$B$11*0.95+0.05*Projects!$B$26*Assumptions!$B$11,Projects!$B$26*INDEX(Curves!$B$4:$AO$4,1,64-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188573.30357142855</v>
      </c>
      <c r="BO99">
        <f>IF(AND(Projects!$G$17="Yes",65&gt;=Projects!$C$17,65&lt;Projects!$C$17+Projects!$D$17),IF(65=Projects!$C$17+Projects!$D$17-1,Projects!$B$17*INDEX(Curves!$B$4:$AO$4,1,65-Projects!$C$17+1)*Assumptions!$B$11*0.95+0.05*Projects!$B$17*Assumptions!$B$11,Projects!$B$17*INDEX(Curves!$B$4:$AO$4,1,65-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$4:$AO$4,1,65-Projects!$C$24+1)*Assumptions!$B$11*0.95+0.05*Projects!$B$24*Assumptions!$B$11,Projects!$B$24*INDEX(Curves!$B$4:$AO$4,1,65-Projects!$C$24+1)*Assumptions!$B$11*0.95),0)+IF(AND(Projects!$G$25="Yes",65&gt;=Projects!$C$25,65&lt;Projects!$C$25+Projects!$D$25),IF(65=Projects!$C$25+Projects!$D$25-1,Projects!$B$25*INDEX(Curves!$B$4:$AO$4,1,65-Projects!$C$25+1)*Assumptions!$B$11*0.95+0.05*Projects!$B$25*Assumptions!$B$11,Projects!$B$25*INDEX(Curves!$B$4:$AO$4,1,65-Projects!$C$25+1)*Assumptions!$B$11*0.95),0)+IF(AND(Projects!$G$26="Yes",65&gt;=Projects!$C$26,65&lt;Projects!$C$26+Projects!$D$26),IF(65=Projects!$C$26+Projects!$D$26-1,Projects!$B$26*INDEX(Curves!$B$4:$AO$4,1,65-Projects!$C$26+1)*Assumptions!$B$11*0.95+0.05*Projects!$B$26*Assumptions!$B$11,Projects!$B$26*INDEX(Curves!$B$4:$AO$4,1,65-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224065.50487012984</v>
      </c>
      <c r="BP99">
        <f>IF(AND(Projects!$G$17="Yes",66&gt;=Projects!$C$17,66&lt;Projects!$C$17+Projects!$D$17),IF(66=Projects!$C$17+Projects!$D$17-1,Projects!$B$17*INDEX(Curves!$B$4:$AO$4,1,66-Projects!$C$17+1)*Assumptions!$B$11*0.95+0.05*Projects!$B$17*Assumptions!$B$11,Projects!$B$17*INDEX(Curves!$B$4:$AO$4,1,66-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$4:$AO$4,1,66-Projects!$C$24+1)*Assumptions!$B$11*0.95+0.05*Projects!$B$24*Assumptions!$B$11,Projects!$B$24*INDEX(Curves!$B$4:$AO$4,1,66-Projects!$C$24+1)*Assumptions!$B$11*0.95),0)+IF(AND(Projects!$G$25="Yes",66&gt;=Projects!$C$25,66&lt;Projects!$C$25+Projects!$D$25),IF(66=Projects!$C$25+Projects!$D$25-1,Projects!$B$25*INDEX(Curves!$B$4:$AO$4,1,66-Projects!$C$25+1)*Assumptions!$B$11*0.95+0.05*Projects!$B$25*Assumptions!$B$11,Projects!$B$25*INDEX(Curves!$B$4:$AO$4,1,66-Projects!$C$25+1)*Assumptions!$B$11*0.95),0)+IF(AND(Projects!$G$26="Yes",66&gt;=Projects!$C$26,66&lt;Projects!$C$26+Projects!$D$26),IF(66=Projects!$C$26+Projects!$D$26-1,Projects!$B$26*INDEX(Curves!$B$4:$AO$4,1,66-Projects!$C$26+1)*Assumptions!$B$11*0.95+0.05*Projects!$B$26*Assumptions!$B$11,Projects!$B$26*INDEX(Curves!$B$4:$AO$4,1,66-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169926.25324675321</v>
      </c>
      <c r="BQ99">
        <f>IF(AND(Projects!$G$17="Yes",67&gt;=Projects!$C$17,67&lt;Projects!$C$17+Projects!$D$17),IF(67=Projects!$C$17+Projects!$D$17-1,Projects!$B$17*INDEX(Curves!$B$4:$AO$4,1,67-Projects!$C$17+1)*Assumptions!$B$11*0.95+0.05*Projects!$B$17*Assumptions!$B$11,Projects!$B$17*INDEX(Curves!$B$4:$AO$4,1,67-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$4:$AO$4,1,67-Projects!$C$24+1)*Assumptions!$B$11*0.95+0.05*Projects!$B$24*Assumptions!$B$11,Projects!$B$24*INDEX(Curves!$B$4:$AO$4,1,67-Projects!$C$24+1)*Assumptions!$B$11*0.95),0)+IF(AND(Projects!$G$25="Yes",67&gt;=Projects!$C$25,67&lt;Projects!$C$25+Projects!$D$25),IF(67=Projects!$C$25+Projects!$D$25-1,Projects!$B$25*INDEX(Curves!$B$4:$AO$4,1,67-Projects!$C$25+1)*Assumptions!$B$11*0.95+0.05*Projects!$B$25*Assumptions!$B$11,Projects!$B$25*INDEX(Curves!$B$4:$AO$4,1,67-Projects!$C$25+1)*Assumptions!$B$11*0.95),0)+IF(AND(Projects!$G$26="Yes",67&gt;=Projects!$C$26,67&lt;Projects!$C$26+Projects!$D$26),IF(67=Projects!$C$26+Projects!$D$26-1,Projects!$B$26*INDEX(Curves!$B$4:$AO$4,1,67-Projects!$C$26+1)*Assumptions!$B$11*0.95+0.05*Projects!$B$26*Assumptions!$B$11,Projects!$B$26*INDEX(Curves!$B$4:$AO$4,1,67-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190276.91883116882</v>
      </c>
      <c r="BR99">
        <f>IF(AND(Projects!$G$17="Yes",68&gt;=Projects!$C$17,68&lt;Projects!$C$17+Projects!$D$17),IF(68=Projects!$C$17+Projects!$D$17-1,Projects!$B$17*INDEX(Curves!$B$4:$AO$4,1,68-Projects!$C$17+1)*Assumptions!$B$11*0.95+0.05*Projects!$B$17*Assumptions!$B$11,Projects!$B$17*INDEX(Curves!$B$4:$AO$4,1,68-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$4:$AO$4,1,68-Projects!$C$24+1)*Assumptions!$B$11*0.95+0.05*Projects!$B$24*Assumptions!$B$11,Projects!$B$24*INDEX(Curves!$B$4:$AO$4,1,68-Projects!$C$24+1)*Assumptions!$B$11*0.95),0)+IF(AND(Projects!$G$25="Yes",68&gt;=Projects!$C$25,68&lt;Projects!$C$25+Projects!$D$25),IF(68=Projects!$C$25+Projects!$D$25-1,Projects!$B$25*INDEX(Curves!$B$4:$AO$4,1,68-Projects!$C$25+1)*Assumptions!$B$11*0.95+0.05*Projects!$B$25*Assumptions!$B$11,Projects!$B$25*INDEX(Curves!$B$4:$AO$4,1,68-Projects!$C$25+1)*Assumptions!$B$11*0.95),0)+IF(AND(Projects!$G$26="Yes",68&gt;=Projects!$C$26,68&lt;Projects!$C$26+Projects!$D$26),IF(68=Projects!$C$26+Projects!$D$26-1,Projects!$B$26*INDEX(Curves!$B$4:$AO$4,1,68-Projects!$C$26+1)*Assumptions!$B$11*0.95+0.05*Projects!$B$26*Assumptions!$B$11,Projects!$B$26*INDEX(Curves!$B$4:$AO$4,1,68-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191301.11444805193</v>
      </c>
      <c r="BS99">
        <f>IF(AND(Projects!$G$17="Yes",69&gt;=Projects!$C$17,69&lt;Projects!$C$17+Projects!$D$17),IF(69=Projects!$C$17+Projects!$D$17-1,Projects!$B$17*INDEX(Curves!$B$4:$AO$4,1,69-Projects!$C$17+1)*Assumptions!$B$11*0.95+0.05*Projects!$B$17*Assumptions!$B$11,Projects!$B$17*INDEX(Curves!$B$4:$AO$4,1,69-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$4:$AO$4,1,69-Projects!$C$24+1)*Assumptions!$B$11*0.95+0.05*Projects!$B$24*Assumptions!$B$11,Projects!$B$24*INDEX(Curves!$B$4:$AO$4,1,69-Projects!$C$24+1)*Assumptions!$B$11*0.95),0)+IF(AND(Projects!$G$25="Yes",69&gt;=Projects!$C$25,69&lt;Projects!$C$25+Projects!$D$25),IF(69=Projects!$C$25+Projects!$D$25-1,Projects!$B$25*INDEX(Curves!$B$4:$AO$4,1,69-Projects!$C$25+1)*Assumptions!$B$11*0.95+0.05*Projects!$B$25*Assumptions!$B$11,Projects!$B$25*INDEX(Curves!$B$4:$AO$4,1,69-Projects!$C$25+1)*Assumptions!$B$11*0.95),0)+IF(AND(Projects!$G$26="Yes",69&gt;=Projects!$C$26,69&lt;Projects!$C$26+Projects!$D$26),IF(69=Projects!$C$26+Projects!$D$26-1,Projects!$B$26*INDEX(Curves!$B$4:$AO$4,1,69-Projects!$C$26+1)*Assumptions!$B$11*0.95+0.05*Projects!$B$26*Assumptions!$B$11,Projects!$B$26*INDEX(Curves!$B$4:$AO$4,1,69-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245378.46185064933</v>
      </c>
      <c r="BT99">
        <f>IF(AND(Projects!$G$17="Yes",70&gt;=Projects!$C$17,70&lt;Projects!$C$17+Projects!$D$17),IF(70=Projects!$C$17+Projects!$D$17-1,Projects!$B$17*INDEX(Curves!$B$4:$AO$4,1,70-Projects!$C$17+1)*Assumptions!$B$11*0.95+0.05*Projects!$B$17*Assumptions!$B$11,Projects!$B$17*INDEX(Curves!$B$4:$AO$4,1,70-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$4:$AO$4,1,70-Projects!$C$24+1)*Assumptions!$B$11*0.95+0.05*Projects!$B$24*Assumptions!$B$11,Projects!$B$24*INDEX(Curves!$B$4:$AO$4,1,70-Projects!$C$24+1)*Assumptions!$B$11*0.95),0)+IF(AND(Projects!$G$25="Yes",70&gt;=Projects!$C$25,70&lt;Projects!$C$25+Projects!$D$25),IF(70=Projects!$C$25+Projects!$D$25-1,Projects!$B$25*INDEX(Curves!$B$4:$AO$4,1,70-Projects!$C$25+1)*Assumptions!$B$11*0.95+0.05*Projects!$B$25*Assumptions!$B$11,Projects!$B$25*INDEX(Curves!$B$4:$AO$4,1,70-Projects!$C$25+1)*Assumptions!$B$11*0.95),0)+IF(AND(Projects!$G$26="Yes",70&gt;=Projects!$C$26,70&lt;Projects!$C$26+Projects!$D$26),IF(70=Projects!$C$26+Projects!$D$26-1,Projects!$B$26*INDEX(Curves!$B$4:$AO$4,1,70-Projects!$C$26+1)*Assumptions!$B$11*0.95+0.05*Projects!$B$26*Assumptions!$B$11,Projects!$B$26*INDEX(Curves!$B$4:$AO$4,1,70-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195954.4797077922</v>
      </c>
      <c r="BU99">
        <f>IF(AND(Projects!$G$17="Yes",71&gt;=Projects!$C$17,71&lt;Projects!$C$17+Projects!$D$17),IF(71=Projects!$C$17+Projects!$D$17-1,Projects!$B$17*INDEX(Curves!$B$4:$AO$4,1,71-Projects!$C$17+1)*Assumptions!$B$11*0.95+0.05*Projects!$B$17*Assumptions!$B$11,Projects!$B$17*INDEX(Curves!$B$4:$AO$4,1,71-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$4:$AO$4,1,71-Projects!$C$24+1)*Assumptions!$B$11*0.95+0.05*Projects!$B$24*Assumptions!$B$11,Projects!$B$24*INDEX(Curves!$B$4:$AO$4,1,71-Projects!$C$24+1)*Assumptions!$B$11*0.95),0)+IF(AND(Projects!$G$25="Yes",71&gt;=Projects!$C$25,71&lt;Projects!$C$25+Projects!$D$25),IF(71=Projects!$C$25+Projects!$D$25-1,Projects!$B$25*INDEX(Curves!$B$4:$AO$4,1,71-Projects!$C$25+1)*Assumptions!$B$11*0.95+0.05*Projects!$B$25*Assumptions!$B$11,Projects!$B$25*INDEX(Curves!$B$4:$AO$4,1,71-Projects!$C$25+1)*Assumptions!$B$11*0.95),0)+IF(AND(Projects!$G$26="Yes",71&gt;=Projects!$C$26,71&lt;Projects!$C$26+Projects!$D$26),IF(71=Projects!$C$26+Projects!$D$26-1,Projects!$B$26*INDEX(Curves!$B$4:$AO$4,1,71-Projects!$C$26+1)*Assumptions!$B$11*0.95+0.05*Projects!$B$26*Assumptions!$B$11,Projects!$B$26*INDEX(Curves!$B$4:$AO$4,1,71-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217850.11363636359</v>
      </c>
      <c r="BV99">
        <f>IF(AND(Projects!$G$17="Yes",72&gt;=Projects!$C$17,72&lt;Projects!$C$17+Projects!$D$17),IF(72=Projects!$C$17+Projects!$D$17-1,Projects!$B$17*INDEX(Curves!$B$4:$AO$4,1,72-Projects!$C$17+1)*Assumptions!$B$11*0.95+0.05*Projects!$B$17*Assumptions!$B$11,Projects!$B$17*INDEX(Curves!$B$4:$AO$4,1,72-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$4:$AO$4,1,72-Projects!$C$24+1)*Assumptions!$B$11*0.95+0.05*Projects!$B$24*Assumptions!$B$11,Projects!$B$24*INDEX(Curves!$B$4:$AO$4,1,72-Projects!$C$24+1)*Assumptions!$B$11*0.95),0)+IF(AND(Projects!$G$25="Yes",72&gt;=Projects!$C$25,72&lt;Projects!$C$25+Projects!$D$25),IF(72=Projects!$C$25+Projects!$D$25-1,Projects!$B$25*INDEX(Curves!$B$4:$AO$4,1,72-Projects!$C$25+1)*Assumptions!$B$11*0.95+0.05*Projects!$B$25*Assumptions!$B$11,Projects!$B$25*INDEX(Curves!$B$4:$AO$4,1,72-Projects!$C$25+1)*Assumptions!$B$11*0.95),0)+IF(AND(Projects!$G$26="Yes",72&gt;=Projects!$C$26,72&lt;Projects!$C$26+Projects!$D$26),IF(72=Projects!$C$26+Projects!$D$26-1,Projects!$B$26*INDEX(Curves!$B$4:$AO$4,1,72-Projects!$C$26+1)*Assumptions!$B$11*0.95+0.05*Projects!$B$26*Assumptions!$B$11,Projects!$B$26*INDEX(Curves!$B$4:$AO$4,1,72-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223510.74107142855</v>
      </c>
      <c r="BW99">
        <f>IF(AND(Projects!$G$17="Yes",73&gt;=Projects!$C$17,73&lt;Projects!$C$17+Projects!$D$17),IF(73=Projects!$C$17+Projects!$D$17-1,Projects!$B$17*INDEX(Curves!$B$4:$AO$4,1,73-Projects!$C$17+1)*Assumptions!$B$11*0.95+0.05*Projects!$B$17*Assumptions!$B$11,Projects!$B$17*INDEX(Curves!$B$4:$AO$4,1,73-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$4:$AO$4,1,73-Projects!$C$24+1)*Assumptions!$B$11*0.95+0.05*Projects!$B$24*Assumptions!$B$11,Projects!$B$24*INDEX(Curves!$B$4:$AO$4,1,73-Projects!$C$24+1)*Assumptions!$B$11*0.95),0)+IF(AND(Projects!$G$25="Yes",73&gt;=Projects!$C$25,73&lt;Projects!$C$25+Projects!$D$25),IF(73=Projects!$C$25+Projects!$D$25-1,Projects!$B$25*INDEX(Curves!$B$4:$AO$4,1,73-Projects!$C$25+1)*Assumptions!$B$11*0.95+0.05*Projects!$B$25*Assumptions!$B$11,Projects!$B$25*INDEX(Curves!$B$4:$AO$4,1,73-Projects!$C$25+1)*Assumptions!$B$11*0.95),0)+IF(AND(Projects!$G$26="Yes",73&gt;=Projects!$C$26,73&lt;Projects!$C$26+Projects!$D$26),IF(73=Projects!$C$26+Projects!$D$26-1,Projects!$B$26*INDEX(Curves!$B$4:$AO$4,1,73-Projects!$C$26+1)*Assumptions!$B$11*0.95+0.05*Projects!$B$26*Assumptions!$B$11,Projects!$B$26*INDEX(Curves!$B$4:$AO$4,1,73-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271041.03409090906</v>
      </c>
      <c r="BX99">
        <f>IF(AND(Projects!$G$17="Yes",74&gt;=Projects!$C$17,74&lt;Projects!$C$17+Projects!$D$17),IF(74=Projects!$C$17+Projects!$D$17-1,Projects!$B$17*INDEX(Curves!$B$4:$AO$4,1,74-Projects!$C$17+1)*Assumptions!$B$11*0.95+0.05*Projects!$B$17*Assumptions!$B$11,Projects!$B$17*INDEX(Curves!$B$4:$AO$4,1,74-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$4:$AO$4,1,74-Projects!$C$24+1)*Assumptions!$B$11*0.95+0.05*Projects!$B$24*Assumptions!$B$11,Projects!$B$24*INDEX(Curves!$B$4:$AO$4,1,74-Projects!$C$24+1)*Assumptions!$B$11*0.95),0)+IF(AND(Projects!$G$25="Yes",74&gt;=Projects!$C$25,74&lt;Projects!$C$25+Projects!$D$25),IF(74=Projects!$C$25+Projects!$D$25-1,Projects!$B$25*INDEX(Curves!$B$4:$AO$4,1,74-Projects!$C$25+1)*Assumptions!$B$11*0.95+0.05*Projects!$B$25*Assumptions!$B$11,Projects!$B$25*INDEX(Curves!$B$4:$AO$4,1,74-Projects!$C$25+1)*Assumptions!$B$11*0.95),0)+IF(AND(Projects!$G$26="Yes",74&gt;=Projects!$C$26,74&lt;Projects!$C$26+Projects!$D$26),IF(74=Projects!$C$26+Projects!$D$26-1,Projects!$B$26*INDEX(Curves!$B$4:$AO$4,1,74-Projects!$C$26+1)*Assumptions!$B$11*0.95+0.05*Projects!$B$26*Assumptions!$B$11,Projects!$B$26*INDEX(Curves!$B$4:$AO$4,1,74-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211234.1347402597</v>
      </c>
      <c r="BY99">
        <f>IF(AND(Projects!$G$17="Yes",75&gt;=Projects!$C$17,75&lt;Projects!$C$17+Projects!$D$17),IF(75=Projects!$C$17+Projects!$D$17-1,Projects!$B$17*INDEX(Curves!$B$4:$AO$4,1,75-Projects!$C$17+1)*Assumptions!$B$11*0.95+0.05*Projects!$B$17*Assumptions!$B$11,Projects!$B$17*INDEX(Curves!$B$4:$AO$4,1,75-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$4:$AO$4,1,75-Projects!$C$24+1)*Assumptions!$B$11*0.95+0.05*Projects!$B$24*Assumptions!$B$11,Projects!$B$24*INDEX(Curves!$B$4:$AO$4,1,75-Projects!$C$24+1)*Assumptions!$B$11*0.95),0)+IF(AND(Projects!$G$25="Yes",75&gt;=Projects!$C$25,75&lt;Projects!$C$25+Projects!$D$25),IF(75=Projects!$C$25+Projects!$D$25-1,Projects!$B$25*INDEX(Curves!$B$4:$AO$4,1,75-Projects!$C$25+1)*Assumptions!$B$11*0.95+0.05*Projects!$B$25*Assumptions!$B$11,Projects!$B$25*INDEX(Curves!$B$4:$AO$4,1,75-Projects!$C$25+1)*Assumptions!$B$11*0.95),0)+IF(AND(Projects!$G$26="Yes",75&gt;=Projects!$C$26,75&lt;Projects!$C$26+Projects!$D$26),IF(75=Projects!$C$26+Projects!$D$26-1,Projects!$B$26*INDEX(Curves!$B$4:$AO$4,1,75-Projects!$C$26+1)*Assumptions!$B$11*0.95+0.05*Projects!$B$26*Assumptions!$B$11,Projects!$B$26*INDEX(Curves!$B$4:$AO$4,1,75-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232605.38717532463</v>
      </c>
      <c r="BZ99">
        <f>IF(AND(Projects!$G$17="Yes",76&gt;=Projects!$C$17,76&lt;Projects!$C$17+Projects!$D$17),IF(76=Projects!$C$17+Projects!$D$17-1,Projects!$B$17*INDEX(Curves!$B$4:$AO$4,1,76-Projects!$C$17+1)*Assumptions!$B$11*0.95+0.05*Projects!$B$17*Assumptions!$B$11,Projects!$B$17*INDEX(Curves!$B$4:$AO$4,1,76-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$4:$AO$4,1,76-Projects!$C$24+1)*Assumptions!$B$11*0.95+0.05*Projects!$B$24*Assumptions!$B$11,Projects!$B$24*INDEX(Curves!$B$4:$AO$4,1,76-Projects!$C$24+1)*Assumptions!$B$11*0.95),0)+IF(AND(Projects!$G$25="Yes",76&gt;=Projects!$C$25,76&lt;Projects!$C$25+Projects!$D$25),IF(76=Projects!$C$25+Projects!$D$25-1,Projects!$B$25*INDEX(Curves!$B$4:$AO$4,1,76-Projects!$C$25+1)*Assumptions!$B$11*0.95+0.05*Projects!$B$25*Assumptions!$B$11,Projects!$B$25*INDEX(Curves!$B$4:$AO$4,1,76-Projects!$C$25+1)*Assumptions!$B$11*0.95),0)+IF(AND(Projects!$G$26="Yes",76&gt;=Projects!$C$26,76&lt;Projects!$C$26+Projects!$D$26),IF(76=Projects!$C$26+Projects!$D$26-1,Projects!$B$26*INDEX(Curves!$B$4:$AO$4,1,76-Projects!$C$26+1)*Assumptions!$B$11*0.95+0.05*Projects!$B$26*Assumptions!$B$11,Projects!$B$26*INDEX(Curves!$B$4:$AO$4,1,76-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236531.03084415579</v>
      </c>
      <c r="CA99">
        <f>IF(AND(Projects!$G$17="Yes",77&gt;=Projects!$C$17,77&lt;Projects!$C$17+Projects!$D$17),IF(77=Projects!$C$17+Projects!$D$17-1,Projects!$B$17*INDEX(Curves!$B$4:$AO$4,1,77-Projects!$C$17+1)*Assumptions!$B$11*0.95+0.05*Projects!$B$17*Assumptions!$B$11,Projects!$B$17*INDEX(Curves!$B$4:$AO$4,1,77-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$4:$AO$4,1,77-Projects!$C$24+1)*Assumptions!$B$11*0.95+0.05*Projects!$B$24*Assumptions!$B$11,Projects!$B$24*INDEX(Curves!$B$4:$AO$4,1,77-Projects!$C$24+1)*Assumptions!$B$11*0.95),0)+IF(AND(Projects!$G$25="Yes",77&gt;=Projects!$C$25,77&lt;Projects!$C$25+Projects!$D$25),IF(77=Projects!$C$25+Projects!$D$25-1,Projects!$B$25*INDEX(Curves!$B$4:$AO$4,1,77-Projects!$C$25+1)*Assumptions!$B$11*0.95+0.05*Projects!$B$25*Assumptions!$B$11,Projects!$B$25*INDEX(Curves!$B$4:$AO$4,1,77-Projects!$C$25+1)*Assumptions!$B$11*0.95),0)+IF(AND(Projects!$G$26="Yes",77&gt;=Projects!$C$26,77&lt;Projects!$C$26+Projects!$D$26),IF(77=Projects!$C$26+Projects!$D$26-1,Projects!$B$26*INDEX(Curves!$B$4:$AO$4,1,77-Projects!$C$26+1)*Assumptions!$B$11*0.95+0.05*Projects!$B$26*Assumptions!$B$11,Projects!$B$26*INDEX(Curves!$B$4:$AO$4,1,77-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273847.04707792203</v>
      </c>
      <c r="CB99">
        <f>IF(AND(Projects!$G$17="Yes",78&gt;=Projects!$C$17,78&lt;Projects!$C$17+Projects!$D$17),IF(78=Projects!$C$17+Projects!$D$17-1,Projects!$B$17*INDEX(Curves!$B$4:$AO$4,1,78-Projects!$C$17+1)*Assumptions!$B$11*0.95+0.05*Projects!$B$17*Assumptions!$B$11,Projects!$B$17*INDEX(Curves!$B$4:$AO$4,1,78-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$4:$AO$4,1,78-Projects!$C$24+1)*Assumptions!$B$11*0.95+0.05*Projects!$B$24*Assumptions!$B$11,Projects!$B$24*INDEX(Curves!$B$4:$AO$4,1,78-Projects!$C$24+1)*Assumptions!$B$11*0.95),0)+IF(AND(Projects!$G$25="Yes",78&gt;=Projects!$C$25,78&lt;Projects!$C$25+Projects!$D$25),IF(78=Projects!$C$25+Projects!$D$25-1,Projects!$B$25*INDEX(Curves!$B$4:$AO$4,1,78-Projects!$C$25+1)*Assumptions!$B$11*0.95+0.05*Projects!$B$25*Assumptions!$B$11,Projects!$B$25*INDEX(Curves!$B$4:$AO$4,1,78-Projects!$C$25+1)*Assumptions!$B$11*0.95),0)+IF(AND(Projects!$G$26="Yes",78&gt;=Projects!$C$26,78&lt;Projects!$C$26+Projects!$D$26),IF(78=Projects!$C$26+Projects!$D$26-1,Projects!$B$26*INDEX(Curves!$B$4:$AO$4,1,78-Projects!$C$26+1)*Assumptions!$B$11*0.95+0.05*Projects!$B$26*Assumptions!$B$11,Projects!$B$26*INDEX(Curves!$B$4:$AO$4,1,78-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220331.00162337659</v>
      </c>
      <c r="CC99">
        <f>IF(AND(Projects!$G$17="Yes",79&gt;=Projects!$C$17,79&lt;Projects!$C$17+Projects!$D$17),IF(79=Projects!$C$17+Projects!$D$17-1,Projects!$B$17*INDEX(Curves!$B$4:$AO$4,1,79-Projects!$C$17+1)*Assumptions!$B$11*0.95+0.05*Projects!$B$17*Assumptions!$B$11,Projects!$B$17*INDEX(Curves!$B$4:$AO$4,1,79-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$4:$AO$4,1,79-Projects!$C$24+1)*Assumptions!$B$11*0.95+0.05*Projects!$B$24*Assumptions!$B$11,Projects!$B$24*INDEX(Curves!$B$4:$AO$4,1,79-Projects!$C$24+1)*Assumptions!$B$11*0.95),0)+IF(AND(Projects!$G$25="Yes",79&gt;=Projects!$C$25,79&lt;Projects!$C$25+Projects!$D$25),IF(79=Projects!$C$25+Projects!$D$25-1,Projects!$B$25*INDEX(Curves!$B$4:$AO$4,1,79-Projects!$C$25+1)*Assumptions!$B$11*0.95+0.05*Projects!$B$25*Assumptions!$B$11,Projects!$B$25*INDEX(Curves!$B$4:$AO$4,1,79-Projects!$C$25+1)*Assumptions!$B$11*0.95),0)+IF(AND(Projects!$G$26="Yes",79&gt;=Projects!$C$26,79&lt;Projects!$C$26+Projects!$D$26),IF(79=Projects!$C$26+Projects!$D$26-1,Projects!$B$26*INDEX(Curves!$B$4:$AO$4,1,79-Projects!$C$26+1)*Assumptions!$B$11*0.95+0.05*Projects!$B$26*Assumptions!$B$11,Projects!$B$26*INDEX(Curves!$B$4:$AO$4,1,79-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217975.31006493504</v>
      </c>
      <c r="CD99">
        <f>IF(AND(Projects!$G$17="Yes",80&gt;=Projects!$C$17,80&lt;Projects!$C$17+Projects!$D$17),IF(80=Projects!$C$17+Projects!$D$17-1,Projects!$B$17*INDEX(Curves!$B$4:$AO$4,1,80-Projects!$C$17+1)*Assumptions!$B$11*0.95+0.05*Projects!$B$17*Assumptions!$B$11,Projects!$B$17*INDEX(Curves!$B$4:$AO$4,1,80-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$4:$AO$4,1,80-Projects!$C$24+1)*Assumptions!$B$11*0.95+0.05*Projects!$B$24*Assumptions!$B$11,Projects!$B$24*INDEX(Curves!$B$4:$AO$4,1,80-Projects!$C$24+1)*Assumptions!$B$11*0.95),0)+IF(AND(Projects!$G$25="Yes",80&gt;=Projects!$C$25,80&lt;Projects!$C$25+Projects!$D$25),IF(80=Projects!$C$25+Projects!$D$25-1,Projects!$B$25*INDEX(Curves!$B$4:$AO$4,1,80-Projects!$C$25+1)*Assumptions!$B$11*0.95+0.05*Projects!$B$25*Assumptions!$B$11,Projects!$B$25*INDEX(Curves!$B$4:$AO$4,1,80-Projects!$C$25+1)*Assumptions!$B$11*0.95),0)+IF(AND(Projects!$G$26="Yes",80&gt;=Projects!$C$26,80&lt;Projects!$C$26+Projects!$D$26),IF(80=Projects!$C$26+Projects!$D$26-1,Projects!$B$26*INDEX(Curves!$B$4:$AO$4,1,80-Projects!$C$26+1)*Assumptions!$B$11*0.95+0.05*Projects!$B$26*Assumptions!$B$11,Projects!$B$26*INDEX(Curves!$B$4:$AO$4,1,80-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211975.73620129869</v>
      </c>
      <c r="CE99">
        <f>IF(AND(Projects!$G$17="Yes",81&gt;=Projects!$C$17,81&lt;Projects!$C$17+Projects!$D$17),IF(81=Projects!$C$17+Projects!$D$17-1,Projects!$B$17*INDEX(Curves!$B$4:$AO$4,1,81-Projects!$C$17+1)*Assumptions!$B$11*0.95+0.05*Projects!$B$17*Assumptions!$B$11,Projects!$B$17*INDEX(Curves!$B$4:$AO$4,1,81-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$4:$AO$4,1,81-Projects!$C$24+1)*Assumptions!$B$11*0.95+0.05*Projects!$B$24*Assumptions!$B$11,Projects!$B$24*INDEX(Curves!$B$4:$AO$4,1,81-Projects!$C$24+1)*Assumptions!$B$11*0.95),0)+IF(AND(Projects!$G$25="Yes",81&gt;=Projects!$C$25,81&lt;Projects!$C$25+Projects!$D$25),IF(81=Projects!$C$25+Projects!$D$25-1,Projects!$B$25*INDEX(Curves!$B$4:$AO$4,1,81-Projects!$C$25+1)*Assumptions!$B$11*0.95+0.05*Projects!$B$25*Assumptions!$B$11,Projects!$B$25*INDEX(Curves!$B$4:$AO$4,1,81-Projects!$C$25+1)*Assumptions!$B$11*0.95),0)+IF(AND(Projects!$G$26="Yes",81&gt;=Projects!$C$26,81&lt;Projects!$C$26+Projects!$D$26),IF(81=Projects!$C$26+Projects!$D$26-1,Projects!$B$26*INDEX(Curves!$B$4:$AO$4,1,81-Projects!$C$26+1)*Assumptions!$B$11*0.95+0.05*Projects!$B$26*Assumptions!$B$11,Projects!$B$26*INDEX(Curves!$B$4:$AO$4,1,81-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239161.39042207788</v>
      </c>
      <c r="CF99">
        <f>IF(AND(Projects!$G$17="Yes",82&gt;=Projects!$C$17,82&lt;Projects!$C$17+Projects!$D$17),IF(82=Projects!$C$17+Projects!$D$17-1,Projects!$B$17*INDEX(Curves!$B$4:$AO$4,1,82-Projects!$C$17+1)*Assumptions!$B$11*0.95+0.05*Projects!$B$17*Assumptions!$B$11,Projects!$B$17*INDEX(Curves!$B$4:$AO$4,1,82-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$4:$AO$4,1,82-Projects!$C$24+1)*Assumptions!$B$11*0.95+0.05*Projects!$B$24*Assumptions!$B$11,Projects!$B$24*INDEX(Curves!$B$4:$AO$4,1,82-Projects!$C$24+1)*Assumptions!$B$11*0.95),0)+IF(AND(Projects!$G$25="Yes",82&gt;=Projects!$C$25,82&lt;Projects!$C$25+Projects!$D$25),IF(82=Projects!$C$25+Projects!$D$25-1,Projects!$B$25*INDEX(Curves!$B$4:$AO$4,1,82-Projects!$C$25+1)*Assumptions!$B$11*0.95+0.05*Projects!$B$25*Assumptions!$B$11,Projects!$B$25*INDEX(Curves!$B$4:$AO$4,1,82-Projects!$C$25+1)*Assumptions!$B$11*0.95),0)+IF(AND(Projects!$G$26="Yes",82&gt;=Projects!$C$26,82&lt;Projects!$C$26+Projects!$D$26),IF(82=Projects!$C$26+Projects!$D$26-1,Projects!$B$26*INDEX(Curves!$B$4:$AO$4,1,82-Projects!$C$26+1)*Assumptions!$B$11*0.95+0.05*Projects!$B$26*Assumptions!$B$11,Projects!$B$26*INDEX(Curves!$B$4:$AO$4,1,82-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175874.88798701297</v>
      </c>
      <c r="CG99">
        <f>IF(AND(Projects!$G$17="Yes",83&gt;=Projects!$C$17,83&lt;Projects!$C$17+Projects!$D$17),IF(83=Projects!$C$17+Projects!$D$17-1,Projects!$B$17*INDEX(Curves!$B$4:$AO$4,1,83-Projects!$C$17+1)*Assumptions!$B$11*0.95+0.05*Projects!$B$17*Assumptions!$B$11,Projects!$B$17*INDEX(Curves!$B$4:$AO$4,1,83-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$4:$AO$4,1,83-Projects!$C$24+1)*Assumptions!$B$11*0.95+0.05*Projects!$B$24*Assumptions!$B$11,Projects!$B$24*INDEX(Curves!$B$4:$AO$4,1,83-Projects!$C$24+1)*Assumptions!$B$11*0.95),0)+IF(AND(Projects!$G$25="Yes",83&gt;=Projects!$C$25,83&lt;Projects!$C$25+Projects!$D$25),IF(83=Projects!$C$25+Projects!$D$25-1,Projects!$B$25*INDEX(Curves!$B$4:$AO$4,1,83-Projects!$C$25+1)*Assumptions!$B$11*0.95+0.05*Projects!$B$25*Assumptions!$B$11,Projects!$B$25*INDEX(Curves!$B$4:$AO$4,1,83-Projects!$C$25+1)*Assumptions!$B$11*0.95),0)+IF(AND(Projects!$G$26="Yes",83&gt;=Projects!$C$26,83&lt;Projects!$C$26+Projects!$D$26),IF(83=Projects!$C$26+Projects!$D$26-1,Projects!$B$26*INDEX(Curves!$B$4:$AO$4,1,83-Projects!$C$26+1)*Assumptions!$B$11*0.95+0.05*Projects!$B$26*Assumptions!$B$11,Projects!$B$26*INDEX(Curves!$B$4:$AO$4,1,83-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164660.6469155844</v>
      </c>
      <c r="CH99">
        <f>IF(AND(Projects!$G$17="Yes",84&gt;=Projects!$C$17,84&lt;Projects!$C$17+Projects!$D$17),IF(84=Projects!$C$17+Projects!$D$17-1,Projects!$B$17*INDEX(Curves!$B$4:$AO$4,1,84-Projects!$C$17+1)*Assumptions!$B$11*0.95+0.05*Projects!$B$17*Assumptions!$B$11,Projects!$B$17*INDEX(Curves!$B$4:$AO$4,1,84-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$4:$AO$4,1,84-Projects!$C$24+1)*Assumptions!$B$11*0.95+0.05*Projects!$B$24*Assumptions!$B$11,Projects!$B$24*INDEX(Curves!$B$4:$AO$4,1,84-Projects!$C$24+1)*Assumptions!$B$11*0.95),0)+IF(AND(Projects!$G$25="Yes",84&gt;=Projects!$C$25,84&lt;Projects!$C$25+Projects!$D$25),IF(84=Projects!$C$25+Projects!$D$25-1,Projects!$B$25*INDEX(Curves!$B$4:$AO$4,1,84-Projects!$C$25+1)*Assumptions!$B$11*0.95+0.05*Projects!$B$25*Assumptions!$B$11,Projects!$B$25*INDEX(Curves!$B$4:$AO$4,1,84-Projects!$C$25+1)*Assumptions!$B$11*0.95),0)+IF(AND(Projects!$G$26="Yes",84&gt;=Projects!$C$26,84&lt;Projects!$C$26+Projects!$D$26),IF(84=Projects!$C$26+Projects!$D$26-1,Projects!$B$26*INDEX(Curves!$B$4:$AO$4,1,84-Projects!$C$26+1)*Assumptions!$B$11*0.95+0.05*Projects!$B$26*Assumptions!$B$11,Projects!$B$26*INDEX(Curves!$B$4:$AO$4,1,84-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151205.362012987</v>
      </c>
    </row>
    <row r="100" spans="1:86" ht="15" customHeight="1" x14ac:dyDescent="0.25">
      <c r="A100" t="s">
        <v>601</v>
      </c>
      <c r="C100">
        <f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>
        <f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>
        <f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>
        <f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>
        <f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>
        <f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>
        <f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>
        <f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>
        <f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>
        <f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>
        <f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>
        <f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>
        <f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>
        <f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>
        <f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>
        <f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0</v>
      </c>
      <c r="S100">
        <f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0</v>
      </c>
      <c r="T100">
        <f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0</v>
      </c>
      <c r="U100">
        <f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0</v>
      </c>
      <c r="V100">
        <f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0</v>
      </c>
      <c r="W100">
        <f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0</v>
      </c>
      <c r="X100">
        <f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0</v>
      </c>
      <c r="Y100">
        <f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0</v>
      </c>
      <c r="Z100">
        <f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0</v>
      </c>
      <c r="AA100">
        <f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0</v>
      </c>
      <c r="AB100">
        <f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0</v>
      </c>
      <c r="AC100">
        <f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0</v>
      </c>
      <c r="AD100">
        <f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0</v>
      </c>
      <c r="AE100">
        <f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0</v>
      </c>
      <c r="AF100">
        <f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0</v>
      </c>
      <c r="AG100">
        <f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14610.38961038961</v>
      </c>
      <c r="AH100">
        <f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14610.38961038961</v>
      </c>
      <c r="AI100">
        <f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14610.38961038961</v>
      </c>
      <c r="AJ100">
        <f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14610.38961038961</v>
      </c>
      <c r="AK100">
        <f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26785.714285714286</v>
      </c>
      <c r="AL100">
        <f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26785.714285714286</v>
      </c>
      <c r="AM100">
        <f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26785.714285714286</v>
      </c>
      <c r="AN100">
        <f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26785.714285714286</v>
      </c>
      <c r="AO100">
        <f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38961.038961038961</v>
      </c>
      <c r="AP100">
        <f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38961.038961038961</v>
      </c>
      <c r="AQ100">
        <f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38961.038961038961</v>
      </c>
      <c r="AR100">
        <f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38961.038961038961</v>
      </c>
      <c r="AS100">
        <f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53571.428571428572</v>
      </c>
      <c r="AT100">
        <f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53571.428571428572</v>
      </c>
      <c r="AU100">
        <f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53571.428571428572</v>
      </c>
      <c r="AV100">
        <f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53571.428571428572</v>
      </c>
      <c r="AW100">
        <f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65746.753246753244</v>
      </c>
      <c r="AX100">
        <f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65746.753246753244</v>
      </c>
      <c r="AY100">
        <f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80357.14285714287</v>
      </c>
      <c r="AZ100">
        <f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51136.36363636364</v>
      </c>
      <c r="BA100">
        <f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63311.688311688318</v>
      </c>
      <c r="BB100">
        <f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63311.688311688318</v>
      </c>
      <c r="BC100">
        <f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75487.012987012989</v>
      </c>
      <c r="BD100">
        <f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51136.36363636364</v>
      </c>
      <c r="BE100">
        <f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65746.753246753244</v>
      </c>
      <c r="BF100">
        <f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65746.753246753244</v>
      </c>
      <c r="BG100">
        <f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77922.077922077922</v>
      </c>
      <c r="BH100">
        <f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53571.428571428572</v>
      </c>
      <c r="BI100">
        <f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65746.753246753244</v>
      </c>
      <c r="BJ100">
        <f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65746.753246753244</v>
      </c>
      <c r="BK100">
        <f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80357.14285714287</v>
      </c>
      <c r="BL100">
        <f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51136.36363636364</v>
      </c>
      <c r="BM100">
        <f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63311.688311688318</v>
      </c>
      <c r="BN100">
        <f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63311.688311688318</v>
      </c>
      <c r="BO100">
        <f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75487.012987012989</v>
      </c>
      <c r="BP100">
        <f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51136.36363636364</v>
      </c>
      <c r="BQ100">
        <f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65746.753246753244</v>
      </c>
      <c r="BR100">
        <f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65746.753246753244</v>
      </c>
      <c r="BS100">
        <f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90097.402597402601</v>
      </c>
      <c r="BT100">
        <f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65746.753246753244</v>
      </c>
      <c r="BU100">
        <f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77922.077922077922</v>
      </c>
      <c r="BV100">
        <f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77922.077922077922</v>
      </c>
      <c r="BW100">
        <f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92532.467532467548</v>
      </c>
      <c r="BX100">
        <f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63311.688311688318</v>
      </c>
      <c r="BY100">
        <f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75487.012987012989</v>
      </c>
      <c r="BZ100">
        <f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75487.012987012989</v>
      </c>
      <c r="CA100">
        <f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87662.337662337668</v>
      </c>
      <c r="CB100">
        <f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63311.688311688318</v>
      </c>
      <c r="CC100">
        <f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63311.688311688318</v>
      </c>
      <c r="CD100">
        <f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63311.688311688318</v>
      </c>
      <c r="CE100">
        <f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75487.012987012989</v>
      </c>
      <c r="CF100">
        <f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51136.36363636364</v>
      </c>
      <c r="CG100">
        <f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51136.36363636364</v>
      </c>
      <c r="CH100">
        <f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51136.36363636364</v>
      </c>
    </row>
    <row r="102" spans="1:86" ht="15" customHeight="1" x14ac:dyDescent="0.25">
      <c r="A102" s="127" t="s">
        <v>602</v>
      </c>
    </row>
    <row r="103" spans="1:86" ht="15" customHeight="1" x14ac:dyDescent="0.25">
      <c r="A103" s="128" t="s">
        <v>603</v>
      </c>
      <c r="C103" s="129">
        <v>0</v>
      </c>
      <c r="D103" s="129">
        <v>0</v>
      </c>
      <c r="E103" s="129">
        <v>0</v>
      </c>
      <c r="F103" s="129">
        <v>0</v>
      </c>
      <c r="G103" s="129">
        <v>0</v>
      </c>
      <c r="H103" s="129">
        <v>0</v>
      </c>
      <c r="I103" s="129">
        <v>0</v>
      </c>
      <c r="J103" s="129">
        <v>0</v>
      </c>
      <c r="K103" s="129">
        <v>0</v>
      </c>
      <c r="L103" s="129">
        <v>0</v>
      </c>
      <c r="M103" s="129">
        <v>0</v>
      </c>
      <c r="N103" s="129">
        <v>-30000</v>
      </c>
      <c r="O103" s="129">
        <v>0</v>
      </c>
      <c r="P103" s="129">
        <v>0</v>
      </c>
      <c r="Q103" s="129">
        <v>-30000</v>
      </c>
      <c r="R103" s="129">
        <v>0</v>
      </c>
      <c r="S103" s="129">
        <v>0</v>
      </c>
      <c r="T103" s="129">
        <v>-30000</v>
      </c>
      <c r="U103" s="129">
        <v>0</v>
      </c>
      <c r="V103" s="129">
        <v>0</v>
      </c>
      <c r="W103" s="129">
        <v>0</v>
      </c>
      <c r="X103" s="129">
        <v>-30000</v>
      </c>
      <c r="Y103" s="129">
        <v>0</v>
      </c>
      <c r="Z103" s="129">
        <v>0</v>
      </c>
      <c r="AA103" s="129">
        <v>-30000</v>
      </c>
      <c r="AB103" s="129">
        <v>0</v>
      </c>
      <c r="AC103" s="129">
        <v>0</v>
      </c>
      <c r="AD103" s="129">
        <v>-36000</v>
      </c>
      <c r="AE103" s="129">
        <v>0</v>
      </c>
      <c r="AF103" s="129">
        <v>0</v>
      </c>
      <c r="AG103" s="129">
        <v>-36000</v>
      </c>
      <c r="AH103" s="129">
        <v>0</v>
      </c>
      <c r="AI103" s="129">
        <v>-36000</v>
      </c>
      <c r="AJ103" s="129">
        <v>0</v>
      </c>
      <c r="AK103" s="129">
        <v>-30000</v>
      </c>
      <c r="AL103" s="129">
        <v>0</v>
      </c>
      <c r="AM103" s="129">
        <v>-12000</v>
      </c>
      <c r="AN103" s="129">
        <v>0</v>
      </c>
      <c r="AO103" s="129">
        <v>0</v>
      </c>
      <c r="AP103" s="129">
        <v>0</v>
      </c>
      <c r="AQ103" s="129">
        <v>-30000</v>
      </c>
      <c r="AR103" s="129">
        <v>0</v>
      </c>
      <c r="AS103" s="129">
        <v>-36000</v>
      </c>
      <c r="AT103" s="129">
        <v>0</v>
      </c>
      <c r="AU103" s="129">
        <v>-30000</v>
      </c>
      <c r="AV103" s="129">
        <v>0</v>
      </c>
      <c r="AW103" s="129">
        <v>-30000</v>
      </c>
      <c r="AX103" s="129">
        <v>0</v>
      </c>
      <c r="AY103" s="129">
        <v>-24000</v>
      </c>
      <c r="AZ103" s="129">
        <v>0</v>
      </c>
      <c r="BA103" s="129">
        <v>0</v>
      </c>
      <c r="BB103" s="129">
        <v>0</v>
      </c>
      <c r="BC103" s="129">
        <v>-36000</v>
      </c>
      <c r="BD103" s="129">
        <v>0</v>
      </c>
      <c r="BE103" s="129">
        <v>-30000</v>
      </c>
      <c r="BF103" s="129">
        <v>0</v>
      </c>
      <c r="BG103" s="129">
        <v>-30000</v>
      </c>
      <c r="BH103" s="129">
        <v>0</v>
      </c>
      <c r="BI103" s="129">
        <v>-36000</v>
      </c>
      <c r="BJ103" s="129">
        <v>0</v>
      </c>
      <c r="BK103" s="129">
        <v>-18000</v>
      </c>
      <c r="BL103" s="129">
        <v>0</v>
      </c>
      <c r="BM103" s="129">
        <v>0</v>
      </c>
      <c r="BN103" s="129">
        <v>0</v>
      </c>
      <c r="BO103" s="129">
        <v>-36000</v>
      </c>
      <c r="BP103" s="129">
        <v>0</v>
      </c>
      <c r="BQ103" s="129">
        <v>-30000</v>
      </c>
      <c r="BR103" s="129">
        <v>0</v>
      </c>
      <c r="BS103" s="129">
        <v>-30000</v>
      </c>
      <c r="BT103" s="129">
        <v>0</v>
      </c>
      <c r="BU103" s="129">
        <v>-36000</v>
      </c>
      <c r="BV103" s="129">
        <v>0</v>
      </c>
      <c r="BW103" s="129">
        <v>-18000</v>
      </c>
      <c r="BX103" s="129">
        <v>0</v>
      </c>
      <c r="BY103" s="129">
        <v>0</v>
      </c>
      <c r="BZ103" s="129">
        <v>0</v>
      </c>
      <c r="CA103" s="129">
        <v>0</v>
      </c>
      <c r="CB103" s="129">
        <v>0</v>
      </c>
      <c r="CC103" s="129">
        <v>0</v>
      </c>
      <c r="CD103" s="129">
        <v>0</v>
      </c>
      <c r="CE103" s="129">
        <v>0</v>
      </c>
      <c r="CF103" s="129">
        <v>0</v>
      </c>
      <c r="CG103" s="129">
        <v>0</v>
      </c>
      <c r="CH103" s="129">
        <v>0</v>
      </c>
    </row>
    <row r="104" spans="1:86" ht="15" customHeight="1" x14ac:dyDescent="0.25">
      <c r="A104" s="130" t="s">
        <v>604</v>
      </c>
    </row>
    <row r="106" spans="1:86" ht="15" customHeight="1" x14ac:dyDescent="0.25">
      <c r="A106" s="127" t="s">
        <v>605</v>
      </c>
    </row>
    <row r="107" spans="1:86" ht="15" customHeight="1" x14ac:dyDescent="0.25">
      <c r="A107" t="s">
        <v>606</v>
      </c>
      <c r="C107">
        <f>IF(AND(Projects!$G$30="Yes",1&gt;=Projects!$C$30,1&lt;Projects!$C$30+Projects!$D$30),Projects!$B$30*INDEX(Curves!$B$4:$AO$4,1,1-Projects!$C$30+1),0)+IF(AND(Projects!$G$31="Yes",1&gt;=Projects!$C$31,1&lt;Projects!$C$31+Projects!$D$31),Projects!$B$31*INDEX(Curves!$B$4:$AO$4,1,1-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$4:$AO$4,1,1-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$4:$AO$4,1,1-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$4:$AO$4,1,1-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$4:$AO$4,1,1-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$4:$AO$4,1,1-Projects!$C$45+1),0)+IF(AND(Projects!$G$46="Yes",1&gt;=Projects!$C$46,1&lt;Projects!$C$46+Projects!$D$46),Projects!$B$46*INDEX(Curves!$B$4:$AO$4,1,1-Projects!$C$46+1),0)</f>
        <v>0</v>
      </c>
      <c r="D107">
        <f>IF(AND(Projects!$G$30="Yes",2&gt;=Projects!$C$30,2&lt;Projects!$C$30+Projects!$D$30),Projects!$B$30*INDEX(Curves!$B$4:$AO$4,1,2-Projects!$C$30+1),0)+IF(AND(Projects!$G$31="Yes",2&gt;=Projects!$C$31,2&lt;Projects!$C$31+Projects!$D$31),Projects!$B$31*INDEX(Curves!$B$4:$AO$4,1,2-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$4:$AO$4,1,2-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$4:$AO$4,1,2-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$4:$AO$4,1,2-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$4:$AO$4,1,2-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$4:$AO$4,1,2-Projects!$C$45+1),0)+IF(AND(Projects!$G$46="Yes",2&gt;=Projects!$C$46,2&lt;Projects!$C$46+Projects!$D$46),Projects!$B$46*INDEX(Curves!$B$4:$AO$4,1,2-Projects!$C$46+1),0)</f>
        <v>0</v>
      </c>
      <c r="E107">
        <f>IF(AND(Projects!$G$30="Yes",3&gt;=Projects!$C$30,3&lt;Projects!$C$30+Projects!$D$30),Projects!$B$30*INDEX(Curves!$B$4:$AO$4,1,3-Projects!$C$30+1),0)+IF(AND(Projects!$G$31="Yes",3&gt;=Projects!$C$31,3&lt;Projects!$C$31+Projects!$D$31),Projects!$B$31*INDEX(Curves!$B$4:$AO$4,1,3-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$4:$AO$4,1,3-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$4:$AO$4,1,3-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$4:$AO$4,1,3-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$4:$AO$4,1,3-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$4:$AO$4,1,3-Projects!$C$45+1),0)+IF(AND(Projects!$G$46="Yes",3&gt;=Projects!$C$46,3&lt;Projects!$C$46+Projects!$D$46),Projects!$B$46*INDEX(Curves!$B$4:$AO$4,1,3-Projects!$C$46+1),0)</f>
        <v>0</v>
      </c>
      <c r="F107">
        <f>IF(AND(Projects!$G$30="Yes",4&gt;=Projects!$C$30,4&lt;Projects!$C$30+Projects!$D$30),Projects!$B$30*INDEX(Curves!$B$4:$AO$4,1,4-Projects!$C$30+1),0)+IF(AND(Projects!$G$31="Yes",4&gt;=Projects!$C$31,4&lt;Projects!$C$31+Projects!$D$31),Projects!$B$31*INDEX(Curves!$B$4:$AO$4,1,4-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$4:$AO$4,1,4-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$4:$AO$4,1,4-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$4:$AO$4,1,4-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$4:$AO$4,1,4-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$4:$AO$4,1,4-Projects!$C$45+1),0)+IF(AND(Projects!$G$46="Yes",4&gt;=Projects!$C$46,4&lt;Projects!$C$46+Projects!$D$46),Projects!$B$46*INDEX(Curves!$B$4:$AO$4,1,4-Projects!$C$46+1),0)</f>
        <v>0</v>
      </c>
      <c r="G107">
        <f>IF(AND(Projects!$G$30="Yes",5&gt;=Projects!$C$30,5&lt;Projects!$C$30+Projects!$D$30),Projects!$B$30*INDEX(Curves!$B$4:$AO$4,1,5-Projects!$C$30+1),0)+IF(AND(Projects!$G$31="Yes",5&gt;=Projects!$C$31,5&lt;Projects!$C$31+Projects!$D$31),Projects!$B$31*INDEX(Curves!$B$4:$AO$4,1,5-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$4:$AO$4,1,5-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$4:$AO$4,1,5-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$4:$AO$4,1,5-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$4:$AO$4,1,5-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$4:$AO$4,1,5-Projects!$C$45+1),0)+IF(AND(Projects!$G$46="Yes",5&gt;=Projects!$C$46,5&lt;Projects!$C$46+Projects!$D$46),Projects!$B$46*INDEX(Curves!$B$4:$AO$4,1,5-Projects!$C$46+1),0)</f>
        <v>0</v>
      </c>
      <c r="H107">
        <f>IF(AND(Projects!$G$30="Yes",6&gt;=Projects!$C$30,6&lt;Projects!$C$30+Projects!$D$30),Projects!$B$30*INDEX(Curves!$B$4:$AO$4,1,6-Projects!$C$30+1),0)+IF(AND(Projects!$G$31="Yes",6&gt;=Projects!$C$31,6&lt;Projects!$C$31+Projects!$D$31),Projects!$B$31*INDEX(Curves!$B$4:$AO$4,1,6-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$4:$AO$4,1,6-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$4:$AO$4,1,6-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$4:$AO$4,1,6-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$4:$AO$4,1,6-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$4:$AO$4,1,6-Projects!$C$45+1),0)+IF(AND(Projects!$G$46="Yes",6&gt;=Projects!$C$46,6&lt;Projects!$C$46+Projects!$D$46),Projects!$B$46*INDEX(Curves!$B$4:$AO$4,1,6-Projects!$C$46+1),0)</f>
        <v>0</v>
      </c>
      <c r="I107">
        <f>IF(AND(Projects!$G$30="Yes",7&gt;=Projects!$C$30,7&lt;Projects!$C$30+Projects!$D$30),Projects!$B$30*INDEX(Curves!$B$4:$AO$4,1,7-Projects!$C$30+1),0)+IF(AND(Projects!$G$31="Yes",7&gt;=Projects!$C$31,7&lt;Projects!$C$31+Projects!$D$31),Projects!$B$31*INDEX(Curves!$B$4:$AO$4,1,7-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$4:$AO$4,1,7-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$4:$AO$4,1,7-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$4:$AO$4,1,7-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$4:$AO$4,1,7-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$4:$AO$4,1,7-Projects!$C$45+1),0)+IF(AND(Projects!$G$46="Yes",7&gt;=Projects!$C$46,7&lt;Projects!$C$46+Projects!$D$46),Projects!$B$46*INDEX(Curves!$B$4:$AO$4,1,7-Projects!$C$46+1),0)</f>
        <v>0</v>
      </c>
      <c r="J107">
        <f>IF(AND(Projects!$G$30="Yes",8&gt;=Projects!$C$30,8&lt;Projects!$C$30+Projects!$D$30),Projects!$B$30*INDEX(Curves!$B$4:$AO$4,1,8-Projects!$C$30+1),0)+IF(AND(Projects!$G$31="Yes",8&gt;=Projects!$C$31,8&lt;Projects!$C$31+Projects!$D$31),Projects!$B$31*INDEX(Curves!$B$4:$AO$4,1,8-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$4:$AO$4,1,8-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$4:$AO$4,1,8-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$4:$AO$4,1,8-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$4:$AO$4,1,8-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$4:$AO$4,1,8-Projects!$C$45+1),0)+IF(AND(Projects!$G$46="Yes",8&gt;=Projects!$C$46,8&lt;Projects!$C$46+Projects!$D$46),Projects!$B$46*INDEX(Curves!$B$4:$AO$4,1,8-Projects!$C$46+1),0)</f>
        <v>0</v>
      </c>
      <c r="K107">
        <f>IF(AND(Projects!$G$30="Yes",9&gt;=Projects!$C$30,9&lt;Projects!$C$30+Projects!$D$30),Projects!$B$30*INDEX(Curves!$B$4:$AO$4,1,9-Projects!$C$30+1),0)+IF(AND(Projects!$G$31="Yes",9&gt;=Projects!$C$31,9&lt;Projects!$C$31+Projects!$D$31),Projects!$B$31*INDEX(Curves!$B$4:$AO$4,1,9-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$4:$AO$4,1,9-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$4:$AO$4,1,9-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$4:$AO$4,1,9-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$4:$AO$4,1,9-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$4:$AO$4,1,9-Projects!$C$45+1),0)+IF(AND(Projects!$G$46="Yes",9&gt;=Projects!$C$46,9&lt;Projects!$C$46+Projects!$D$46),Projects!$B$46*INDEX(Curves!$B$4:$AO$4,1,9-Projects!$C$46+1),0)</f>
        <v>0</v>
      </c>
      <c r="L107">
        <f>IF(AND(Projects!$G$30="Yes",10&gt;=Projects!$C$30,10&lt;Projects!$C$30+Projects!$D$30),Projects!$B$30*INDEX(Curves!$B$4:$AO$4,1,10-Projects!$C$30+1),0)+IF(AND(Projects!$G$31="Yes",10&gt;=Projects!$C$31,10&lt;Projects!$C$31+Projects!$D$31),Projects!$B$31*INDEX(Curves!$B$4:$AO$4,1,10-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$4:$AO$4,1,10-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$4:$AO$4,1,10-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$4:$AO$4,1,10-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$4:$AO$4,1,10-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$4:$AO$4,1,10-Projects!$C$45+1),0)+IF(AND(Projects!$G$46="Yes",10&gt;=Projects!$C$46,10&lt;Projects!$C$46+Projects!$D$46),Projects!$B$46*INDEX(Curves!$B$4:$AO$4,1,10-Projects!$C$46+1),0)</f>
        <v>0</v>
      </c>
      <c r="M107">
        <f>IF(AND(Projects!$G$30="Yes",11&gt;=Projects!$C$30,11&lt;Projects!$C$30+Projects!$D$30),Projects!$B$30*INDEX(Curves!$B$4:$AO$4,1,11-Projects!$C$30+1),0)+IF(AND(Projects!$G$31="Yes",11&gt;=Projects!$C$31,11&lt;Projects!$C$31+Projects!$D$31),Projects!$B$31*INDEX(Curves!$B$4:$AO$4,1,11-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$4:$AO$4,1,11-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$4:$AO$4,1,11-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$4:$AO$4,1,11-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$4:$AO$4,1,11-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$4:$AO$4,1,11-Projects!$C$45+1),0)+IF(AND(Projects!$G$46="Yes",11&gt;=Projects!$C$46,11&lt;Projects!$C$46+Projects!$D$46),Projects!$B$46*INDEX(Curves!$B$4:$AO$4,1,11-Projects!$C$46+1),0)</f>
        <v>0</v>
      </c>
      <c r="N107">
        <f>IF(AND(Projects!$G$30="Yes",12&gt;=Projects!$C$30,12&lt;Projects!$C$30+Projects!$D$30),Projects!$B$30*INDEX(Curves!$B$4:$AO$4,1,12-Projects!$C$30+1),0)+IF(AND(Projects!$G$31="Yes",12&gt;=Projects!$C$31,12&lt;Projects!$C$31+Projects!$D$31),Projects!$B$31*INDEX(Curves!$B$4:$AO$4,1,12-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$4:$AO$4,1,12-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$4:$AO$4,1,12-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$4:$AO$4,1,12-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$4:$AO$4,1,12-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$4:$AO$4,1,12-Projects!$C$45+1),0)+IF(AND(Projects!$G$46="Yes",12&gt;=Projects!$C$46,12&lt;Projects!$C$46+Projects!$D$46),Projects!$B$46*INDEX(Curves!$B$4:$AO$4,1,12-Projects!$C$46+1),0)</f>
        <v>0</v>
      </c>
      <c r="O107">
        <f>IF(AND(Projects!$G$30="Yes",13&gt;=Projects!$C$30,13&lt;Projects!$C$30+Projects!$D$30),Projects!$B$30*INDEX(Curves!$B$4:$AO$4,1,13-Projects!$C$30+1),0)+IF(AND(Projects!$G$31="Yes",13&gt;=Projects!$C$31,13&lt;Projects!$C$31+Projects!$D$31),Projects!$B$31*INDEX(Curves!$B$4:$AO$4,1,13-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$4:$AO$4,1,13-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$4:$AO$4,1,13-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$4:$AO$4,1,13-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$4:$AO$4,1,13-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$4:$AO$4,1,13-Projects!$C$45+1),0)+IF(AND(Projects!$G$46="Yes",13&gt;=Projects!$C$46,13&lt;Projects!$C$46+Projects!$D$46),Projects!$B$46*INDEX(Curves!$B$4:$AO$4,1,13-Projects!$C$46+1),0)</f>
        <v>0</v>
      </c>
      <c r="P107">
        <f>IF(AND(Projects!$G$30="Yes",14&gt;=Projects!$C$30,14&lt;Projects!$C$30+Projects!$D$30),Projects!$B$30*INDEX(Curves!$B$4:$AO$4,1,14-Projects!$C$30+1),0)+IF(AND(Projects!$G$31="Yes",14&gt;=Projects!$C$31,14&lt;Projects!$C$31+Projects!$D$31),Projects!$B$31*INDEX(Curves!$B$4:$AO$4,1,14-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$4:$AO$4,1,14-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$4:$AO$4,1,14-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$4:$AO$4,1,14-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$4:$AO$4,1,14-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$4:$AO$4,1,14-Projects!$C$45+1),0)+IF(AND(Projects!$G$46="Yes",14&gt;=Projects!$C$46,14&lt;Projects!$C$46+Projects!$D$46),Projects!$B$46*INDEX(Curves!$B$4:$AO$4,1,14-Projects!$C$46+1),0)</f>
        <v>0</v>
      </c>
      <c r="Q107">
        <f>IF(AND(Projects!$G$30="Yes",15&gt;=Projects!$C$30,15&lt;Projects!$C$30+Projects!$D$30),Projects!$B$30*INDEX(Curves!$B$4:$AO$4,1,15-Projects!$C$30+1),0)+IF(AND(Projects!$G$31="Yes",15&gt;=Projects!$C$31,15&lt;Projects!$C$31+Projects!$D$31),Projects!$B$31*INDEX(Curves!$B$4:$AO$4,1,15-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$4:$AO$4,1,15-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$4:$AO$4,1,15-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$4:$AO$4,1,15-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$4:$AO$4,1,15-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$4:$AO$4,1,15-Projects!$C$45+1),0)+IF(AND(Projects!$G$46="Yes",15&gt;=Projects!$C$46,15&lt;Projects!$C$46+Projects!$D$46),Projects!$B$46*INDEX(Curves!$B$4:$AO$4,1,15-Projects!$C$46+1),0)</f>
        <v>0</v>
      </c>
      <c r="R107">
        <f>IF(AND(Projects!$G$30="Yes",16&gt;=Projects!$C$30,16&lt;Projects!$C$30+Projects!$D$30),Projects!$B$30*INDEX(Curves!$B$4:$AO$4,1,16-Projects!$C$30+1),0)+IF(AND(Projects!$G$31="Yes",16&gt;=Projects!$C$31,16&lt;Projects!$C$31+Projects!$D$31),Projects!$B$31*INDEX(Curves!$B$4:$AO$4,1,16-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$4:$AO$4,1,16-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$4:$AO$4,1,16-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$4:$AO$4,1,16-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$4:$AO$4,1,16-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$4:$AO$4,1,16-Projects!$C$45+1),0)+IF(AND(Projects!$G$46="Yes",16&gt;=Projects!$C$46,16&lt;Projects!$C$46+Projects!$D$46),Projects!$B$46*INDEX(Curves!$B$4:$AO$4,1,16-Projects!$C$46+1),0)</f>
        <v>0</v>
      </c>
      <c r="S107">
        <f>IF(AND(Projects!$G$30="Yes",17&gt;=Projects!$C$30,17&lt;Projects!$C$30+Projects!$D$30),Projects!$B$30*INDEX(Curves!$B$4:$AO$4,1,17-Projects!$C$30+1),0)+IF(AND(Projects!$G$31="Yes",17&gt;=Projects!$C$31,17&lt;Projects!$C$31+Projects!$D$31),Projects!$B$31*INDEX(Curves!$B$4:$AO$4,1,17-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$4:$AO$4,1,17-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$4:$AO$4,1,17-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$4:$AO$4,1,17-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$4:$AO$4,1,17-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$4:$AO$4,1,17-Projects!$C$45+1),0)+IF(AND(Projects!$G$46="Yes",17&gt;=Projects!$C$46,17&lt;Projects!$C$46+Projects!$D$46),Projects!$B$46*INDEX(Curves!$B$4:$AO$4,1,17-Projects!$C$46+1),0)</f>
        <v>0</v>
      </c>
      <c r="T107">
        <f>IF(AND(Projects!$G$30="Yes",18&gt;=Projects!$C$30,18&lt;Projects!$C$30+Projects!$D$30),Projects!$B$30*INDEX(Curves!$B$4:$AO$4,1,18-Projects!$C$30+1),0)+IF(AND(Projects!$G$31="Yes",18&gt;=Projects!$C$31,18&lt;Projects!$C$31+Projects!$D$31),Projects!$B$31*INDEX(Curves!$B$4:$AO$4,1,18-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$4:$AO$4,1,18-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$4:$AO$4,1,18-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$4:$AO$4,1,18-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$4:$AO$4,1,18-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$4:$AO$4,1,18-Projects!$C$45+1),0)+IF(AND(Projects!$G$46="Yes",18&gt;=Projects!$C$46,18&lt;Projects!$C$46+Projects!$D$46),Projects!$B$46*INDEX(Curves!$B$4:$AO$4,1,18-Projects!$C$46+1),0)</f>
        <v>0</v>
      </c>
      <c r="U107">
        <f>IF(AND(Projects!$G$30="Yes",19&gt;=Projects!$C$30,19&lt;Projects!$C$30+Projects!$D$30),Projects!$B$30*INDEX(Curves!$B$4:$AO$4,1,19-Projects!$C$30+1),0)+IF(AND(Projects!$G$31="Yes",19&gt;=Projects!$C$31,19&lt;Projects!$C$31+Projects!$D$31),Projects!$B$31*INDEX(Curves!$B$4:$AO$4,1,19-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$4:$AO$4,1,19-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$4:$AO$4,1,19-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$4:$AO$4,1,19-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$4:$AO$4,1,19-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$4:$AO$4,1,19-Projects!$C$45+1),0)+IF(AND(Projects!$G$46="Yes",19&gt;=Projects!$C$46,19&lt;Projects!$C$46+Projects!$D$46),Projects!$B$46*INDEX(Curves!$B$4:$AO$4,1,19-Projects!$C$46+1),0)</f>
        <v>0</v>
      </c>
      <c r="V107">
        <f>IF(AND(Projects!$G$30="Yes",20&gt;=Projects!$C$30,20&lt;Projects!$C$30+Projects!$D$30),Projects!$B$30*INDEX(Curves!$B$4:$AO$4,1,20-Projects!$C$30+1),0)+IF(AND(Projects!$G$31="Yes",20&gt;=Projects!$C$31,20&lt;Projects!$C$31+Projects!$D$31),Projects!$B$31*INDEX(Curves!$B$4:$AO$4,1,20-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$4:$AO$4,1,20-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$4:$AO$4,1,20-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$4:$AO$4,1,20-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$4:$AO$4,1,20-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$4:$AO$4,1,20-Projects!$C$45+1),0)+IF(AND(Projects!$G$46="Yes",20&gt;=Projects!$C$46,20&lt;Projects!$C$46+Projects!$D$46),Projects!$B$46*INDEX(Curves!$B$4:$AO$4,1,20-Projects!$C$46+1),0)</f>
        <v>0</v>
      </c>
      <c r="W107">
        <f>IF(AND(Projects!$G$30="Yes",21&gt;=Projects!$C$30,21&lt;Projects!$C$30+Projects!$D$30),Projects!$B$30*INDEX(Curves!$B$4:$AO$4,1,21-Projects!$C$30+1),0)+IF(AND(Projects!$G$31="Yes",21&gt;=Projects!$C$31,21&lt;Projects!$C$31+Projects!$D$31),Projects!$B$31*INDEX(Curves!$B$4:$AO$4,1,21-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$4:$AO$4,1,21-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$4:$AO$4,1,21-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$4:$AO$4,1,21-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$4:$AO$4,1,21-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$4:$AO$4,1,21-Projects!$C$45+1),0)+IF(AND(Projects!$G$46="Yes",21&gt;=Projects!$C$46,21&lt;Projects!$C$46+Projects!$D$46),Projects!$B$46*INDEX(Curves!$B$4:$AO$4,1,21-Projects!$C$46+1),0)</f>
        <v>0</v>
      </c>
      <c r="X107">
        <f>IF(AND(Projects!$G$30="Yes",22&gt;=Projects!$C$30,22&lt;Projects!$C$30+Projects!$D$30),Projects!$B$30*INDEX(Curves!$B$4:$AO$4,1,22-Projects!$C$30+1),0)+IF(AND(Projects!$G$31="Yes",22&gt;=Projects!$C$31,22&lt;Projects!$C$31+Projects!$D$31),Projects!$B$31*INDEX(Curves!$B$4:$AO$4,1,22-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$4:$AO$4,1,22-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$4:$AO$4,1,22-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$4:$AO$4,1,22-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$4:$AO$4,1,22-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$4:$AO$4,1,22-Projects!$C$45+1),0)+IF(AND(Projects!$G$46="Yes",22&gt;=Projects!$C$46,22&lt;Projects!$C$46+Projects!$D$46),Projects!$B$46*INDEX(Curves!$B$4:$AO$4,1,22-Projects!$C$46+1),0)</f>
        <v>0</v>
      </c>
      <c r="Y107">
        <f>IF(AND(Projects!$G$30="Yes",23&gt;=Projects!$C$30,23&lt;Projects!$C$30+Projects!$D$30),Projects!$B$30*INDEX(Curves!$B$4:$AO$4,1,23-Projects!$C$30+1),0)+IF(AND(Projects!$G$31="Yes",23&gt;=Projects!$C$31,23&lt;Projects!$C$31+Projects!$D$31),Projects!$B$31*INDEX(Curves!$B$4:$AO$4,1,23-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$4:$AO$4,1,23-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$4:$AO$4,1,23-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$4:$AO$4,1,23-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$4:$AO$4,1,23-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$4:$AO$4,1,23-Projects!$C$45+1),0)+IF(AND(Projects!$G$46="Yes",23&gt;=Projects!$C$46,23&lt;Projects!$C$46+Projects!$D$46),Projects!$B$46*INDEX(Curves!$B$4:$AO$4,1,23-Projects!$C$46+1),0)</f>
        <v>0</v>
      </c>
      <c r="Z107">
        <f>IF(AND(Projects!$G$30="Yes",24&gt;=Projects!$C$30,24&lt;Projects!$C$30+Projects!$D$30),Projects!$B$30*INDEX(Curves!$B$4:$AO$4,1,24-Projects!$C$30+1),0)+IF(AND(Projects!$G$31="Yes",24&gt;=Projects!$C$31,24&lt;Projects!$C$31+Projects!$D$31),Projects!$B$31*INDEX(Curves!$B$4:$AO$4,1,24-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$4:$AO$4,1,24-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$4:$AO$4,1,24-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$4:$AO$4,1,24-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$4:$AO$4,1,24-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$4:$AO$4,1,24-Projects!$C$45+1),0)+IF(AND(Projects!$G$46="Yes",24&gt;=Projects!$C$46,24&lt;Projects!$C$46+Projects!$D$46),Projects!$B$46*INDEX(Curves!$B$4:$AO$4,1,24-Projects!$C$46+1),0)</f>
        <v>0</v>
      </c>
      <c r="AA107">
        <f>IF(AND(Projects!$G$30="Yes",25&gt;=Projects!$C$30,25&lt;Projects!$C$30+Projects!$D$30),Projects!$B$30*INDEX(Curves!$B$4:$AO$4,1,25-Projects!$C$30+1),0)+IF(AND(Projects!$G$31="Yes",25&gt;=Projects!$C$31,25&lt;Projects!$C$31+Projects!$D$31),Projects!$B$31*INDEX(Curves!$B$4:$AO$4,1,25-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$4:$AO$4,1,25-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$4:$AO$4,1,25-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$4:$AO$4,1,25-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$4:$AO$4,1,25-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$4:$AO$4,1,25-Projects!$C$45+1),0)+IF(AND(Projects!$G$46="Yes",25&gt;=Projects!$C$46,25&lt;Projects!$C$46+Projects!$D$46),Projects!$B$46*INDEX(Curves!$B$4:$AO$4,1,25-Projects!$C$46+1),0)</f>
        <v>0</v>
      </c>
      <c r="AB107">
        <f>IF(AND(Projects!$G$30="Yes",26&gt;=Projects!$C$30,26&lt;Projects!$C$30+Projects!$D$30),Projects!$B$30*INDEX(Curves!$B$4:$AO$4,1,26-Projects!$C$30+1),0)+IF(AND(Projects!$G$31="Yes",26&gt;=Projects!$C$31,26&lt;Projects!$C$31+Projects!$D$31),Projects!$B$31*INDEX(Curves!$B$4:$AO$4,1,26-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$4:$AO$4,1,26-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$4:$AO$4,1,26-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$4:$AO$4,1,26-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$4:$AO$4,1,26-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$4:$AO$4,1,26-Projects!$C$45+1),0)+IF(AND(Projects!$G$46="Yes",26&gt;=Projects!$C$46,26&lt;Projects!$C$46+Projects!$D$46),Projects!$B$46*INDEX(Curves!$B$4:$AO$4,1,26-Projects!$C$46+1),0)</f>
        <v>0</v>
      </c>
      <c r="AC107">
        <f>IF(AND(Projects!$G$30="Yes",27&gt;=Projects!$C$30,27&lt;Projects!$C$30+Projects!$D$30),Projects!$B$30*INDEX(Curves!$B$4:$AO$4,1,27-Projects!$C$30+1),0)+IF(AND(Projects!$G$31="Yes",27&gt;=Projects!$C$31,27&lt;Projects!$C$31+Projects!$D$31),Projects!$B$31*INDEX(Curves!$B$4:$AO$4,1,27-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$4:$AO$4,1,27-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$4:$AO$4,1,27-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$4:$AO$4,1,27-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$4:$AO$4,1,27-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$4:$AO$4,1,27-Projects!$C$45+1),0)+IF(AND(Projects!$G$46="Yes",27&gt;=Projects!$C$46,27&lt;Projects!$C$46+Projects!$D$46),Projects!$B$46*INDEX(Curves!$B$4:$AO$4,1,27-Projects!$C$46+1),0)</f>
        <v>0</v>
      </c>
      <c r="AD107">
        <f>IF(AND(Projects!$G$30="Yes",28&gt;=Projects!$C$30,28&lt;Projects!$C$30+Projects!$D$30),Projects!$B$30*INDEX(Curves!$B$4:$AO$4,1,28-Projects!$C$30+1),0)+IF(AND(Projects!$G$31="Yes",28&gt;=Projects!$C$31,28&lt;Projects!$C$31+Projects!$D$31),Projects!$B$31*INDEX(Curves!$B$4:$AO$4,1,28-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$4:$AO$4,1,28-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$4:$AO$4,1,28-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$4:$AO$4,1,28-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$4:$AO$4,1,28-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$4:$AO$4,1,28-Projects!$C$45+1),0)+IF(AND(Projects!$G$46="Yes",28&gt;=Projects!$C$46,28&lt;Projects!$C$46+Projects!$D$46),Projects!$B$46*INDEX(Curves!$B$4:$AO$4,1,28-Projects!$C$46+1),0)</f>
        <v>0</v>
      </c>
      <c r="AE107">
        <f>IF(AND(Projects!$G$30="Yes",29&gt;=Projects!$C$30,29&lt;Projects!$C$30+Projects!$D$30),Projects!$B$30*INDEX(Curves!$B$4:$AO$4,1,29-Projects!$C$30+1),0)+IF(AND(Projects!$G$31="Yes",29&gt;=Projects!$C$31,29&lt;Projects!$C$31+Projects!$D$31),Projects!$B$31*INDEX(Curves!$B$4:$AO$4,1,29-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$4:$AO$4,1,29-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$4:$AO$4,1,29-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$4:$AO$4,1,29-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$4:$AO$4,1,29-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$4:$AO$4,1,29-Projects!$C$45+1),0)+IF(AND(Projects!$G$46="Yes",29&gt;=Projects!$C$46,29&lt;Projects!$C$46+Projects!$D$46),Projects!$B$46*INDEX(Curves!$B$4:$AO$4,1,29-Projects!$C$46+1),0)</f>
        <v>0</v>
      </c>
      <c r="AF107">
        <f>IF(AND(Projects!$G$30="Yes",30&gt;=Projects!$C$30,30&lt;Projects!$C$30+Projects!$D$30),Projects!$B$30*INDEX(Curves!$B$4:$AO$4,1,30-Projects!$C$30+1),0)+IF(AND(Projects!$G$31="Yes",30&gt;=Projects!$C$31,30&lt;Projects!$C$31+Projects!$D$31),Projects!$B$31*INDEX(Curves!$B$4:$AO$4,1,30-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$4:$AO$4,1,30-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$4:$AO$4,1,30-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$4:$AO$4,1,30-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$4:$AO$4,1,30-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$4:$AO$4,1,30-Projects!$C$45+1),0)+IF(AND(Projects!$G$46="Yes",30&gt;=Projects!$C$46,30&lt;Projects!$C$46+Projects!$D$46),Projects!$B$46*INDEX(Curves!$B$4:$AO$4,1,30-Projects!$C$46+1),0)</f>
        <v>0</v>
      </c>
      <c r="AG107">
        <f>IF(AND(Projects!$G$30="Yes",31&gt;=Projects!$C$30,31&lt;Projects!$C$30+Projects!$D$30),Projects!$B$30*INDEX(Curves!$B$4:$AO$4,1,31-Projects!$C$30+1),0)+IF(AND(Projects!$G$31="Yes",31&gt;=Projects!$C$31,31&lt;Projects!$C$31+Projects!$D$31),Projects!$B$31*INDEX(Curves!$B$4:$AO$4,1,31-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$4:$AO$4,1,31-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$4:$AO$4,1,31-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$4:$AO$4,1,31-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$4:$AO$4,1,31-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$4:$AO$4,1,31-Projects!$C$45+1),0)+IF(AND(Projects!$G$46="Yes",31&gt;=Projects!$C$46,31&lt;Projects!$C$46+Projects!$D$46),Projects!$B$46*INDEX(Curves!$B$4:$AO$4,1,31-Projects!$C$46+1),0)</f>
        <v>0</v>
      </c>
      <c r="AH107">
        <f>IF(AND(Projects!$G$30="Yes",32&gt;=Projects!$C$30,32&lt;Projects!$C$30+Projects!$D$30),Projects!$B$30*INDEX(Curves!$B$4:$AO$4,1,32-Projects!$C$30+1),0)+IF(AND(Projects!$G$31="Yes",32&gt;=Projects!$C$31,32&lt;Projects!$C$31+Projects!$D$31),Projects!$B$31*INDEX(Curves!$B$4:$AO$4,1,32-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$4:$AO$4,1,32-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$4:$AO$4,1,32-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$4:$AO$4,1,32-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$4:$AO$4,1,32-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$4:$AO$4,1,32-Projects!$C$45+1),0)+IF(AND(Projects!$G$46="Yes",32&gt;=Projects!$C$46,32&lt;Projects!$C$46+Projects!$D$46),Projects!$B$46*INDEX(Curves!$B$4:$AO$4,1,32-Projects!$C$46+1),0)</f>
        <v>0</v>
      </c>
      <c r="AI107">
        <f>IF(AND(Projects!$G$30="Yes",33&gt;=Projects!$C$30,33&lt;Projects!$C$30+Projects!$D$30),Projects!$B$30*INDEX(Curves!$B$4:$AO$4,1,33-Projects!$C$30+1),0)+IF(AND(Projects!$G$31="Yes",33&gt;=Projects!$C$31,33&lt;Projects!$C$31+Projects!$D$31),Projects!$B$31*INDEX(Curves!$B$4:$AO$4,1,33-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$4:$AO$4,1,33-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$4:$AO$4,1,33-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$4:$AO$4,1,33-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$4:$AO$4,1,33-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$4:$AO$4,1,33-Projects!$C$45+1),0)+IF(AND(Projects!$G$46="Yes",33&gt;=Projects!$C$46,33&lt;Projects!$C$46+Projects!$D$46),Projects!$B$46*INDEX(Curves!$B$4:$AO$4,1,33-Projects!$C$46+1),0)</f>
        <v>0</v>
      </c>
      <c r="AJ107">
        <f>IF(AND(Projects!$G$30="Yes",34&gt;=Projects!$C$30,34&lt;Projects!$C$30+Projects!$D$30),Projects!$B$30*INDEX(Curves!$B$4:$AO$4,1,34-Projects!$C$30+1),0)+IF(AND(Projects!$G$31="Yes",34&gt;=Projects!$C$31,34&lt;Projects!$C$31+Projects!$D$31),Projects!$B$31*INDEX(Curves!$B$4:$AO$4,1,34-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$4:$AO$4,1,34-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$4:$AO$4,1,34-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$4:$AO$4,1,34-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$4:$AO$4,1,34-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$4:$AO$4,1,34-Projects!$C$45+1),0)+IF(AND(Projects!$G$46="Yes",34&gt;=Projects!$C$46,34&lt;Projects!$C$46+Projects!$D$46),Projects!$B$46*INDEX(Curves!$B$4:$AO$4,1,34-Projects!$C$46+1),0)</f>
        <v>0</v>
      </c>
      <c r="AK107">
        <f>IF(AND(Projects!$G$30="Yes",35&gt;=Projects!$C$30,35&lt;Projects!$C$30+Projects!$D$30),Projects!$B$30*INDEX(Curves!$B$4:$AO$4,1,35-Projects!$C$30+1),0)+IF(AND(Projects!$G$31="Yes",35&gt;=Projects!$C$31,35&lt;Projects!$C$31+Projects!$D$31),Projects!$B$31*INDEX(Curves!$B$4:$AO$4,1,35-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$4:$AO$4,1,35-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$4:$AO$4,1,35-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$4:$AO$4,1,35-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$4:$AO$4,1,35-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$4:$AO$4,1,35-Projects!$C$45+1),0)+IF(AND(Projects!$G$46="Yes",35&gt;=Projects!$C$46,35&lt;Projects!$C$46+Projects!$D$46),Projects!$B$46*INDEX(Curves!$B$4:$AO$4,1,35-Projects!$C$46+1),0)</f>
        <v>0</v>
      </c>
      <c r="AL107">
        <f>IF(AND(Projects!$G$30="Yes",36&gt;=Projects!$C$30,36&lt;Projects!$C$30+Projects!$D$30),Projects!$B$30*INDEX(Curves!$B$4:$AO$4,1,36-Projects!$C$30+1),0)+IF(AND(Projects!$G$31="Yes",36&gt;=Projects!$C$31,36&lt;Projects!$C$31+Projects!$D$31),Projects!$B$31*INDEX(Curves!$B$4:$AO$4,1,36-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$4:$AO$4,1,36-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$4:$AO$4,1,36-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$4:$AO$4,1,36-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$4:$AO$4,1,36-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$4:$AO$4,1,36-Projects!$C$45+1),0)+IF(AND(Projects!$G$46="Yes",36&gt;=Projects!$C$46,36&lt;Projects!$C$46+Projects!$D$46),Projects!$B$46*INDEX(Curves!$B$4:$AO$4,1,36-Projects!$C$46+1),0)</f>
        <v>0</v>
      </c>
      <c r="AM107">
        <f>IF(AND(Projects!$G$30="Yes",37&gt;=Projects!$C$30,37&lt;Projects!$C$30+Projects!$D$30),Projects!$B$30*INDEX(Curves!$B$4:$AO$4,1,37-Projects!$C$30+1),0)+IF(AND(Projects!$G$31="Yes",37&gt;=Projects!$C$31,37&lt;Projects!$C$31+Projects!$D$31),Projects!$B$31*INDEX(Curves!$B$4:$AO$4,1,37-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$4:$AO$4,1,37-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$4:$AO$4,1,37-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$4:$AO$4,1,37-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$4:$AO$4,1,37-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$4:$AO$4,1,37-Projects!$C$45+1),0)+IF(AND(Projects!$G$46="Yes",37&gt;=Projects!$C$46,37&lt;Projects!$C$46+Projects!$D$46),Projects!$B$46*INDEX(Curves!$B$4:$AO$4,1,37-Projects!$C$46+1),0)</f>
        <v>0</v>
      </c>
      <c r="AN107">
        <f>IF(AND(Projects!$G$30="Yes",38&gt;=Projects!$C$30,38&lt;Projects!$C$30+Projects!$D$30),Projects!$B$30*INDEX(Curves!$B$4:$AO$4,1,38-Projects!$C$30+1),0)+IF(AND(Projects!$G$31="Yes",38&gt;=Projects!$C$31,38&lt;Projects!$C$31+Projects!$D$31),Projects!$B$31*INDEX(Curves!$B$4:$AO$4,1,38-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$4:$AO$4,1,38-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$4:$AO$4,1,38-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$4:$AO$4,1,38-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$4:$AO$4,1,38-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$4:$AO$4,1,38-Projects!$C$45+1),0)+IF(AND(Projects!$G$46="Yes",38&gt;=Projects!$C$46,38&lt;Projects!$C$46+Projects!$D$46),Projects!$B$46*INDEX(Curves!$B$4:$AO$4,1,38-Projects!$C$46+1),0)</f>
        <v>0</v>
      </c>
      <c r="AO107">
        <f>IF(AND(Projects!$G$30="Yes",39&gt;=Projects!$C$30,39&lt;Projects!$C$30+Projects!$D$30),Projects!$B$30*INDEX(Curves!$B$4:$AO$4,1,39-Projects!$C$30+1),0)+IF(AND(Projects!$G$31="Yes",39&gt;=Projects!$C$31,39&lt;Projects!$C$31+Projects!$D$31),Projects!$B$31*INDEX(Curves!$B$4:$AO$4,1,39-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$4:$AO$4,1,39-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$4:$AO$4,1,39-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$4:$AO$4,1,39-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$4:$AO$4,1,39-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$4:$AO$4,1,39-Projects!$C$45+1),0)+IF(AND(Projects!$G$46="Yes",39&gt;=Projects!$C$46,39&lt;Projects!$C$46+Projects!$D$46),Projects!$B$46*INDEX(Curves!$B$4:$AO$4,1,39-Projects!$C$46+1),0)</f>
        <v>0</v>
      </c>
      <c r="AP107">
        <f>IF(AND(Projects!$G$30="Yes",40&gt;=Projects!$C$30,40&lt;Projects!$C$30+Projects!$D$30),Projects!$B$30*INDEX(Curves!$B$4:$AO$4,1,40-Projects!$C$30+1),0)+IF(AND(Projects!$G$31="Yes",40&gt;=Projects!$C$31,40&lt;Projects!$C$31+Projects!$D$31),Projects!$B$31*INDEX(Curves!$B$4:$AO$4,1,40-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$4:$AO$4,1,40-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$4:$AO$4,1,40-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$4:$AO$4,1,40-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$4:$AO$4,1,40-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$4:$AO$4,1,40-Projects!$C$45+1),0)+IF(AND(Projects!$G$46="Yes",40&gt;=Projects!$C$46,40&lt;Projects!$C$46+Projects!$D$46),Projects!$B$46*INDEX(Curves!$B$4:$AO$4,1,40-Projects!$C$46+1),0)</f>
        <v>0</v>
      </c>
      <c r="AQ107">
        <f>IF(AND(Projects!$G$30="Yes",41&gt;=Projects!$C$30,41&lt;Projects!$C$30+Projects!$D$30),Projects!$B$30*INDEX(Curves!$B$4:$AO$4,1,41-Projects!$C$30+1),0)+IF(AND(Projects!$G$31="Yes",41&gt;=Projects!$C$31,41&lt;Projects!$C$31+Projects!$D$31),Projects!$B$31*INDEX(Curves!$B$4:$AO$4,1,41-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$4:$AO$4,1,41-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$4:$AO$4,1,41-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$4:$AO$4,1,41-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$4:$AO$4,1,41-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$4:$AO$4,1,41-Projects!$C$45+1),0)+IF(AND(Projects!$G$46="Yes",41&gt;=Projects!$C$46,41&lt;Projects!$C$46+Projects!$D$46),Projects!$B$46*INDEX(Curves!$B$4:$AO$4,1,41-Projects!$C$46+1),0)</f>
        <v>0</v>
      </c>
      <c r="AR107">
        <f>IF(AND(Projects!$G$30="Yes",42&gt;=Projects!$C$30,42&lt;Projects!$C$30+Projects!$D$30),Projects!$B$30*INDEX(Curves!$B$4:$AO$4,1,42-Projects!$C$30+1),0)+IF(AND(Projects!$G$31="Yes",42&gt;=Projects!$C$31,42&lt;Projects!$C$31+Projects!$D$31),Projects!$B$31*INDEX(Curves!$B$4:$AO$4,1,42-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$4:$AO$4,1,42-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$4:$AO$4,1,42-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$4:$AO$4,1,42-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$4:$AO$4,1,42-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$4:$AO$4,1,42-Projects!$C$45+1),0)+IF(AND(Projects!$G$46="Yes",42&gt;=Projects!$C$46,42&lt;Projects!$C$46+Projects!$D$46),Projects!$B$46*INDEX(Curves!$B$4:$AO$4,1,42-Projects!$C$46+1),0)</f>
        <v>0</v>
      </c>
      <c r="AS107">
        <f>IF(AND(Projects!$G$30="Yes",43&gt;=Projects!$C$30,43&lt;Projects!$C$30+Projects!$D$30),Projects!$B$30*INDEX(Curves!$B$4:$AO$4,1,43-Projects!$C$30+1),0)+IF(AND(Projects!$G$31="Yes",43&gt;=Projects!$C$31,43&lt;Projects!$C$31+Projects!$D$31),Projects!$B$31*INDEX(Curves!$B$4:$AO$4,1,43-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$4:$AO$4,1,43-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$4:$AO$4,1,43-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$4:$AO$4,1,43-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$4:$AO$4,1,43-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$4:$AO$4,1,43-Projects!$C$45+1),0)+IF(AND(Projects!$G$46="Yes",43&gt;=Projects!$C$46,43&lt;Projects!$C$46+Projects!$D$46),Projects!$B$46*INDEX(Curves!$B$4:$AO$4,1,43-Projects!$C$46+1),0)</f>
        <v>0</v>
      </c>
      <c r="AT107">
        <f>IF(AND(Projects!$G$30="Yes",44&gt;=Projects!$C$30,44&lt;Projects!$C$30+Projects!$D$30),Projects!$B$30*INDEX(Curves!$B$4:$AO$4,1,44-Projects!$C$30+1),0)+IF(AND(Projects!$G$31="Yes",44&gt;=Projects!$C$31,44&lt;Projects!$C$31+Projects!$D$31),Projects!$B$31*INDEX(Curves!$B$4:$AO$4,1,44-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$4:$AO$4,1,44-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$4:$AO$4,1,44-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$4:$AO$4,1,44-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$4:$AO$4,1,44-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$4:$AO$4,1,44-Projects!$C$45+1),0)+IF(AND(Projects!$G$46="Yes",44&gt;=Projects!$C$46,44&lt;Projects!$C$46+Projects!$D$46),Projects!$B$46*INDEX(Curves!$B$4:$AO$4,1,44-Projects!$C$46+1),0)</f>
        <v>0</v>
      </c>
      <c r="AU107">
        <f>IF(AND(Projects!$G$30="Yes",45&gt;=Projects!$C$30,45&lt;Projects!$C$30+Projects!$D$30),Projects!$B$30*INDEX(Curves!$B$4:$AO$4,1,45-Projects!$C$30+1),0)+IF(AND(Projects!$G$31="Yes",45&gt;=Projects!$C$31,45&lt;Projects!$C$31+Projects!$D$31),Projects!$B$31*INDEX(Curves!$B$4:$AO$4,1,45-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$4:$AO$4,1,45-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$4:$AO$4,1,45-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$4:$AO$4,1,45-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$4:$AO$4,1,45-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$4:$AO$4,1,45-Projects!$C$45+1),0)+IF(AND(Projects!$G$46="Yes",45&gt;=Projects!$C$46,45&lt;Projects!$C$46+Projects!$D$46),Projects!$B$46*INDEX(Curves!$B$4:$AO$4,1,45-Projects!$C$46+1),0)</f>
        <v>0</v>
      </c>
      <c r="AV107">
        <f>IF(AND(Projects!$G$30="Yes",46&gt;=Projects!$C$30,46&lt;Projects!$C$30+Projects!$D$30),Projects!$B$30*INDEX(Curves!$B$4:$AO$4,1,46-Projects!$C$30+1),0)+IF(AND(Projects!$G$31="Yes",46&gt;=Projects!$C$31,46&lt;Projects!$C$31+Projects!$D$31),Projects!$B$31*INDEX(Curves!$B$4:$AO$4,1,46-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$4:$AO$4,1,46-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$4:$AO$4,1,46-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$4:$AO$4,1,46-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$4:$AO$4,1,46-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$4:$AO$4,1,46-Projects!$C$45+1),0)+IF(AND(Projects!$G$46="Yes",46&gt;=Projects!$C$46,46&lt;Projects!$C$46+Projects!$D$46),Projects!$B$46*INDEX(Curves!$B$4:$AO$4,1,46-Projects!$C$46+1),0)</f>
        <v>0</v>
      </c>
      <c r="AW107">
        <f>IF(AND(Projects!$G$30="Yes",47&gt;=Projects!$C$30,47&lt;Projects!$C$30+Projects!$D$30),Projects!$B$30*INDEX(Curves!$B$4:$AO$4,1,47-Projects!$C$30+1),0)+IF(AND(Projects!$G$31="Yes",47&gt;=Projects!$C$31,47&lt;Projects!$C$31+Projects!$D$31),Projects!$B$31*INDEX(Curves!$B$4:$AO$4,1,47-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$4:$AO$4,1,47-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$4:$AO$4,1,47-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$4:$AO$4,1,47-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$4:$AO$4,1,47-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$4:$AO$4,1,47-Projects!$C$45+1),0)+IF(AND(Projects!$G$46="Yes",47&gt;=Projects!$C$46,47&lt;Projects!$C$46+Projects!$D$46),Projects!$B$46*INDEX(Curves!$B$4:$AO$4,1,47-Projects!$C$46+1),0)</f>
        <v>0</v>
      </c>
      <c r="AX107">
        <f>IF(AND(Projects!$G$30="Yes",48&gt;=Projects!$C$30,48&lt;Projects!$C$30+Projects!$D$30),Projects!$B$30*INDEX(Curves!$B$4:$AO$4,1,48-Projects!$C$30+1),0)+IF(AND(Projects!$G$31="Yes",48&gt;=Projects!$C$31,48&lt;Projects!$C$31+Projects!$D$31),Projects!$B$31*INDEX(Curves!$B$4:$AO$4,1,48-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$4:$AO$4,1,48-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$4:$AO$4,1,48-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$4:$AO$4,1,48-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$4:$AO$4,1,48-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$4:$AO$4,1,48-Projects!$C$45+1),0)+IF(AND(Projects!$G$46="Yes",48&gt;=Projects!$C$46,48&lt;Projects!$C$46+Projects!$D$46),Projects!$B$46*INDEX(Curves!$B$4:$AO$4,1,48-Projects!$C$46+1),0)</f>
        <v>0</v>
      </c>
      <c r="AY107">
        <f>IF(AND(Projects!$G$30="Yes",49&gt;=Projects!$C$30,49&lt;Projects!$C$30+Projects!$D$30),Projects!$B$30*INDEX(Curves!$B$4:$AO$4,1,49-Projects!$C$30+1),0)+IF(AND(Projects!$G$31="Yes",49&gt;=Projects!$C$31,49&lt;Projects!$C$31+Projects!$D$31),Projects!$B$31*INDEX(Curves!$B$4:$AO$4,1,49-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$4:$AO$4,1,49-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$4:$AO$4,1,49-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$4:$AO$4,1,49-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$4:$AO$4,1,49-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$4:$AO$4,1,49-Projects!$C$45+1),0)+IF(AND(Projects!$G$46="Yes",49&gt;=Projects!$C$46,49&lt;Projects!$C$46+Projects!$D$46),Projects!$B$46*INDEX(Curves!$B$4:$AO$4,1,49-Projects!$C$46+1),0)</f>
        <v>0</v>
      </c>
      <c r="AZ107">
        <f>IF(AND(Projects!$G$30="Yes",50&gt;=Projects!$C$30,50&lt;Projects!$C$30+Projects!$D$30),Projects!$B$30*INDEX(Curves!$B$4:$AO$4,1,50-Projects!$C$30+1),0)+IF(AND(Projects!$G$31="Yes",50&gt;=Projects!$C$31,50&lt;Projects!$C$31+Projects!$D$31),Projects!$B$31*INDEX(Curves!$B$4:$AO$4,1,50-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$4:$AO$4,1,50-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$4:$AO$4,1,50-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$4:$AO$4,1,50-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$4:$AO$4,1,50-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$4:$AO$4,1,50-Projects!$C$45+1),0)+IF(AND(Projects!$G$46="Yes",50&gt;=Projects!$C$46,50&lt;Projects!$C$46+Projects!$D$46),Projects!$B$46*INDEX(Curves!$B$4:$AO$4,1,50-Projects!$C$46+1),0)</f>
        <v>0</v>
      </c>
      <c r="BA107">
        <f>IF(AND(Projects!$G$30="Yes",51&gt;=Projects!$C$30,51&lt;Projects!$C$30+Projects!$D$30),Projects!$B$30*INDEX(Curves!$B$4:$AO$4,1,51-Projects!$C$30+1),0)+IF(AND(Projects!$G$31="Yes",51&gt;=Projects!$C$31,51&lt;Projects!$C$31+Projects!$D$31),Projects!$B$31*INDEX(Curves!$B$4:$AO$4,1,51-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$4:$AO$4,1,51-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$4:$AO$4,1,51-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$4:$AO$4,1,51-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$4:$AO$4,1,51-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$4:$AO$4,1,51-Projects!$C$45+1),0)+IF(AND(Projects!$G$46="Yes",51&gt;=Projects!$C$46,51&lt;Projects!$C$46+Projects!$D$46),Projects!$B$46*INDEX(Curves!$B$4:$AO$4,1,51-Projects!$C$46+1),0)</f>
        <v>0</v>
      </c>
      <c r="BB107">
        <f>IF(AND(Projects!$G$30="Yes",52&gt;=Projects!$C$30,52&lt;Projects!$C$30+Projects!$D$30),Projects!$B$30*INDEX(Curves!$B$4:$AO$4,1,52-Projects!$C$30+1),0)+IF(AND(Projects!$G$31="Yes",52&gt;=Projects!$C$31,52&lt;Projects!$C$31+Projects!$D$31),Projects!$B$31*INDEX(Curves!$B$4:$AO$4,1,52-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$4:$AO$4,1,52-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$4:$AO$4,1,52-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$4:$AO$4,1,52-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$4:$AO$4,1,52-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$4:$AO$4,1,52-Projects!$C$45+1),0)+IF(AND(Projects!$G$46="Yes",52&gt;=Projects!$C$46,52&lt;Projects!$C$46+Projects!$D$46),Projects!$B$46*INDEX(Curves!$B$4:$AO$4,1,52-Projects!$C$46+1),0)</f>
        <v>0</v>
      </c>
      <c r="BC107">
        <f>IF(AND(Projects!$G$30="Yes",53&gt;=Projects!$C$30,53&lt;Projects!$C$30+Projects!$D$30),Projects!$B$30*INDEX(Curves!$B$4:$AO$4,1,53-Projects!$C$30+1),0)+IF(AND(Projects!$G$31="Yes",53&gt;=Projects!$C$31,53&lt;Projects!$C$31+Projects!$D$31),Projects!$B$31*INDEX(Curves!$B$4:$AO$4,1,53-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$4:$AO$4,1,53-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$4:$AO$4,1,53-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$4:$AO$4,1,53-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$4:$AO$4,1,53-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$4:$AO$4,1,53-Projects!$C$45+1),0)+IF(AND(Projects!$G$46="Yes",53&gt;=Projects!$C$46,53&lt;Projects!$C$46+Projects!$D$46),Projects!$B$46*INDEX(Curves!$B$4:$AO$4,1,53-Projects!$C$46+1),0)</f>
        <v>0</v>
      </c>
      <c r="BD107">
        <f>IF(AND(Projects!$G$30="Yes",54&gt;=Projects!$C$30,54&lt;Projects!$C$30+Projects!$D$30),Projects!$B$30*INDEX(Curves!$B$4:$AO$4,1,54-Projects!$C$30+1),0)+IF(AND(Projects!$G$31="Yes",54&gt;=Projects!$C$31,54&lt;Projects!$C$31+Projects!$D$31),Projects!$B$31*INDEX(Curves!$B$4:$AO$4,1,54-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$4:$AO$4,1,54-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$4:$AO$4,1,54-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$4:$AO$4,1,54-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$4:$AO$4,1,54-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$4:$AO$4,1,54-Projects!$C$45+1),0)+IF(AND(Projects!$G$46="Yes",54&gt;=Projects!$C$46,54&lt;Projects!$C$46+Projects!$D$46),Projects!$B$46*INDEX(Curves!$B$4:$AO$4,1,54-Projects!$C$46+1),0)</f>
        <v>0</v>
      </c>
      <c r="BE107">
        <f>IF(AND(Projects!$G$30="Yes",55&gt;=Projects!$C$30,55&lt;Projects!$C$30+Projects!$D$30),Projects!$B$30*INDEX(Curves!$B$4:$AO$4,1,55-Projects!$C$30+1),0)+IF(AND(Projects!$G$31="Yes",55&gt;=Projects!$C$31,55&lt;Projects!$C$31+Projects!$D$31),Projects!$B$31*INDEX(Curves!$B$4:$AO$4,1,55-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$4:$AO$4,1,55-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$4:$AO$4,1,55-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$4:$AO$4,1,55-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$4:$AO$4,1,55-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$4:$AO$4,1,55-Projects!$C$45+1),0)+IF(AND(Projects!$G$46="Yes",55&gt;=Projects!$C$46,55&lt;Projects!$C$46+Projects!$D$46),Projects!$B$46*INDEX(Curves!$B$4:$AO$4,1,55-Projects!$C$46+1),0)</f>
        <v>0</v>
      </c>
      <c r="BF107">
        <f>IF(AND(Projects!$G$30="Yes",56&gt;=Projects!$C$30,56&lt;Projects!$C$30+Projects!$D$30),Projects!$B$30*INDEX(Curves!$B$4:$AO$4,1,56-Projects!$C$30+1),0)+IF(AND(Projects!$G$31="Yes",56&gt;=Projects!$C$31,56&lt;Projects!$C$31+Projects!$D$31),Projects!$B$31*INDEX(Curves!$B$4:$AO$4,1,56-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$4:$AO$4,1,56-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$4:$AO$4,1,56-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$4:$AO$4,1,56-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$4:$AO$4,1,56-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$4:$AO$4,1,56-Projects!$C$45+1),0)+IF(AND(Projects!$G$46="Yes",56&gt;=Projects!$C$46,56&lt;Projects!$C$46+Projects!$D$46),Projects!$B$46*INDEX(Curves!$B$4:$AO$4,1,56-Projects!$C$46+1),0)</f>
        <v>0</v>
      </c>
      <c r="BG107">
        <f>IF(AND(Projects!$G$30="Yes",57&gt;=Projects!$C$30,57&lt;Projects!$C$30+Projects!$D$30),Projects!$B$30*INDEX(Curves!$B$4:$AO$4,1,57-Projects!$C$30+1),0)+IF(AND(Projects!$G$31="Yes",57&gt;=Projects!$C$31,57&lt;Projects!$C$31+Projects!$D$31),Projects!$B$31*INDEX(Curves!$B$4:$AO$4,1,57-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$4:$AO$4,1,57-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$4:$AO$4,1,57-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$4:$AO$4,1,57-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$4:$AO$4,1,57-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$4:$AO$4,1,57-Projects!$C$45+1),0)+IF(AND(Projects!$G$46="Yes",57&gt;=Projects!$C$46,57&lt;Projects!$C$46+Projects!$D$46),Projects!$B$46*INDEX(Curves!$B$4:$AO$4,1,57-Projects!$C$46+1),0)</f>
        <v>0</v>
      </c>
      <c r="BH107">
        <f>IF(AND(Projects!$G$30="Yes",58&gt;=Projects!$C$30,58&lt;Projects!$C$30+Projects!$D$30),Projects!$B$30*INDEX(Curves!$B$4:$AO$4,1,58-Projects!$C$30+1),0)+IF(AND(Projects!$G$31="Yes",58&gt;=Projects!$C$31,58&lt;Projects!$C$31+Projects!$D$31),Projects!$B$31*INDEX(Curves!$B$4:$AO$4,1,58-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$4:$AO$4,1,58-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$4:$AO$4,1,58-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$4:$AO$4,1,58-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$4:$AO$4,1,58-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$4:$AO$4,1,58-Projects!$C$45+1),0)+IF(AND(Projects!$G$46="Yes",58&gt;=Projects!$C$46,58&lt;Projects!$C$46+Projects!$D$46),Projects!$B$46*INDEX(Curves!$B$4:$AO$4,1,58-Projects!$C$46+1),0)</f>
        <v>0</v>
      </c>
      <c r="BI107">
        <f>IF(AND(Projects!$G$30="Yes",59&gt;=Projects!$C$30,59&lt;Projects!$C$30+Projects!$D$30),Projects!$B$30*INDEX(Curves!$B$4:$AO$4,1,59-Projects!$C$30+1),0)+IF(AND(Projects!$G$31="Yes",59&gt;=Projects!$C$31,59&lt;Projects!$C$31+Projects!$D$31),Projects!$B$31*INDEX(Curves!$B$4:$AO$4,1,59-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$4:$AO$4,1,59-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$4:$AO$4,1,59-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$4:$AO$4,1,59-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$4:$AO$4,1,59-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$4:$AO$4,1,59-Projects!$C$45+1),0)+IF(AND(Projects!$G$46="Yes",59&gt;=Projects!$C$46,59&lt;Projects!$C$46+Projects!$D$46),Projects!$B$46*INDEX(Curves!$B$4:$AO$4,1,59-Projects!$C$46+1),0)</f>
        <v>0</v>
      </c>
      <c r="BJ107">
        <f>IF(AND(Projects!$G$30="Yes",60&gt;=Projects!$C$30,60&lt;Projects!$C$30+Projects!$D$30),Projects!$B$30*INDEX(Curves!$B$4:$AO$4,1,60-Projects!$C$30+1),0)+IF(AND(Projects!$G$31="Yes",60&gt;=Projects!$C$31,60&lt;Projects!$C$31+Projects!$D$31),Projects!$B$31*INDEX(Curves!$B$4:$AO$4,1,60-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$4:$AO$4,1,60-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$4:$AO$4,1,60-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$4:$AO$4,1,60-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$4:$AO$4,1,60-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$4:$AO$4,1,60-Projects!$C$45+1),0)+IF(AND(Projects!$G$46="Yes",60&gt;=Projects!$C$46,60&lt;Projects!$C$46+Projects!$D$46),Projects!$B$46*INDEX(Curves!$B$4:$AO$4,1,60-Projects!$C$46+1),0)</f>
        <v>0</v>
      </c>
      <c r="BK107">
        <f>IF(AND(Projects!$G$30="Yes",61&gt;=Projects!$C$30,61&lt;Projects!$C$30+Projects!$D$30),Projects!$B$30*INDEX(Curves!$B$4:$AO$4,1,61-Projects!$C$30+1),0)+IF(AND(Projects!$G$31="Yes",61&gt;=Projects!$C$31,61&lt;Projects!$C$31+Projects!$D$31),Projects!$B$31*INDEX(Curves!$B$4:$AO$4,1,61-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$4:$AO$4,1,61-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$4:$AO$4,1,61-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$4:$AO$4,1,61-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$4:$AO$4,1,61-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$4:$AO$4,1,61-Projects!$C$45+1),0)+IF(AND(Projects!$G$46="Yes",61&gt;=Projects!$C$46,61&lt;Projects!$C$46+Projects!$D$46),Projects!$B$46*INDEX(Curves!$B$4:$AO$4,1,61-Projects!$C$46+1),0)</f>
        <v>0</v>
      </c>
      <c r="BL107">
        <f>IF(AND(Projects!$G$30="Yes",62&gt;=Projects!$C$30,62&lt;Projects!$C$30+Projects!$D$30),Projects!$B$30*INDEX(Curves!$B$4:$AO$4,1,62-Projects!$C$30+1),0)+IF(AND(Projects!$G$31="Yes",62&gt;=Projects!$C$31,62&lt;Projects!$C$31+Projects!$D$31),Projects!$B$31*INDEX(Curves!$B$4:$AO$4,1,62-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$4:$AO$4,1,62-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$4:$AO$4,1,62-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$4:$AO$4,1,62-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$4:$AO$4,1,62-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$4:$AO$4,1,62-Projects!$C$45+1),0)+IF(AND(Projects!$G$46="Yes",62&gt;=Projects!$C$46,62&lt;Projects!$C$46+Projects!$D$46),Projects!$B$46*INDEX(Curves!$B$4:$AO$4,1,62-Projects!$C$46+1),0)</f>
        <v>0</v>
      </c>
      <c r="BM107">
        <f>IF(AND(Projects!$G$30="Yes",63&gt;=Projects!$C$30,63&lt;Projects!$C$30+Projects!$D$30),Projects!$B$30*INDEX(Curves!$B$4:$AO$4,1,63-Projects!$C$30+1),0)+IF(AND(Projects!$G$31="Yes",63&gt;=Projects!$C$31,63&lt;Projects!$C$31+Projects!$D$31),Projects!$B$31*INDEX(Curves!$B$4:$AO$4,1,63-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$4:$AO$4,1,63-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$4:$AO$4,1,63-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$4:$AO$4,1,63-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$4:$AO$4,1,63-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$4:$AO$4,1,63-Projects!$C$45+1),0)+IF(AND(Projects!$G$46="Yes",63&gt;=Projects!$C$46,63&lt;Projects!$C$46+Projects!$D$46),Projects!$B$46*INDEX(Curves!$B$4:$AO$4,1,63-Projects!$C$46+1),0)</f>
        <v>0</v>
      </c>
      <c r="BN107">
        <f>IF(AND(Projects!$G$30="Yes",64&gt;=Projects!$C$30,64&lt;Projects!$C$30+Projects!$D$30),Projects!$B$30*INDEX(Curves!$B$4:$AO$4,1,64-Projects!$C$30+1),0)+IF(AND(Projects!$G$31="Yes",64&gt;=Projects!$C$31,64&lt;Projects!$C$31+Projects!$D$31),Projects!$B$31*INDEX(Curves!$B$4:$AO$4,1,64-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$4:$AO$4,1,64-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$4:$AO$4,1,64-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$4:$AO$4,1,64-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$4:$AO$4,1,64-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$4:$AO$4,1,64-Projects!$C$45+1),0)+IF(AND(Projects!$G$46="Yes",64&gt;=Projects!$C$46,64&lt;Projects!$C$46+Projects!$D$46),Projects!$B$46*INDEX(Curves!$B$4:$AO$4,1,64-Projects!$C$46+1),0)</f>
        <v>0</v>
      </c>
      <c r="BO107">
        <f>IF(AND(Projects!$G$30="Yes",65&gt;=Projects!$C$30,65&lt;Projects!$C$30+Projects!$D$30),Projects!$B$30*INDEX(Curves!$B$4:$AO$4,1,65-Projects!$C$30+1),0)+IF(AND(Projects!$G$31="Yes",65&gt;=Projects!$C$31,65&lt;Projects!$C$31+Projects!$D$31),Projects!$B$31*INDEX(Curves!$B$4:$AO$4,1,65-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$4:$AO$4,1,65-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$4:$AO$4,1,65-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$4:$AO$4,1,65-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$4:$AO$4,1,65-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$4:$AO$4,1,65-Projects!$C$45+1),0)+IF(AND(Projects!$G$46="Yes",65&gt;=Projects!$C$46,65&lt;Projects!$C$46+Projects!$D$46),Projects!$B$46*INDEX(Curves!$B$4:$AO$4,1,65-Projects!$C$46+1),0)</f>
        <v>0</v>
      </c>
      <c r="BP107">
        <f>IF(AND(Projects!$G$30="Yes",66&gt;=Projects!$C$30,66&lt;Projects!$C$30+Projects!$D$30),Projects!$B$30*INDEX(Curves!$B$4:$AO$4,1,66-Projects!$C$30+1),0)+IF(AND(Projects!$G$31="Yes",66&gt;=Projects!$C$31,66&lt;Projects!$C$31+Projects!$D$31),Projects!$B$31*INDEX(Curves!$B$4:$AO$4,1,66-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$4:$AO$4,1,66-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$4:$AO$4,1,66-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$4:$AO$4,1,66-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$4:$AO$4,1,66-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$4:$AO$4,1,66-Projects!$C$45+1),0)+IF(AND(Projects!$G$46="Yes",66&gt;=Projects!$C$46,66&lt;Projects!$C$46+Projects!$D$46),Projects!$B$46*INDEX(Curves!$B$4:$AO$4,1,66-Projects!$C$46+1),0)</f>
        <v>0</v>
      </c>
      <c r="BQ107">
        <f>IF(AND(Projects!$G$30="Yes",67&gt;=Projects!$C$30,67&lt;Projects!$C$30+Projects!$D$30),Projects!$B$30*INDEX(Curves!$B$4:$AO$4,1,67-Projects!$C$30+1),0)+IF(AND(Projects!$G$31="Yes",67&gt;=Projects!$C$31,67&lt;Projects!$C$31+Projects!$D$31),Projects!$B$31*INDEX(Curves!$B$4:$AO$4,1,67-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$4:$AO$4,1,67-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$4:$AO$4,1,67-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$4:$AO$4,1,67-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$4:$AO$4,1,67-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$4:$AO$4,1,67-Projects!$C$45+1),0)+IF(AND(Projects!$G$46="Yes",67&gt;=Projects!$C$46,67&lt;Projects!$C$46+Projects!$D$46),Projects!$B$46*INDEX(Curves!$B$4:$AO$4,1,67-Projects!$C$46+1),0)</f>
        <v>0</v>
      </c>
      <c r="BR107">
        <f>IF(AND(Projects!$G$30="Yes",68&gt;=Projects!$C$30,68&lt;Projects!$C$30+Projects!$D$30),Projects!$B$30*INDEX(Curves!$B$4:$AO$4,1,68-Projects!$C$30+1),0)+IF(AND(Projects!$G$31="Yes",68&gt;=Projects!$C$31,68&lt;Projects!$C$31+Projects!$D$31),Projects!$B$31*INDEX(Curves!$B$4:$AO$4,1,68-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$4:$AO$4,1,68-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$4:$AO$4,1,68-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$4:$AO$4,1,68-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$4:$AO$4,1,68-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$4:$AO$4,1,68-Projects!$C$45+1),0)+IF(AND(Projects!$G$46="Yes",68&gt;=Projects!$C$46,68&lt;Projects!$C$46+Projects!$D$46),Projects!$B$46*INDEX(Curves!$B$4:$AO$4,1,68-Projects!$C$46+1),0)</f>
        <v>0</v>
      </c>
      <c r="BS107">
        <f>IF(AND(Projects!$G$30="Yes",69&gt;=Projects!$C$30,69&lt;Projects!$C$30+Projects!$D$30),Projects!$B$30*INDEX(Curves!$B$4:$AO$4,1,69-Projects!$C$30+1),0)+IF(AND(Projects!$G$31="Yes",69&gt;=Projects!$C$31,69&lt;Projects!$C$31+Projects!$D$31),Projects!$B$31*INDEX(Curves!$B$4:$AO$4,1,69-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$4:$AO$4,1,69-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$4:$AO$4,1,69-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$4:$AO$4,1,69-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$4:$AO$4,1,69-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$4:$AO$4,1,69-Projects!$C$45+1),0)+IF(AND(Projects!$G$46="Yes",69&gt;=Projects!$C$46,69&lt;Projects!$C$46+Projects!$D$46),Projects!$B$46*INDEX(Curves!$B$4:$AO$4,1,69-Projects!$C$46+1),0)</f>
        <v>0</v>
      </c>
      <c r="BT107">
        <f>IF(AND(Projects!$G$30="Yes",70&gt;=Projects!$C$30,70&lt;Projects!$C$30+Projects!$D$30),Projects!$B$30*INDEX(Curves!$B$4:$AO$4,1,70-Projects!$C$30+1),0)+IF(AND(Projects!$G$31="Yes",70&gt;=Projects!$C$31,70&lt;Projects!$C$31+Projects!$D$31),Projects!$B$31*INDEX(Curves!$B$4:$AO$4,1,70-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$4:$AO$4,1,70-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$4:$AO$4,1,70-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$4:$AO$4,1,70-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$4:$AO$4,1,70-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$4:$AO$4,1,70-Projects!$C$45+1),0)+IF(AND(Projects!$G$46="Yes",70&gt;=Projects!$C$46,70&lt;Projects!$C$46+Projects!$D$46),Projects!$B$46*INDEX(Curves!$B$4:$AO$4,1,70-Projects!$C$46+1),0)</f>
        <v>0</v>
      </c>
      <c r="BU107">
        <f>IF(AND(Projects!$G$30="Yes",71&gt;=Projects!$C$30,71&lt;Projects!$C$30+Projects!$D$30),Projects!$B$30*INDEX(Curves!$B$4:$AO$4,1,71-Projects!$C$30+1),0)+IF(AND(Projects!$G$31="Yes",71&gt;=Projects!$C$31,71&lt;Projects!$C$31+Projects!$D$31),Projects!$B$31*INDEX(Curves!$B$4:$AO$4,1,71-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$4:$AO$4,1,71-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$4:$AO$4,1,71-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$4:$AO$4,1,71-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$4:$AO$4,1,71-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$4:$AO$4,1,71-Projects!$C$45+1),0)+IF(AND(Projects!$G$46="Yes",71&gt;=Projects!$C$46,71&lt;Projects!$C$46+Projects!$D$46),Projects!$B$46*INDEX(Curves!$B$4:$AO$4,1,71-Projects!$C$46+1),0)</f>
        <v>0</v>
      </c>
      <c r="BV107">
        <f>IF(AND(Projects!$G$30="Yes",72&gt;=Projects!$C$30,72&lt;Projects!$C$30+Projects!$D$30),Projects!$B$30*INDEX(Curves!$B$4:$AO$4,1,72-Projects!$C$30+1),0)+IF(AND(Projects!$G$31="Yes",72&gt;=Projects!$C$31,72&lt;Projects!$C$31+Projects!$D$31),Projects!$B$31*INDEX(Curves!$B$4:$AO$4,1,72-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$4:$AO$4,1,72-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$4:$AO$4,1,72-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$4:$AO$4,1,72-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$4:$AO$4,1,72-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$4:$AO$4,1,72-Projects!$C$45+1),0)+IF(AND(Projects!$G$46="Yes",72&gt;=Projects!$C$46,72&lt;Projects!$C$46+Projects!$D$46),Projects!$B$46*INDEX(Curves!$B$4:$AO$4,1,72-Projects!$C$46+1),0)</f>
        <v>0</v>
      </c>
      <c r="BW107">
        <f>IF(AND(Projects!$G$30="Yes",73&gt;=Projects!$C$30,73&lt;Projects!$C$30+Projects!$D$30),Projects!$B$30*INDEX(Curves!$B$4:$AO$4,1,73-Projects!$C$30+1),0)+IF(AND(Projects!$G$31="Yes",73&gt;=Projects!$C$31,73&lt;Projects!$C$31+Projects!$D$31),Projects!$B$31*INDEX(Curves!$B$4:$AO$4,1,73-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$4:$AO$4,1,73-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$4:$AO$4,1,73-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$4:$AO$4,1,73-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$4:$AO$4,1,73-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$4:$AO$4,1,73-Projects!$C$45+1),0)+IF(AND(Projects!$G$46="Yes",73&gt;=Projects!$C$46,73&lt;Projects!$C$46+Projects!$D$46),Projects!$B$46*INDEX(Curves!$B$4:$AO$4,1,73-Projects!$C$46+1),0)</f>
        <v>0</v>
      </c>
      <c r="BX107">
        <f>IF(AND(Projects!$G$30="Yes",74&gt;=Projects!$C$30,74&lt;Projects!$C$30+Projects!$D$30),Projects!$B$30*INDEX(Curves!$B$4:$AO$4,1,74-Projects!$C$30+1),0)+IF(AND(Projects!$G$31="Yes",74&gt;=Projects!$C$31,74&lt;Projects!$C$31+Projects!$D$31),Projects!$B$31*INDEX(Curves!$B$4:$AO$4,1,74-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$4:$AO$4,1,74-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$4:$AO$4,1,74-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$4:$AO$4,1,74-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$4:$AO$4,1,74-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$4:$AO$4,1,74-Projects!$C$45+1),0)+IF(AND(Projects!$G$46="Yes",74&gt;=Projects!$C$46,74&lt;Projects!$C$46+Projects!$D$46),Projects!$B$46*INDEX(Curves!$B$4:$AO$4,1,74-Projects!$C$46+1),0)</f>
        <v>0</v>
      </c>
      <c r="BY107">
        <f>IF(AND(Projects!$G$30="Yes",75&gt;=Projects!$C$30,75&lt;Projects!$C$30+Projects!$D$30),Projects!$B$30*INDEX(Curves!$B$4:$AO$4,1,75-Projects!$C$30+1),0)+IF(AND(Projects!$G$31="Yes",75&gt;=Projects!$C$31,75&lt;Projects!$C$31+Projects!$D$31),Projects!$B$31*INDEX(Curves!$B$4:$AO$4,1,75-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$4:$AO$4,1,75-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$4:$AO$4,1,75-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$4:$AO$4,1,75-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$4:$AO$4,1,75-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$4:$AO$4,1,75-Projects!$C$45+1),0)+IF(AND(Projects!$G$46="Yes",75&gt;=Projects!$C$46,75&lt;Projects!$C$46+Projects!$D$46),Projects!$B$46*INDEX(Curves!$B$4:$AO$4,1,75-Projects!$C$46+1),0)</f>
        <v>0</v>
      </c>
      <c r="BZ107">
        <f>IF(AND(Projects!$G$30="Yes",76&gt;=Projects!$C$30,76&lt;Projects!$C$30+Projects!$D$30),Projects!$B$30*INDEX(Curves!$B$4:$AO$4,1,76-Projects!$C$30+1),0)+IF(AND(Projects!$G$31="Yes",76&gt;=Projects!$C$31,76&lt;Projects!$C$31+Projects!$D$31),Projects!$B$31*INDEX(Curves!$B$4:$AO$4,1,76-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$4:$AO$4,1,76-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$4:$AO$4,1,76-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$4:$AO$4,1,76-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$4:$AO$4,1,76-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$4:$AO$4,1,76-Projects!$C$45+1),0)+IF(AND(Projects!$G$46="Yes",76&gt;=Projects!$C$46,76&lt;Projects!$C$46+Projects!$D$46),Projects!$B$46*INDEX(Curves!$B$4:$AO$4,1,76-Projects!$C$46+1),0)</f>
        <v>0</v>
      </c>
      <c r="CA107">
        <f>IF(AND(Projects!$G$30="Yes",77&gt;=Projects!$C$30,77&lt;Projects!$C$30+Projects!$D$30),Projects!$B$30*INDEX(Curves!$B$4:$AO$4,1,77-Projects!$C$30+1),0)+IF(AND(Projects!$G$31="Yes",77&gt;=Projects!$C$31,77&lt;Projects!$C$31+Projects!$D$31),Projects!$B$31*INDEX(Curves!$B$4:$AO$4,1,77-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$4:$AO$4,1,77-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$4:$AO$4,1,77-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$4:$AO$4,1,77-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$4:$AO$4,1,77-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$4:$AO$4,1,77-Projects!$C$45+1),0)+IF(AND(Projects!$G$46="Yes",77&gt;=Projects!$C$46,77&lt;Projects!$C$46+Projects!$D$46),Projects!$B$46*INDEX(Curves!$B$4:$AO$4,1,77-Projects!$C$46+1),0)</f>
        <v>0</v>
      </c>
      <c r="CB107">
        <f>IF(AND(Projects!$G$30="Yes",78&gt;=Projects!$C$30,78&lt;Projects!$C$30+Projects!$D$30),Projects!$B$30*INDEX(Curves!$B$4:$AO$4,1,78-Projects!$C$30+1),0)+IF(AND(Projects!$G$31="Yes",78&gt;=Projects!$C$31,78&lt;Projects!$C$31+Projects!$D$31),Projects!$B$31*INDEX(Curves!$B$4:$AO$4,1,78-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$4:$AO$4,1,78-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$4:$AO$4,1,78-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$4:$AO$4,1,78-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$4:$AO$4,1,78-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$4:$AO$4,1,78-Projects!$C$45+1),0)+IF(AND(Projects!$G$46="Yes",78&gt;=Projects!$C$46,78&lt;Projects!$C$46+Projects!$D$46),Projects!$B$46*INDEX(Curves!$B$4:$AO$4,1,78-Projects!$C$46+1),0)</f>
        <v>0</v>
      </c>
      <c r="CC107">
        <f>IF(AND(Projects!$G$30="Yes",79&gt;=Projects!$C$30,79&lt;Projects!$C$30+Projects!$D$30),Projects!$B$30*INDEX(Curves!$B$4:$AO$4,1,79-Projects!$C$30+1),0)+IF(AND(Projects!$G$31="Yes",79&gt;=Projects!$C$31,79&lt;Projects!$C$31+Projects!$D$31),Projects!$B$31*INDEX(Curves!$B$4:$AO$4,1,79-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$4:$AO$4,1,79-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$4:$AO$4,1,79-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$4:$AO$4,1,79-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$4:$AO$4,1,79-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$4:$AO$4,1,79-Projects!$C$45+1),0)+IF(AND(Projects!$G$46="Yes",79&gt;=Projects!$C$46,79&lt;Projects!$C$46+Projects!$D$46),Projects!$B$46*INDEX(Curves!$B$4:$AO$4,1,79-Projects!$C$46+1),0)</f>
        <v>0</v>
      </c>
      <c r="CD107">
        <f>IF(AND(Projects!$G$30="Yes",80&gt;=Projects!$C$30,80&lt;Projects!$C$30+Projects!$D$30),Projects!$B$30*INDEX(Curves!$B$4:$AO$4,1,80-Projects!$C$30+1),0)+IF(AND(Projects!$G$31="Yes",80&gt;=Projects!$C$31,80&lt;Projects!$C$31+Projects!$D$31),Projects!$B$31*INDEX(Curves!$B$4:$AO$4,1,80-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$4:$AO$4,1,80-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$4:$AO$4,1,80-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$4:$AO$4,1,80-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$4:$AO$4,1,80-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$4:$AO$4,1,80-Projects!$C$45+1),0)+IF(AND(Projects!$G$46="Yes",80&gt;=Projects!$C$46,80&lt;Projects!$C$46+Projects!$D$46),Projects!$B$46*INDEX(Curves!$B$4:$AO$4,1,80-Projects!$C$46+1),0)</f>
        <v>0</v>
      </c>
      <c r="CE107">
        <f>IF(AND(Projects!$G$30="Yes",81&gt;=Projects!$C$30,81&lt;Projects!$C$30+Projects!$D$30),Projects!$B$30*INDEX(Curves!$B$4:$AO$4,1,81-Projects!$C$30+1),0)+IF(AND(Projects!$G$31="Yes",81&gt;=Projects!$C$31,81&lt;Projects!$C$31+Projects!$D$31),Projects!$B$31*INDEX(Curves!$B$4:$AO$4,1,81-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$4:$AO$4,1,81-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$4:$AO$4,1,81-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$4:$AO$4,1,81-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$4:$AO$4,1,81-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$4:$AO$4,1,81-Projects!$C$45+1),0)+IF(AND(Projects!$G$46="Yes",81&gt;=Projects!$C$46,81&lt;Projects!$C$46+Projects!$D$46),Projects!$B$46*INDEX(Curves!$B$4:$AO$4,1,81-Projects!$C$46+1),0)</f>
        <v>0</v>
      </c>
      <c r="CF107">
        <f>IF(AND(Projects!$G$30="Yes",82&gt;=Projects!$C$30,82&lt;Projects!$C$30+Projects!$D$30),Projects!$B$30*INDEX(Curves!$B$4:$AO$4,1,82-Projects!$C$30+1),0)+IF(AND(Projects!$G$31="Yes",82&gt;=Projects!$C$31,82&lt;Projects!$C$31+Projects!$D$31),Projects!$B$31*INDEX(Curves!$B$4:$AO$4,1,82-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$4:$AO$4,1,82-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$4:$AO$4,1,82-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$4:$AO$4,1,82-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$4:$AO$4,1,82-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$4:$AO$4,1,82-Projects!$C$45+1),0)+IF(AND(Projects!$G$46="Yes",82&gt;=Projects!$C$46,82&lt;Projects!$C$46+Projects!$D$46),Projects!$B$46*INDEX(Curves!$B$4:$AO$4,1,82-Projects!$C$46+1),0)</f>
        <v>0</v>
      </c>
      <c r="CG107">
        <f>IF(AND(Projects!$G$30="Yes",83&gt;=Projects!$C$30,83&lt;Projects!$C$30+Projects!$D$30),Projects!$B$30*INDEX(Curves!$B$4:$AO$4,1,83-Projects!$C$30+1),0)+IF(AND(Projects!$G$31="Yes",83&gt;=Projects!$C$31,83&lt;Projects!$C$31+Projects!$D$31),Projects!$B$31*INDEX(Curves!$B$4:$AO$4,1,83-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$4:$AO$4,1,83-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$4:$AO$4,1,83-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$4:$AO$4,1,83-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$4:$AO$4,1,83-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$4:$AO$4,1,83-Projects!$C$45+1),0)+IF(AND(Projects!$G$46="Yes",83&gt;=Projects!$C$46,83&lt;Projects!$C$46+Projects!$D$46),Projects!$B$46*INDEX(Curves!$B$4:$AO$4,1,83-Projects!$C$46+1),0)</f>
        <v>0</v>
      </c>
      <c r="CH107">
        <f>IF(AND(Projects!$G$30="Yes",84&gt;=Projects!$C$30,84&lt;Projects!$C$30+Projects!$D$30),Projects!$B$30*INDEX(Curves!$B$4:$AO$4,1,84-Projects!$C$30+1),0)+IF(AND(Projects!$G$31="Yes",84&gt;=Projects!$C$31,84&lt;Projects!$C$31+Projects!$D$31),Projects!$B$31*INDEX(Curves!$B$4:$AO$4,1,84-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$4:$AO$4,1,84-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$4:$AO$4,1,84-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$4:$AO$4,1,84-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$4:$AO$4,1,84-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$4:$AO$4,1,84-Projects!$C$45+1),0)+IF(AND(Projects!$G$46="Yes",84&gt;=Projects!$C$46,84&lt;Projects!$C$46+Projects!$D$46),Projects!$B$46*INDEX(Curves!$B$4:$AO$4,1,84-Projects!$C$46+1),0)</f>
        <v>0</v>
      </c>
    </row>
    <row r="108" spans="1:86" ht="15" customHeight="1" x14ac:dyDescent="0.25">
      <c r="A108" t="s">
        <v>607</v>
      </c>
      <c r="C108">
        <f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>
        <f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>
        <f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>
        <f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>
        <f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>
        <f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>
        <f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>
        <f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>
        <f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>
        <f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>
        <f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>
        <f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>
        <f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>
        <f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>
        <f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>
        <f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>
        <f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>
        <f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>
        <f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>
        <f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>
        <f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>
        <f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>
        <f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>
        <f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>
        <f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>
        <f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>
        <f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>
        <f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>
        <f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>
        <f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>
        <f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>
        <f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>
        <f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>
        <f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>
        <f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>
        <f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>
        <f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>
        <f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>
        <f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>
        <f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>
        <f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>
        <f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>
        <f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>
        <f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>
        <f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>
        <f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>
        <f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>
        <f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>
        <f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>
        <f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0</v>
      </c>
      <c r="BA108">
        <f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0</v>
      </c>
      <c r="BB108">
        <f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0</v>
      </c>
      <c r="BC108">
        <f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0</v>
      </c>
      <c r="BD108">
        <f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0</v>
      </c>
      <c r="BE108">
        <f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0</v>
      </c>
      <c r="BF108">
        <f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0</v>
      </c>
      <c r="BG108">
        <f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0</v>
      </c>
      <c r="BH108">
        <f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0</v>
      </c>
      <c r="BI108">
        <f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0</v>
      </c>
      <c r="BJ108">
        <f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0</v>
      </c>
      <c r="BK108">
        <f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0</v>
      </c>
      <c r="BL108">
        <f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0</v>
      </c>
      <c r="BM108">
        <f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0</v>
      </c>
      <c r="BN108">
        <f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0</v>
      </c>
      <c r="BO108">
        <f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0</v>
      </c>
      <c r="BP108">
        <f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0</v>
      </c>
      <c r="BQ108">
        <f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0</v>
      </c>
      <c r="BR108">
        <f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0</v>
      </c>
      <c r="BS108">
        <f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0</v>
      </c>
      <c r="BT108">
        <f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0</v>
      </c>
      <c r="BU108">
        <f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0</v>
      </c>
      <c r="BV108">
        <f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0</v>
      </c>
      <c r="BW108">
        <f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0</v>
      </c>
      <c r="BX108">
        <f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0</v>
      </c>
      <c r="BY108">
        <f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0</v>
      </c>
      <c r="BZ108">
        <f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0</v>
      </c>
      <c r="CA108">
        <f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0</v>
      </c>
      <c r="CB108">
        <f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0</v>
      </c>
      <c r="CC108">
        <f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0</v>
      </c>
      <c r="CD108">
        <f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0</v>
      </c>
      <c r="CE108">
        <f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0</v>
      </c>
      <c r="CF108">
        <f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0</v>
      </c>
      <c r="CG108">
        <f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0</v>
      </c>
      <c r="CH108">
        <f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0</v>
      </c>
    </row>
    <row r="109" spans="1:86" ht="15" customHeight="1" x14ac:dyDescent="0.25">
      <c r="A109" t="s">
        <v>608</v>
      </c>
      <c r="C109">
        <f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$4:$AO$4,1,1-Projects!$C$31+1)*Assumptions!$B$11*0.95+0.05*Projects!$B$31*Assumptions!$B$11,Projects!$B$31*INDEX(Curves!$B$4:$AO$4,1,1-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$4:$AO$4,1,1-Projects!$C$34+1)*Assumptions!$B$11*0.95+0.05*Projects!$B$34*Assumptions!$B$11,Projects!$B$34*INDEX(Curves!$B$4:$AO$4,1,1-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$4:$AO$4,1,1-Projects!$C$36+1)*Assumptions!$B$11*0.95+0.05*Projects!$B$36*Assumptions!$B$11,Projects!$B$36*INDEX(Curves!$B$4:$AO$4,1,1-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$4:$AO$4,1,1-Projects!$C$39+1)*Assumptions!$B$11*0.95+0.05*Projects!$B$39*Assumptions!$B$11,Projects!$B$39*INDEX(Curves!$B$4:$AO$4,1,1-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$4:$AO$4,1,1-Projects!$C$42+1)*Assumptions!$B$11*0.95+0.05*Projects!$B$42*Assumptions!$B$11,Projects!$B$42*INDEX(Curves!$B$4:$AO$4,1,1-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$4:$AO$4,1,1-Projects!$C$45+1)*Assumptions!$B$11*0.95+0.05*Projects!$B$45*Assumptions!$B$11,Projects!$B$45*INDEX(Curves!$B$4:$AO$4,1,1-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>
        <f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$4:$AO$4,1,2-Projects!$C$31+1)*Assumptions!$B$11*0.95+0.05*Projects!$B$31*Assumptions!$B$11,Projects!$B$31*INDEX(Curves!$B$4:$AO$4,1,2-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$4:$AO$4,1,2-Projects!$C$34+1)*Assumptions!$B$11*0.95+0.05*Projects!$B$34*Assumptions!$B$11,Projects!$B$34*INDEX(Curves!$B$4:$AO$4,1,2-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$4:$AO$4,1,2-Projects!$C$36+1)*Assumptions!$B$11*0.95+0.05*Projects!$B$36*Assumptions!$B$11,Projects!$B$36*INDEX(Curves!$B$4:$AO$4,1,2-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$4:$AO$4,1,2-Projects!$C$39+1)*Assumptions!$B$11*0.95+0.05*Projects!$B$39*Assumptions!$B$11,Projects!$B$39*INDEX(Curves!$B$4:$AO$4,1,2-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$4:$AO$4,1,2-Projects!$C$42+1)*Assumptions!$B$11*0.95+0.05*Projects!$B$42*Assumptions!$B$11,Projects!$B$42*INDEX(Curves!$B$4:$AO$4,1,2-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$4:$AO$4,1,2-Projects!$C$45+1)*Assumptions!$B$11*0.95+0.05*Projects!$B$45*Assumptions!$B$11,Projects!$B$45*INDEX(Curves!$B$4:$AO$4,1,2-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>
        <f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$4:$AO$4,1,3-Projects!$C$31+1)*Assumptions!$B$11*0.95+0.05*Projects!$B$31*Assumptions!$B$11,Projects!$B$31*INDEX(Curves!$B$4:$AO$4,1,3-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$4:$AO$4,1,3-Projects!$C$34+1)*Assumptions!$B$11*0.95+0.05*Projects!$B$34*Assumptions!$B$11,Projects!$B$34*INDEX(Curves!$B$4:$AO$4,1,3-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$4:$AO$4,1,3-Projects!$C$36+1)*Assumptions!$B$11*0.95+0.05*Projects!$B$36*Assumptions!$B$11,Projects!$B$36*INDEX(Curves!$B$4:$AO$4,1,3-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$4:$AO$4,1,3-Projects!$C$39+1)*Assumptions!$B$11*0.95+0.05*Projects!$B$39*Assumptions!$B$11,Projects!$B$39*INDEX(Curves!$B$4:$AO$4,1,3-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$4:$AO$4,1,3-Projects!$C$42+1)*Assumptions!$B$11*0.95+0.05*Projects!$B$42*Assumptions!$B$11,Projects!$B$42*INDEX(Curves!$B$4:$AO$4,1,3-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$4:$AO$4,1,3-Projects!$C$45+1)*Assumptions!$B$11*0.95+0.05*Projects!$B$45*Assumptions!$B$11,Projects!$B$45*INDEX(Curves!$B$4:$AO$4,1,3-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>
        <f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$4:$AO$4,1,4-Projects!$C$31+1)*Assumptions!$B$11*0.95+0.05*Projects!$B$31*Assumptions!$B$11,Projects!$B$31*INDEX(Curves!$B$4:$AO$4,1,4-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$4:$AO$4,1,4-Projects!$C$34+1)*Assumptions!$B$11*0.95+0.05*Projects!$B$34*Assumptions!$B$11,Projects!$B$34*INDEX(Curves!$B$4:$AO$4,1,4-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$4:$AO$4,1,4-Projects!$C$36+1)*Assumptions!$B$11*0.95+0.05*Projects!$B$36*Assumptions!$B$11,Projects!$B$36*INDEX(Curves!$B$4:$AO$4,1,4-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$4:$AO$4,1,4-Projects!$C$39+1)*Assumptions!$B$11*0.95+0.05*Projects!$B$39*Assumptions!$B$11,Projects!$B$39*INDEX(Curves!$B$4:$AO$4,1,4-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$4:$AO$4,1,4-Projects!$C$42+1)*Assumptions!$B$11*0.95+0.05*Projects!$B$42*Assumptions!$B$11,Projects!$B$42*INDEX(Curves!$B$4:$AO$4,1,4-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$4:$AO$4,1,4-Projects!$C$45+1)*Assumptions!$B$11*0.95+0.05*Projects!$B$45*Assumptions!$B$11,Projects!$B$45*INDEX(Curves!$B$4:$AO$4,1,4-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>
        <f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$4:$AO$4,1,5-Projects!$C$31+1)*Assumptions!$B$11*0.95+0.05*Projects!$B$31*Assumptions!$B$11,Projects!$B$31*INDEX(Curves!$B$4:$AO$4,1,5-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$4:$AO$4,1,5-Projects!$C$34+1)*Assumptions!$B$11*0.95+0.05*Projects!$B$34*Assumptions!$B$11,Projects!$B$34*INDEX(Curves!$B$4:$AO$4,1,5-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$4:$AO$4,1,5-Projects!$C$36+1)*Assumptions!$B$11*0.95+0.05*Projects!$B$36*Assumptions!$B$11,Projects!$B$36*INDEX(Curves!$B$4:$AO$4,1,5-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$4:$AO$4,1,5-Projects!$C$39+1)*Assumptions!$B$11*0.95+0.05*Projects!$B$39*Assumptions!$B$11,Projects!$B$39*INDEX(Curves!$B$4:$AO$4,1,5-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$4:$AO$4,1,5-Projects!$C$42+1)*Assumptions!$B$11*0.95+0.05*Projects!$B$42*Assumptions!$B$11,Projects!$B$42*INDEX(Curves!$B$4:$AO$4,1,5-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$4:$AO$4,1,5-Projects!$C$45+1)*Assumptions!$B$11*0.95+0.05*Projects!$B$45*Assumptions!$B$11,Projects!$B$45*INDEX(Curves!$B$4:$AO$4,1,5-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>
        <f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$4:$AO$4,1,6-Projects!$C$31+1)*Assumptions!$B$11*0.95+0.05*Projects!$B$31*Assumptions!$B$11,Projects!$B$31*INDEX(Curves!$B$4:$AO$4,1,6-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$4:$AO$4,1,6-Projects!$C$34+1)*Assumptions!$B$11*0.95+0.05*Projects!$B$34*Assumptions!$B$11,Projects!$B$34*INDEX(Curves!$B$4:$AO$4,1,6-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$4:$AO$4,1,6-Projects!$C$36+1)*Assumptions!$B$11*0.95+0.05*Projects!$B$36*Assumptions!$B$11,Projects!$B$36*INDEX(Curves!$B$4:$AO$4,1,6-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$4:$AO$4,1,6-Projects!$C$39+1)*Assumptions!$B$11*0.95+0.05*Projects!$B$39*Assumptions!$B$11,Projects!$B$39*INDEX(Curves!$B$4:$AO$4,1,6-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$4:$AO$4,1,6-Projects!$C$42+1)*Assumptions!$B$11*0.95+0.05*Projects!$B$42*Assumptions!$B$11,Projects!$B$42*INDEX(Curves!$B$4:$AO$4,1,6-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$4:$AO$4,1,6-Projects!$C$45+1)*Assumptions!$B$11*0.95+0.05*Projects!$B$45*Assumptions!$B$11,Projects!$B$45*INDEX(Curves!$B$4:$AO$4,1,6-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>
        <f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$4:$AO$4,1,7-Projects!$C$31+1)*Assumptions!$B$11*0.95+0.05*Projects!$B$31*Assumptions!$B$11,Projects!$B$31*INDEX(Curves!$B$4:$AO$4,1,7-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$4:$AO$4,1,7-Projects!$C$34+1)*Assumptions!$B$11*0.95+0.05*Projects!$B$34*Assumptions!$B$11,Projects!$B$34*INDEX(Curves!$B$4:$AO$4,1,7-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$4:$AO$4,1,7-Projects!$C$36+1)*Assumptions!$B$11*0.95+0.05*Projects!$B$36*Assumptions!$B$11,Projects!$B$36*INDEX(Curves!$B$4:$AO$4,1,7-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$4:$AO$4,1,7-Projects!$C$39+1)*Assumptions!$B$11*0.95+0.05*Projects!$B$39*Assumptions!$B$11,Projects!$B$39*INDEX(Curves!$B$4:$AO$4,1,7-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$4:$AO$4,1,7-Projects!$C$42+1)*Assumptions!$B$11*0.95+0.05*Projects!$B$42*Assumptions!$B$11,Projects!$B$42*INDEX(Curves!$B$4:$AO$4,1,7-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$4:$AO$4,1,7-Projects!$C$45+1)*Assumptions!$B$11*0.95+0.05*Projects!$B$45*Assumptions!$B$11,Projects!$B$45*INDEX(Curves!$B$4:$AO$4,1,7-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>
        <f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$4:$AO$4,1,8-Projects!$C$31+1)*Assumptions!$B$11*0.95+0.05*Projects!$B$31*Assumptions!$B$11,Projects!$B$31*INDEX(Curves!$B$4:$AO$4,1,8-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$4:$AO$4,1,8-Projects!$C$34+1)*Assumptions!$B$11*0.95+0.05*Projects!$B$34*Assumptions!$B$11,Projects!$B$34*INDEX(Curves!$B$4:$AO$4,1,8-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$4:$AO$4,1,8-Projects!$C$36+1)*Assumptions!$B$11*0.95+0.05*Projects!$B$36*Assumptions!$B$11,Projects!$B$36*INDEX(Curves!$B$4:$AO$4,1,8-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$4:$AO$4,1,8-Projects!$C$39+1)*Assumptions!$B$11*0.95+0.05*Projects!$B$39*Assumptions!$B$11,Projects!$B$39*INDEX(Curves!$B$4:$AO$4,1,8-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$4:$AO$4,1,8-Projects!$C$42+1)*Assumptions!$B$11*0.95+0.05*Projects!$B$42*Assumptions!$B$11,Projects!$B$42*INDEX(Curves!$B$4:$AO$4,1,8-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$4:$AO$4,1,8-Projects!$C$45+1)*Assumptions!$B$11*0.95+0.05*Projects!$B$45*Assumptions!$B$11,Projects!$B$45*INDEX(Curves!$B$4:$AO$4,1,8-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>
        <f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$4:$AO$4,1,9-Projects!$C$31+1)*Assumptions!$B$11*0.95+0.05*Projects!$B$31*Assumptions!$B$11,Projects!$B$31*INDEX(Curves!$B$4:$AO$4,1,9-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$4:$AO$4,1,9-Projects!$C$34+1)*Assumptions!$B$11*0.95+0.05*Projects!$B$34*Assumptions!$B$11,Projects!$B$34*INDEX(Curves!$B$4:$AO$4,1,9-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$4:$AO$4,1,9-Projects!$C$36+1)*Assumptions!$B$11*0.95+0.05*Projects!$B$36*Assumptions!$B$11,Projects!$B$36*INDEX(Curves!$B$4:$AO$4,1,9-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$4:$AO$4,1,9-Projects!$C$39+1)*Assumptions!$B$11*0.95+0.05*Projects!$B$39*Assumptions!$B$11,Projects!$B$39*INDEX(Curves!$B$4:$AO$4,1,9-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$4:$AO$4,1,9-Projects!$C$42+1)*Assumptions!$B$11*0.95+0.05*Projects!$B$42*Assumptions!$B$11,Projects!$B$42*INDEX(Curves!$B$4:$AO$4,1,9-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$4:$AO$4,1,9-Projects!$C$45+1)*Assumptions!$B$11*0.95+0.05*Projects!$B$45*Assumptions!$B$11,Projects!$B$45*INDEX(Curves!$B$4:$AO$4,1,9-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>
        <f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$4:$AO$4,1,10-Projects!$C$31+1)*Assumptions!$B$11*0.95+0.05*Projects!$B$31*Assumptions!$B$11,Projects!$B$31*INDEX(Curves!$B$4:$AO$4,1,10-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$4:$AO$4,1,10-Projects!$C$34+1)*Assumptions!$B$11*0.95+0.05*Projects!$B$34*Assumptions!$B$11,Projects!$B$34*INDEX(Curves!$B$4:$AO$4,1,10-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$4:$AO$4,1,10-Projects!$C$36+1)*Assumptions!$B$11*0.95+0.05*Projects!$B$36*Assumptions!$B$11,Projects!$B$36*INDEX(Curves!$B$4:$AO$4,1,10-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$4:$AO$4,1,10-Projects!$C$39+1)*Assumptions!$B$11*0.95+0.05*Projects!$B$39*Assumptions!$B$11,Projects!$B$39*INDEX(Curves!$B$4:$AO$4,1,10-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$4:$AO$4,1,10-Projects!$C$42+1)*Assumptions!$B$11*0.95+0.05*Projects!$B$42*Assumptions!$B$11,Projects!$B$42*INDEX(Curves!$B$4:$AO$4,1,10-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$4:$AO$4,1,10-Projects!$C$45+1)*Assumptions!$B$11*0.95+0.05*Projects!$B$45*Assumptions!$B$11,Projects!$B$45*INDEX(Curves!$B$4:$AO$4,1,10-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>
        <f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$4:$AO$4,1,11-Projects!$C$31+1)*Assumptions!$B$11*0.95+0.05*Projects!$B$31*Assumptions!$B$11,Projects!$B$31*INDEX(Curves!$B$4:$AO$4,1,11-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$4:$AO$4,1,11-Projects!$C$34+1)*Assumptions!$B$11*0.95+0.05*Projects!$B$34*Assumptions!$B$11,Projects!$B$34*INDEX(Curves!$B$4:$AO$4,1,11-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$4:$AO$4,1,11-Projects!$C$36+1)*Assumptions!$B$11*0.95+0.05*Projects!$B$36*Assumptions!$B$11,Projects!$B$36*INDEX(Curves!$B$4:$AO$4,1,11-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$4:$AO$4,1,11-Projects!$C$39+1)*Assumptions!$B$11*0.95+0.05*Projects!$B$39*Assumptions!$B$11,Projects!$B$39*INDEX(Curves!$B$4:$AO$4,1,11-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$4:$AO$4,1,11-Projects!$C$42+1)*Assumptions!$B$11*0.95+0.05*Projects!$B$42*Assumptions!$B$11,Projects!$B$42*INDEX(Curves!$B$4:$AO$4,1,11-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$4:$AO$4,1,11-Projects!$C$45+1)*Assumptions!$B$11*0.95+0.05*Projects!$B$45*Assumptions!$B$11,Projects!$B$45*INDEX(Curves!$B$4:$AO$4,1,11-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>
        <f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$4:$AO$4,1,12-Projects!$C$31+1)*Assumptions!$B$11*0.95+0.05*Projects!$B$31*Assumptions!$B$11,Projects!$B$31*INDEX(Curves!$B$4:$AO$4,1,12-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$4:$AO$4,1,12-Projects!$C$34+1)*Assumptions!$B$11*0.95+0.05*Projects!$B$34*Assumptions!$B$11,Projects!$B$34*INDEX(Curves!$B$4:$AO$4,1,12-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$4:$AO$4,1,12-Projects!$C$36+1)*Assumptions!$B$11*0.95+0.05*Projects!$B$36*Assumptions!$B$11,Projects!$B$36*INDEX(Curves!$B$4:$AO$4,1,12-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$4:$AO$4,1,12-Projects!$C$39+1)*Assumptions!$B$11*0.95+0.05*Projects!$B$39*Assumptions!$B$11,Projects!$B$39*INDEX(Curves!$B$4:$AO$4,1,12-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$4:$AO$4,1,12-Projects!$C$42+1)*Assumptions!$B$11*0.95+0.05*Projects!$B$42*Assumptions!$B$11,Projects!$B$42*INDEX(Curves!$B$4:$AO$4,1,12-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$4:$AO$4,1,12-Projects!$C$45+1)*Assumptions!$B$11*0.95+0.05*Projects!$B$45*Assumptions!$B$11,Projects!$B$45*INDEX(Curves!$B$4:$AO$4,1,12-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>
        <f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$4:$AO$4,1,13-Projects!$C$31+1)*Assumptions!$B$11*0.95+0.05*Projects!$B$31*Assumptions!$B$11,Projects!$B$31*INDEX(Curves!$B$4:$AO$4,1,13-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$4:$AO$4,1,13-Projects!$C$34+1)*Assumptions!$B$11*0.95+0.05*Projects!$B$34*Assumptions!$B$11,Projects!$B$34*INDEX(Curves!$B$4:$AO$4,1,13-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$4:$AO$4,1,13-Projects!$C$36+1)*Assumptions!$B$11*0.95+0.05*Projects!$B$36*Assumptions!$B$11,Projects!$B$36*INDEX(Curves!$B$4:$AO$4,1,13-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$4:$AO$4,1,13-Projects!$C$39+1)*Assumptions!$B$11*0.95+0.05*Projects!$B$39*Assumptions!$B$11,Projects!$B$39*INDEX(Curves!$B$4:$AO$4,1,13-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$4:$AO$4,1,13-Projects!$C$42+1)*Assumptions!$B$11*0.95+0.05*Projects!$B$42*Assumptions!$B$11,Projects!$B$42*INDEX(Curves!$B$4:$AO$4,1,13-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$4:$AO$4,1,13-Projects!$C$45+1)*Assumptions!$B$11*0.95+0.05*Projects!$B$45*Assumptions!$B$11,Projects!$B$45*INDEX(Curves!$B$4:$AO$4,1,13-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>
        <f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$4:$AO$4,1,14-Projects!$C$31+1)*Assumptions!$B$11*0.95+0.05*Projects!$B$31*Assumptions!$B$11,Projects!$B$31*INDEX(Curves!$B$4:$AO$4,1,14-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$4:$AO$4,1,14-Projects!$C$34+1)*Assumptions!$B$11*0.95+0.05*Projects!$B$34*Assumptions!$B$11,Projects!$B$34*INDEX(Curves!$B$4:$AO$4,1,14-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$4:$AO$4,1,14-Projects!$C$36+1)*Assumptions!$B$11*0.95+0.05*Projects!$B$36*Assumptions!$B$11,Projects!$B$36*INDEX(Curves!$B$4:$AO$4,1,14-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$4:$AO$4,1,14-Projects!$C$39+1)*Assumptions!$B$11*0.95+0.05*Projects!$B$39*Assumptions!$B$11,Projects!$B$39*INDEX(Curves!$B$4:$AO$4,1,14-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$4:$AO$4,1,14-Projects!$C$42+1)*Assumptions!$B$11*0.95+0.05*Projects!$B$42*Assumptions!$B$11,Projects!$B$42*INDEX(Curves!$B$4:$AO$4,1,14-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$4:$AO$4,1,14-Projects!$C$45+1)*Assumptions!$B$11*0.95+0.05*Projects!$B$45*Assumptions!$B$11,Projects!$B$45*INDEX(Curves!$B$4:$AO$4,1,14-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>
        <f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$4:$AO$4,1,15-Projects!$C$31+1)*Assumptions!$B$11*0.95+0.05*Projects!$B$31*Assumptions!$B$11,Projects!$B$31*INDEX(Curves!$B$4:$AO$4,1,15-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$4:$AO$4,1,15-Projects!$C$34+1)*Assumptions!$B$11*0.95+0.05*Projects!$B$34*Assumptions!$B$11,Projects!$B$34*INDEX(Curves!$B$4:$AO$4,1,15-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$4:$AO$4,1,15-Projects!$C$36+1)*Assumptions!$B$11*0.95+0.05*Projects!$B$36*Assumptions!$B$11,Projects!$B$36*INDEX(Curves!$B$4:$AO$4,1,15-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$4:$AO$4,1,15-Projects!$C$39+1)*Assumptions!$B$11*0.95+0.05*Projects!$B$39*Assumptions!$B$11,Projects!$B$39*INDEX(Curves!$B$4:$AO$4,1,15-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$4:$AO$4,1,15-Projects!$C$42+1)*Assumptions!$B$11*0.95+0.05*Projects!$B$42*Assumptions!$B$11,Projects!$B$42*INDEX(Curves!$B$4:$AO$4,1,15-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$4:$AO$4,1,15-Projects!$C$45+1)*Assumptions!$B$11*0.95+0.05*Projects!$B$45*Assumptions!$B$11,Projects!$B$45*INDEX(Curves!$B$4:$AO$4,1,15-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>
        <f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$4:$AO$4,1,16-Projects!$C$31+1)*Assumptions!$B$11*0.95+0.05*Projects!$B$31*Assumptions!$B$11,Projects!$B$31*INDEX(Curves!$B$4:$AO$4,1,16-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$4:$AO$4,1,16-Projects!$C$34+1)*Assumptions!$B$11*0.95+0.05*Projects!$B$34*Assumptions!$B$11,Projects!$B$34*INDEX(Curves!$B$4:$AO$4,1,16-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$4:$AO$4,1,16-Projects!$C$36+1)*Assumptions!$B$11*0.95+0.05*Projects!$B$36*Assumptions!$B$11,Projects!$B$36*INDEX(Curves!$B$4:$AO$4,1,16-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$4:$AO$4,1,16-Projects!$C$39+1)*Assumptions!$B$11*0.95+0.05*Projects!$B$39*Assumptions!$B$11,Projects!$B$39*INDEX(Curves!$B$4:$AO$4,1,16-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$4:$AO$4,1,16-Projects!$C$42+1)*Assumptions!$B$11*0.95+0.05*Projects!$B$42*Assumptions!$B$11,Projects!$B$42*INDEX(Curves!$B$4:$AO$4,1,16-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$4:$AO$4,1,16-Projects!$C$45+1)*Assumptions!$B$11*0.95+0.05*Projects!$B$45*Assumptions!$B$11,Projects!$B$45*INDEX(Curves!$B$4:$AO$4,1,16-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>
        <f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$4:$AO$4,1,17-Projects!$C$31+1)*Assumptions!$B$11*0.95+0.05*Projects!$B$31*Assumptions!$B$11,Projects!$B$31*INDEX(Curves!$B$4:$AO$4,1,17-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$4:$AO$4,1,17-Projects!$C$34+1)*Assumptions!$B$11*0.95+0.05*Projects!$B$34*Assumptions!$B$11,Projects!$B$34*INDEX(Curves!$B$4:$AO$4,1,17-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$4:$AO$4,1,17-Projects!$C$36+1)*Assumptions!$B$11*0.95+0.05*Projects!$B$36*Assumptions!$B$11,Projects!$B$36*INDEX(Curves!$B$4:$AO$4,1,17-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$4:$AO$4,1,17-Projects!$C$39+1)*Assumptions!$B$11*0.95+0.05*Projects!$B$39*Assumptions!$B$11,Projects!$B$39*INDEX(Curves!$B$4:$AO$4,1,17-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$4:$AO$4,1,17-Projects!$C$42+1)*Assumptions!$B$11*0.95+0.05*Projects!$B$42*Assumptions!$B$11,Projects!$B$42*INDEX(Curves!$B$4:$AO$4,1,17-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$4:$AO$4,1,17-Projects!$C$45+1)*Assumptions!$B$11*0.95+0.05*Projects!$B$45*Assumptions!$B$11,Projects!$B$45*INDEX(Curves!$B$4:$AO$4,1,17-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>
        <f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$4:$AO$4,1,18-Projects!$C$31+1)*Assumptions!$B$11*0.95+0.05*Projects!$B$31*Assumptions!$B$11,Projects!$B$31*INDEX(Curves!$B$4:$AO$4,1,18-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$4:$AO$4,1,18-Projects!$C$34+1)*Assumptions!$B$11*0.95+0.05*Projects!$B$34*Assumptions!$B$11,Projects!$B$34*INDEX(Curves!$B$4:$AO$4,1,18-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$4:$AO$4,1,18-Projects!$C$36+1)*Assumptions!$B$11*0.95+0.05*Projects!$B$36*Assumptions!$B$11,Projects!$B$36*INDEX(Curves!$B$4:$AO$4,1,18-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$4:$AO$4,1,18-Projects!$C$39+1)*Assumptions!$B$11*0.95+0.05*Projects!$B$39*Assumptions!$B$11,Projects!$B$39*INDEX(Curves!$B$4:$AO$4,1,18-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$4:$AO$4,1,18-Projects!$C$42+1)*Assumptions!$B$11*0.95+0.05*Projects!$B$42*Assumptions!$B$11,Projects!$B$42*INDEX(Curves!$B$4:$AO$4,1,18-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$4:$AO$4,1,18-Projects!$C$45+1)*Assumptions!$B$11*0.95+0.05*Projects!$B$45*Assumptions!$B$11,Projects!$B$45*INDEX(Curves!$B$4:$AO$4,1,18-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>
        <f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$4:$AO$4,1,19-Projects!$C$31+1)*Assumptions!$B$11*0.95+0.05*Projects!$B$31*Assumptions!$B$11,Projects!$B$31*INDEX(Curves!$B$4:$AO$4,1,19-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$4:$AO$4,1,19-Projects!$C$34+1)*Assumptions!$B$11*0.95+0.05*Projects!$B$34*Assumptions!$B$11,Projects!$B$34*INDEX(Curves!$B$4:$AO$4,1,19-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$4:$AO$4,1,19-Projects!$C$36+1)*Assumptions!$B$11*0.95+0.05*Projects!$B$36*Assumptions!$B$11,Projects!$B$36*INDEX(Curves!$B$4:$AO$4,1,19-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$4:$AO$4,1,19-Projects!$C$39+1)*Assumptions!$B$11*0.95+0.05*Projects!$B$39*Assumptions!$B$11,Projects!$B$39*INDEX(Curves!$B$4:$AO$4,1,19-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$4:$AO$4,1,19-Projects!$C$42+1)*Assumptions!$B$11*0.95+0.05*Projects!$B$42*Assumptions!$B$11,Projects!$B$42*INDEX(Curves!$B$4:$AO$4,1,19-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$4:$AO$4,1,19-Projects!$C$45+1)*Assumptions!$B$11*0.95+0.05*Projects!$B$45*Assumptions!$B$11,Projects!$B$45*INDEX(Curves!$B$4:$AO$4,1,19-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>
        <f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$4:$AO$4,1,20-Projects!$C$31+1)*Assumptions!$B$11*0.95+0.05*Projects!$B$31*Assumptions!$B$11,Projects!$B$31*INDEX(Curves!$B$4:$AO$4,1,20-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$4:$AO$4,1,20-Projects!$C$34+1)*Assumptions!$B$11*0.95+0.05*Projects!$B$34*Assumptions!$B$11,Projects!$B$34*INDEX(Curves!$B$4:$AO$4,1,20-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$4:$AO$4,1,20-Projects!$C$36+1)*Assumptions!$B$11*0.95+0.05*Projects!$B$36*Assumptions!$B$11,Projects!$B$36*INDEX(Curves!$B$4:$AO$4,1,20-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$4:$AO$4,1,20-Projects!$C$39+1)*Assumptions!$B$11*0.95+0.05*Projects!$B$39*Assumptions!$B$11,Projects!$B$39*INDEX(Curves!$B$4:$AO$4,1,20-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$4:$AO$4,1,20-Projects!$C$42+1)*Assumptions!$B$11*0.95+0.05*Projects!$B$42*Assumptions!$B$11,Projects!$B$42*INDEX(Curves!$B$4:$AO$4,1,20-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$4:$AO$4,1,20-Projects!$C$45+1)*Assumptions!$B$11*0.95+0.05*Projects!$B$45*Assumptions!$B$11,Projects!$B$45*INDEX(Curves!$B$4:$AO$4,1,20-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>
        <f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$4:$AO$4,1,21-Projects!$C$31+1)*Assumptions!$B$11*0.95+0.05*Projects!$B$31*Assumptions!$B$11,Projects!$B$31*INDEX(Curves!$B$4:$AO$4,1,21-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$4:$AO$4,1,21-Projects!$C$34+1)*Assumptions!$B$11*0.95+0.05*Projects!$B$34*Assumptions!$B$11,Projects!$B$34*INDEX(Curves!$B$4:$AO$4,1,21-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$4:$AO$4,1,21-Projects!$C$36+1)*Assumptions!$B$11*0.95+0.05*Projects!$B$36*Assumptions!$B$11,Projects!$B$36*INDEX(Curves!$B$4:$AO$4,1,21-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$4:$AO$4,1,21-Projects!$C$39+1)*Assumptions!$B$11*0.95+0.05*Projects!$B$39*Assumptions!$B$11,Projects!$B$39*INDEX(Curves!$B$4:$AO$4,1,21-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$4:$AO$4,1,21-Projects!$C$42+1)*Assumptions!$B$11*0.95+0.05*Projects!$B$42*Assumptions!$B$11,Projects!$B$42*INDEX(Curves!$B$4:$AO$4,1,21-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$4:$AO$4,1,21-Projects!$C$45+1)*Assumptions!$B$11*0.95+0.05*Projects!$B$45*Assumptions!$B$11,Projects!$B$45*INDEX(Curves!$B$4:$AO$4,1,21-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>
        <f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$4:$AO$4,1,22-Projects!$C$31+1)*Assumptions!$B$11*0.95+0.05*Projects!$B$31*Assumptions!$B$11,Projects!$B$31*INDEX(Curves!$B$4:$AO$4,1,22-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$4:$AO$4,1,22-Projects!$C$34+1)*Assumptions!$B$11*0.95+0.05*Projects!$B$34*Assumptions!$B$11,Projects!$B$34*INDEX(Curves!$B$4:$AO$4,1,22-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$4:$AO$4,1,22-Projects!$C$36+1)*Assumptions!$B$11*0.95+0.05*Projects!$B$36*Assumptions!$B$11,Projects!$B$36*INDEX(Curves!$B$4:$AO$4,1,22-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$4:$AO$4,1,22-Projects!$C$39+1)*Assumptions!$B$11*0.95+0.05*Projects!$B$39*Assumptions!$B$11,Projects!$B$39*INDEX(Curves!$B$4:$AO$4,1,22-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$4:$AO$4,1,22-Projects!$C$42+1)*Assumptions!$B$11*0.95+0.05*Projects!$B$42*Assumptions!$B$11,Projects!$B$42*INDEX(Curves!$B$4:$AO$4,1,22-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$4:$AO$4,1,22-Projects!$C$45+1)*Assumptions!$B$11*0.95+0.05*Projects!$B$45*Assumptions!$B$11,Projects!$B$45*INDEX(Curves!$B$4:$AO$4,1,22-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>
        <f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$4:$AO$4,1,23-Projects!$C$31+1)*Assumptions!$B$11*0.95+0.05*Projects!$B$31*Assumptions!$B$11,Projects!$B$31*INDEX(Curves!$B$4:$AO$4,1,23-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$4:$AO$4,1,23-Projects!$C$34+1)*Assumptions!$B$11*0.95+0.05*Projects!$B$34*Assumptions!$B$11,Projects!$B$34*INDEX(Curves!$B$4:$AO$4,1,23-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$4:$AO$4,1,23-Projects!$C$36+1)*Assumptions!$B$11*0.95+0.05*Projects!$B$36*Assumptions!$B$11,Projects!$B$36*INDEX(Curves!$B$4:$AO$4,1,23-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$4:$AO$4,1,23-Projects!$C$39+1)*Assumptions!$B$11*0.95+0.05*Projects!$B$39*Assumptions!$B$11,Projects!$B$39*INDEX(Curves!$B$4:$AO$4,1,23-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$4:$AO$4,1,23-Projects!$C$42+1)*Assumptions!$B$11*0.95+0.05*Projects!$B$42*Assumptions!$B$11,Projects!$B$42*INDEX(Curves!$B$4:$AO$4,1,23-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$4:$AO$4,1,23-Projects!$C$45+1)*Assumptions!$B$11*0.95+0.05*Projects!$B$45*Assumptions!$B$11,Projects!$B$45*INDEX(Curves!$B$4:$AO$4,1,23-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>
        <f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$4:$AO$4,1,24-Projects!$C$31+1)*Assumptions!$B$11*0.95+0.05*Projects!$B$31*Assumptions!$B$11,Projects!$B$31*INDEX(Curves!$B$4:$AO$4,1,24-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$4:$AO$4,1,24-Projects!$C$34+1)*Assumptions!$B$11*0.95+0.05*Projects!$B$34*Assumptions!$B$11,Projects!$B$34*INDEX(Curves!$B$4:$AO$4,1,24-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$4:$AO$4,1,24-Projects!$C$36+1)*Assumptions!$B$11*0.95+0.05*Projects!$B$36*Assumptions!$B$11,Projects!$B$36*INDEX(Curves!$B$4:$AO$4,1,24-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$4:$AO$4,1,24-Projects!$C$39+1)*Assumptions!$B$11*0.95+0.05*Projects!$B$39*Assumptions!$B$11,Projects!$B$39*INDEX(Curves!$B$4:$AO$4,1,24-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$4:$AO$4,1,24-Projects!$C$42+1)*Assumptions!$B$11*0.95+0.05*Projects!$B$42*Assumptions!$B$11,Projects!$B$42*INDEX(Curves!$B$4:$AO$4,1,24-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$4:$AO$4,1,24-Projects!$C$45+1)*Assumptions!$B$11*0.95+0.05*Projects!$B$45*Assumptions!$B$11,Projects!$B$45*INDEX(Curves!$B$4:$AO$4,1,24-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>
        <f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$4:$AO$4,1,25-Projects!$C$31+1)*Assumptions!$B$11*0.95+0.05*Projects!$B$31*Assumptions!$B$11,Projects!$B$31*INDEX(Curves!$B$4:$AO$4,1,25-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$4:$AO$4,1,25-Projects!$C$34+1)*Assumptions!$B$11*0.95+0.05*Projects!$B$34*Assumptions!$B$11,Projects!$B$34*INDEX(Curves!$B$4:$AO$4,1,25-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$4:$AO$4,1,25-Projects!$C$36+1)*Assumptions!$B$11*0.95+0.05*Projects!$B$36*Assumptions!$B$11,Projects!$B$36*INDEX(Curves!$B$4:$AO$4,1,25-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$4:$AO$4,1,25-Projects!$C$39+1)*Assumptions!$B$11*0.95+0.05*Projects!$B$39*Assumptions!$B$11,Projects!$B$39*INDEX(Curves!$B$4:$AO$4,1,25-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$4:$AO$4,1,25-Projects!$C$42+1)*Assumptions!$B$11*0.95+0.05*Projects!$B$42*Assumptions!$B$11,Projects!$B$42*INDEX(Curves!$B$4:$AO$4,1,25-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$4:$AO$4,1,25-Projects!$C$45+1)*Assumptions!$B$11*0.95+0.05*Projects!$B$45*Assumptions!$B$11,Projects!$B$45*INDEX(Curves!$B$4:$AO$4,1,25-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>
        <f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$4:$AO$4,1,26-Projects!$C$31+1)*Assumptions!$B$11*0.95+0.05*Projects!$B$31*Assumptions!$B$11,Projects!$B$31*INDEX(Curves!$B$4:$AO$4,1,26-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$4:$AO$4,1,26-Projects!$C$34+1)*Assumptions!$B$11*0.95+0.05*Projects!$B$34*Assumptions!$B$11,Projects!$B$34*INDEX(Curves!$B$4:$AO$4,1,26-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$4:$AO$4,1,26-Projects!$C$36+1)*Assumptions!$B$11*0.95+0.05*Projects!$B$36*Assumptions!$B$11,Projects!$B$36*INDEX(Curves!$B$4:$AO$4,1,26-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$4:$AO$4,1,26-Projects!$C$39+1)*Assumptions!$B$11*0.95+0.05*Projects!$B$39*Assumptions!$B$11,Projects!$B$39*INDEX(Curves!$B$4:$AO$4,1,26-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$4:$AO$4,1,26-Projects!$C$42+1)*Assumptions!$B$11*0.95+0.05*Projects!$B$42*Assumptions!$B$11,Projects!$B$42*INDEX(Curves!$B$4:$AO$4,1,26-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$4:$AO$4,1,26-Projects!$C$45+1)*Assumptions!$B$11*0.95+0.05*Projects!$B$45*Assumptions!$B$11,Projects!$B$45*INDEX(Curves!$B$4:$AO$4,1,26-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>
        <f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$4:$AO$4,1,27-Projects!$C$31+1)*Assumptions!$B$11*0.95+0.05*Projects!$B$31*Assumptions!$B$11,Projects!$B$31*INDEX(Curves!$B$4:$AO$4,1,27-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$4:$AO$4,1,27-Projects!$C$34+1)*Assumptions!$B$11*0.95+0.05*Projects!$B$34*Assumptions!$B$11,Projects!$B$34*INDEX(Curves!$B$4:$AO$4,1,27-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$4:$AO$4,1,27-Projects!$C$36+1)*Assumptions!$B$11*0.95+0.05*Projects!$B$36*Assumptions!$B$11,Projects!$B$36*INDEX(Curves!$B$4:$AO$4,1,27-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$4:$AO$4,1,27-Projects!$C$39+1)*Assumptions!$B$11*0.95+0.05*Projects!$B$39*Assumptions!$B$11,Projects!$B$39*INDEX(Curves!$B$4:$AO$4,1,27-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$4:$AO$4,1,27-Projects!$C$42+1)*Assumptions!$B$11*0.95+0.05*Projects!$B$42*Assumptions!$B$11,Projects!$B$42*INDEX(Curves!$B$4:$AO$4,1,27-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$4:$AO$4,1,27-Projects!$C$45+1)*Assumptions!$B$11*0.95+0.05*Projects!$B$45*Assumptions!$B$11,Projects!$B$45*INDEX(Curves!$B$4:$AO$4,1,27-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>
        <f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$4:$AO$4,1,28-Projects!$C$31+1)*Assumptions!$B$11*0.95+0.05*Projects!$B$31*Assumptions!$B$11,Projects!$B$31*INDEX(Curves!$B$4:$AO$4,1,28-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$4:$AO$4,1,28-Projects!$C$34+1)*Assumptions!$B$11*0.95+0.05*Projects!$B$34*Assumptions!$B$11,Projects!$B$34*INDEX(Curves!$B$4:$AO$4,1,28-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$4:$AO$4,1,28-Projects!$C$36+1)*Assumptions!$B$11*0.95+0.05*Projects!$B$36*Assumptions!$B$11,Projects!$B$36*INDEX(Curves!$B$4:$AO$4,1,28-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$4:$AO$4,1,28-Projects!$C$39+1)*Assumptions!$B$11*0.95+0.05*Projects!$B$39*Assumptions!$B$11,Projects!$B$39*INDEX(Curves!$B$4:$AO$4,1,28-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$4:$AO$4,1,28-Projects!$C$42+1)*Assumptions!$B$11*0.95+0.05*Projects!$B$42*Assumptions!$B$11,Projects!$B$42*INDEX(Curves!$B$4:$AO$4,1,28-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$4:$AO$4,1,28-Projects!$C$45+1)*Assumptions!$B$11*0.95+0.05*Projects!$B$45*Assumptions!$B$11,Projects!$B$45*INDEX(Curves!$B$4:$AO$4,1,28-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>
        <f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$4:$AO$4,1,29-Projects!$C$31+1)*Assumptions!$B$11*0.95+0.05*Projects!$B$31*Assumptions!$B$11,Projects!$B$31*INDEX(Curves!$B$4:$AO$4,1,29-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$4:$AO$4,1,29-Projects!$C$34+1)*Assumptions!$B$11*0.95+0.05*Projects!$B$34*Assumptions!$B$11,Projects!$B$34*INDEX(Curves!$B$4:$AO$4,1,29-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$4:$AO$4,1,29-Projects!$C$36+1)*Assumptions!$B$11*0.95+0.05*Projects!$B$36*Assumptions!$B$11,Projects!$B$36*INDEX(Curves!$B$4:$AO$4,1,29-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$4:$AO$4,1,29-Projects!$C$39+1)*Assumptions!$B$11*0.95+0.05*Projects!$B$39*Assumptions!$B$11,Projects!$B$39*INDEX(Curves!$B$4:$AO$4,1,29-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$4:$AO$4,1,29-Projects!$C$42+1)*Assumptions!$B$11*0.95+0.05*Projects!$B$42*Assumptions!$B$11,Projects!$B$42*INDEX(Curves!$B$4:$AO$4,1,29-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$4:$AO$4,1,29-Projects!$C$45+1)*Assumptions!$B$11*0.95+0.05*Projects!$B$45*Assumptions!$B$11,Projects!$B$45*INDEX(Curves!$B$4:$AO$4,1,29-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>
        <f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$4:$AO$4,1,30-Projects!$C$31+1)*Assumptions!$B$11*0.95+0.05*Projects!$B$31*Assumptions!$B$11,Projects!$B$31*INDEX(Curves!$B$4:$AO$4,1,30-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$4:$AO$4,1,30-Projects!$C$34+1)*Assumptions!$B$11*0.95+0.05*Projects!$B$34*Assumptions!$B$11,Projects!$B$34*INDEX(Curves!$B$4:$AO$4,1,30-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$4:$AO$4,1,30-Projects!$C$36+1)*Assumptions!$B$11*0.95+0.05*Projects!$B$36*Assumptions!$B$11,Projects!$B$36*INDEX(Curves!$B$4:$AO$4,1,30-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$4:$AO$4,1,30-Projects!$C$39+1)*Assumptions!$B$11*0.95+0.05*Projects!$B$39*Assumptions!$B$11,Projects!$B$39*INDEX(Curves!$B$4:$AO$4,1,30-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$4:$AO$4,1,30-Projects!$C$42+1)*Assumptions!$B$11*0.95+0.05*Projects!$B$42*Assumptions!$B$11,Projects!$B$42*INDEX(Curves!$B$4:$AO$4,1,30-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$4:$AO$4,1,30-Projects!$C$45+1)*Assumptions!$B$11*0.95+0.05*Projects!$B$45*Assumptions!$B$11,Projects!$B$45*INDEX(Curves!$B$4:$AO$4,1,30-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>
        <f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$4:$AO$4,1,31-Projects!$C$31+1)*Assumptions!$B$11*0.95+0.05*Projects!$B$31*Assumptions!$B$11,Projects!$B$31*INDEX(Curves!$B$4:$AO$4,1,31-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$4:$AO$4,1,31-Projects!$C$34+1)*Assumptions!$B$11*0.95+0.05*Projects!$B$34*Assumptions!$B$11,Projects!$B$34*INDEX(Curves!$B$4:$AO$4,1,31-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$4:$AO$4,1,31-Projects!$C$36+1)*Assumptions!$B$11*0.95+0.05*Projects!$B$36*Assumptions!$B$11,Projects!$B$36*INDEX(Curves!$B$4:$AO$4,1,31-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$4:$AO$4,1,31-Projects!$C$39+1)*Assumptions!$B$11*0.95+0.05*Projects!$B$39*Assumptions!$B$11,Projects!$B$39*INDEX(Curves!$B$4:$AO$4,1,31-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$4:$AO$4,1,31-Projects!$C$42+1)*Assumptions!$B$11*0.95+0.05*Projects!$B$42*Assumptions!$B$11,Projects!$B$42*INDEX(Curves!$B$4:$AO$4,1,31-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$4:$AO$4,1,31-Projects!$C$45+1)*Assumptions!$B$11*0.95+0.05*Projects!$B$45*Assumptions!$B$11,Projects!$B$45*INDEX(Curves!$B$4:$AO$4,1,31-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>
        <f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$4:$AO$4,1,32-Projects!$C$31+1)*Assumptions!$B$11*0.95+0.05*Projects!$B$31*Assumptions!$B$11,Projects!$B$31*INDEX(Curves!$B$4:$AO$4,1,32-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$4:$AO$4,1,32-Projects!$C$34+1)*Assumptions!$B$11*0.95+0.05*Projects!$B$34*Assumptions!$B$11,Projects!$B$34*INDEX(Curves!$B$4:$AO$4,1,32-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$4:$AO$4,1,32-Projects!$C$36+1)*Assumptions!$B$11*0.95+0.05*Projects!$B$36*Assumptions!$B$11,Projects!$B$36*INDEX(Curves!$B$4:$AO$4,1,32-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$4:$AO$4,1,32-Projects!$C$39+1)*Assumptions!$B$11*0.95+0.05*Projects!$B$39*Assumptions!$B$11,Projects!$B$39*INDEX(Curves!$B$4:$AO$4,1,32-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$4:$AO$4,1,32-Projects!$C$42+1)*Assumptions!$B$11*0.95+0.05*Projects!$B$42*Assumptions!$B$11,Projects!$B$42*INDEX(Curves!$B$4:$AO$4,1,32-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$4:$AO$4,1,32-Projects!$C$45+1)*Assumptions!$B$11*0.95+0.05*Projects!$B$45*Assumptions!$B$11,Projects!$B$45*INDEX(Curves!$B$4:$AO$4,1,32-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>
        <f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$4:$AO$4,1,33-Projects!$C$31+1)*Assumptions!$B$11*0.95+0.05*Projects!$B$31*Assumptions!$B$11,Projects!$B$31*INDEX(Curves!$B$4:$AO$4,1,33-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$4:$AO$4,1,33-Projects!$C$34+1)*Assumptions!$B$11*0.95+0.05*Projects!$B$34*Assumptions!$B$11,Projects!$B$34*INDEX(Curves!$B$4:$AO$4,1,33-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$4:$AO$4,1,33-Projects!$C$36+1)*Assumptions!$B$11*0.95+0.05*Projects!$B$36*Assumptions!$B$11,Projects!$B$36*INDEX(Curves!$B$4:$AO$4,1,33-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$4:$AO$4,1,33-Projects!$C$39+1)*Assumptions!$B$11*0.95+0.05*Projects!$B$39*Assumptions!$B$11,Projects!$B$39*INDEX(Curves!$B$4:$AO$4,1,33-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$4:$AO$4,1,33-Projects!$C$42+1)*Assumptions!$B$11*0.95+0.05*Projects!$B$42*Assumptions!$B$11,Projects!$B$42*INDEX(Curves!$B$4:$AO$4,1,33-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$4:$AO$4,1,33-Projects!$C$45+1)*Assumptions!$B$11*0.95+0.05*Projects!$B$45*Assumptions!$B$11,Projects!$B$45*INDEX(Curves!$B$4:$AO$4,1,33-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>
        <f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$4:$AO$4,1,34-Projects!$C$31+1)*Assumptions!$B$11*0.95+0.05*Projects!$B$31*Assumptions!$B$11,Projects!$B$31*INDEX(Curves!$B$4:$AO$4,1,34-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$4:$AO$4,1,34-Projects!$C$34+1)*Assumptions!$B$11*0.95+0.05*Projects!$B$34*Assumptions!$B$11,Projects!$B$34*INDEX(Curves!$B$4:$AO$4,1,34-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$4:$AO$4,1,34-Projects!$C$36+1)*Assumptions!$B$11*0.95+0.05*Projects!$B$36*Assumptions!$B$11,Projects!$B$36*INDEX(Curves!$B$4:$AO$4,1,34-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$4:$AO$4,1,34-Projects!$C$39+1)*Assumptions!$B$11*0.95+0.05*Projects!$B$39*Assumptions!$B$11,Projects!$B$39*INDEX(Curves!$B$4:$AO$4,1,34-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$4:$AO$4,1,34-Projects!$C$42+1)*Assumptions!$B$11*0.95+0.05*Projects!$B$42*Assumptions!$B$11,Projects!$B$42*INDEX(Curves!$B$4:$AO$4,1,34-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$4:$AO$4,1,34-Projects!$C$45+1)*Assumptions!$B$11*0.95+0.05*Projects!$B$45*Assumptions!$B$11,Projects!$B$45*INDEX(Curves!$B$4:$AO$4,1,34-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>
        <f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$4:$AO$4,1,35-Projects!$C$31+1)*Assumptions!$B$11*0.95+0.05*Projects!$B$31*Assumptions!$B$11,Projects!$B$31*INDEX(Curves!$B$4:$AO$4,1,35-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$4:$AO$4,1,35-Projects!$C$34+1)*Assumptions!$B$11*0.95+0.05*Projects!$B$34*Assumptions!$B$11,Projects!$B$34*INDEX(Curves!$B$4:$AO$4,1,35-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$4:$AO$4,1,35-Projects!$C$36+1)*Assumptions!$B$11*0.95+0.05*Projects!$B$36*Assumptions!$B$11,Projects!$B$36*INDEX(Curves!$B$4:$AO$4,1,35-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$4:$AO$4,1,35-Projects!$C$39+1)*Assumptions!$B$11*0.95+0.05*Projects!$B$39*Assumptions!$B$11,Projects!$B$39*INDEX(Curves!$B$4:$AO$4,1,35-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$4:$AO$4,1,35-Projects!$C$42+1)*Assumptions!$B$11*0.95+0.05*Projects!$B$42*Assumptions!$B$11,Projects!$B$42*INDEX(Curves!$B$4:$AO$4,1,35-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$4:$AO$4,1,35-Projects!$C$45+1)*Assumptions!$B$11*0.95+0.05*Projects!$B$45*Assumptions!$B$11,Projects!$B$45*INDEX(Curves!$B$4:$AO$4,1,35-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>
        <f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$4:$AO$4,1,36-Projects!$C$31+1)*Assumptions!$B$11*0.95+0.05*Projects!$B$31*Assumptions!$B$11,Projects!$B$31*INDEX(Curves!$B$4:$AO$4,1,36-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$4:$AO$4,1,36-Projects!$C$34+1)*Assumptions!$B$11*0.95+0.05*Projects!$B$34*Assumptions!$B$11,Projects!$B$34*INDEX(Curves!$B$4:$AO$4,1,36-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$4:$AO$4,1,36-Projects!$C$36+1)*Assumptions!$B$11*0.95+0.05*Projects!$B$36*Assumptions!$B$11,Projects!$B$36*INDEX(Curves!$B$4:$AO$4,1,36-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$4:$AO$4,1,36-Projects!$C$39+1)*Assumptions!$B$11*0.95+0.05*Projects!$B$39*Assumptions!$B$11,Projects!$B$39*INDEX(Curves!$B$4:$AO$4,1,36-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$4:$AO$4,1,36-Projects!$C$42+1)*Assumptions!$B$11*0.95+0.05*Projects!$B$42*Assumptions!$B$11,Projects!$B$42*INDEX(Curves!$B$4:$AO$4,1,36-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$4:$AO$4,1,36-Projects!$C$45+1)*Assumptions!$B$11*0.95+0.05*Projects!$B$45*Assumptions!$B$11,Projects!$B$45*INDEX(Curves!$B$4:$AO$4,1,36-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>
        <f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$4:$AO$4,1,37-Projects!$C$31+1)*Assumptions!$B$11*0.95+0.05*Projects!$B$31*Assumptions!$B$11,Projects!$B$31*INDEX(Curves!$B$4:$AO$4,1,37-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$4:$AO$4,1,37-Projects!$C$34+1)*Assumptions!$B$11*0.95+0.05*Projects!$B$34*Assumptions!$B$11,Projects!$B$34*INDEX(Curves!$B$4:$AO$4,1,37-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$4:$AO$4,1,37-Projects!$C$36+1)*Assumptions!$B$11*0.95+0.05*Projects!$B$36*Assumptions!$B$11,Projects!$B$36*INDEX(Curves!$B$4:$AO$4,1,37-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$4:$AO$4,1,37-Projects!$C$39+1)*Assumptions!$B$11*0.95+0.05*Projects!$B$39*Assumptions!$B$11,Projects!$B$39*INDEX(Curves!$B$4:$AO$4,1,37-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$4:$AO$4,1,37-Projects!$C$42+1)*Assumptions!$B$11*0.95+0.05*Projects!$B$42*Assumptions!$B$11,Projects!$B$42*INDEX(Curves!$B$4:$AO$4,1,37-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$4:$AO$4,1,37-Projects!$C$45+1)*Assumptions!$B$11*0.95+0.05*Projects!$B$45*Assumptions!$B$11,Projects!$B$45*INDEX(Curves!$B$4:$AO$4,1,37-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>
        <f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$4:$AO$4,1,38-Projects!$C$31+1)*Assumptions!$B$11*0.95+0.05*Projects!$B$31*Assumptions!$B$11,Projects!$B$31*INDEX(Curves!$B$4:$AO$4,1,38-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$4:$AO$4,1,38-Projects!$C$34+1)*Assumptions!$B$11*0.95+0.05*Projects!$B$34*Assumptions!$B$11,Projects!$B$34*INDEX(Curves!$B$4:$AO$4,1,38-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$4:$AO$4,1,38-Projects!$C$36+1)*Assumptions!$B$11*0.95+0.05*Projects!$B$36*Assumptions!$B$11,Projects!$B$36*INDEX(Curves!$B$4:$AO$4,1,38-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$4:$AO$4,1,38-Projects!$C$39+1)*Assumptions!$B$11*0.95+0.05*Projects!$B$39*Assumptions!$B$11,Projects!$B$39*INDEX(Curves!$B$4:$AO$4,1,38-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$4:$AO$4,1,38-Projects!$C$42+1)*Assumptions!$B$11*0.95+0.05*Projects!$B$42*Assumptions!$B$11,Projects!$B$42*INDEX(Curves!$B$4:$AO$4,1,38-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$4:$AO$4,1,38-Projects!$C$45+1)*Assumptions!$B$11*0.95+0.05*Projects!$B$45*Assumptions!$B$11,Projects!$B$45*INDEX(Curves!$B$4:$AO$4,1,38-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>
        <f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$4:$AO$4,1,39-Projects!$C$31+1)*Assumptions!$B$11*0.95+0.05*Projects!$B$31*Assumptions!$B$11,Projects!$B$31*INDEX(Curves!$B$4:$AO$4,1,39-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$4:$AO$4,1,39-Projects!$C$34+1)*Assumptions!$B$11*0.95+0.05*Projects!$B$34*Assumptions!$B$11,Projects!$B$34*INDEX(Curves!$B$4:$AO$4,1,39-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$4:$AO$4,1,39-Projects!$C$36+1)*Assumptions!$B$11*0.95+0.05*Projects!$B$36*Assumptions!$B$11,Projects!$B$36*INDEX(Curves!$B$4:$AO$4,1,39-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$4:$AO$4,1,39-Projects!$C$39+1)*Assumptions!$B$11*0.95+0.05*Projects!$B$39*Assumptions!$B$11,Projects!$B$39*INDEX(Curves!$B$4:$AO$4,1,39-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$4:$AO$4,1,39-Projects!$C$42+1)*Assumptions!$B$11*0.95+0.05*Projects!$B$42*Assumptions!$B$11,Projects!$B$42*INDEX(Curves!$B$4:$AO$4,1,39-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$4:$AO$4,1,39-Projects!$C$45+1)*Assumptions!$B$11*0.95+0.05*Projects!$B$45*Assumptions!$B$11,Projects!$B$45*INDEX(Curves!$B$4:$AO$4,1,39-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>
        <f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$4:$AO$4,1,40-Projects!$C$31+1)*Assumptions!$B$11*0.95+0.05*Projects!$B$31*Assumptions!$B$11,Projects!$B$31*INDEX(Curves!$B$4:$AO$4,1,40-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$4:$AO$4,1,40-Projects!$C$34+1)*Assumptions!$B$11*0.95+0.05*Projects!$B$34*Assumptions!$B$11,Projects!$B$34*INDEX(Curves!$B$4:$AO$4,1,40-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$4:$AO$4,1,40-Projects!$C$36+1)*Assumptions!$B$11*0.95+0.05*Projects!$B$36*Assumptions!$B$11,Projects!$B$36*INDEX(Curves!$B$4:$AO$4,1,40-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$4:$AO$4,1,40-Projects!$C$39+1)*Assumptions!$B$11*0.95+0.05*Projects!$B$39*Assumptions!$B$11,Projects!$B$39*INDEX(Curves!$B$4:$AO$4,1,40-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$4:$AO$4,1,40-Projects!$C$42+1)*Assumptions!$B$11*0.95+0.05*Projects!$B$42*Assumptions!$B$11,Projects!$B$42*INDEX(Curves!$B$4:$AO$4,1,40-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$4:$AO$4,1,40-Projects!$C$45+1)*Assumptions!$B$11*0.95+0.05*Projects!$B$45*Assumptions!$B$11,Projects!$B$45*INDEX(Curves!$B$4:$AO$4,1,40-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>
        <f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$4:$AO$4,1,41-Projects!$C$31+1)*Assumptions!$B$11*0.95+0.05*Projects!$B$31*Assumptions!$B$11,Projects!$B$31*INDEX(Curves!$B$4:$AO$4,1,41-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$4:$AO$4,1,41-Projects!$C$34+1)*Assumptions!$B$11*0.95+0.05*Projects!$B$34*Assumptions!$B$11,Projects!$B$34*INDEX(Curves!$B$4:$AO$4,1,41-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$4:$AO$4,1,41-Projects!$C$36+1)*Assumptions!$B$11*0.95+0.05*Projects!$B$36*Assumptions!$B$11,Projects!$B$36*INDEX(Curves!$B$4:$AO$4,1,41-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$4:$AO$4,1,41-Projects!$C$39+1)*Assumptions!$B$11*0.95+0.05*Projects!$B$39*Assumptions!$B$11,Projects!$B$39*INDEX(Curves!$B$4:$AO$4,1,41-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$4:$AO$4,1,41-Projects!$C$42+1)*Assumptions!$B$11*0.95+0.05*Projects!$B$42*Assumptions!$B$11,Projects!$B$42*INDEX(Curves!$B$4:$AO$4,1,41-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$4:$AO$4,1,41-Projects!$C$45+1)*Assumptions!$B$11*0.95+0.05*Projects!$B$45*Assumptions!$B$11,Projects!$B$45*INDEX(Curves!$B$4:$AO$4,1,41-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>
        <f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$4:$AO$4,1,42-Projects!$C$31+1)*Assumptions!$B$11*0.95+0.05*Projects!$B$31*Assumptions!$B$11,Projects!$B$31*INDEX(Curves!$B$4:$AO$4,1,42-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$4:$AO$4,1,42-Projects!$C$34+1)*Assumptions!$B$11*0.95+0.05*Projects!$B$34*Assumptions!$B$11,Projects!$B$34*INDEX(Curves!$B$4:$AO$4,1,42-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$4:$AO$4,1,42-Projects!$C$36+1)*Assumptions!$B$11*0.95+0.05*Projects!$B$36*Assumptions!$B$11,Projects!$B$36*INDEX(Curves!$B$4:$AO$4,1,42-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$4:$AO$4,1,42-Projects!$C$39+1)*Assumptions!$B$11*0.95+0.05*Projects!$B$39*Assumptions!$B$11,Projects!$B$39*INDEX(Curves!$B$4:$AO$4,1,42-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$4:$AO$4,1,42-Projects!$C$42+1)*Assumptions!$B$11*0.95+0.05*Projects!$B$42*Assumptions!$B$11,Projects!$B$42*INDEX(Curves!$B$4:$AO$4,1,42-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$4:$AO$4,1,42-Projects!$C$45+1)*Assumptions!$B$11*0.95+0.05*Projects!$B$45*Assumptions!$B$11,Projects!$B$45*INDEX(Curves!$B$4:$AO$4,1,42-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>
        <f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$4:$AO$4,1,43-Projects!$C$31+1)*Assumptions!$B$11*0.95+0.05*Projects!$B$31*Assumptions!$B$11,Projects!$B$31*INDEX(Curves!$B$4:$AO$4,1,43-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$4:$AO$4,1,43-Projects!$C$34+1)*Assumptions!$B$11*0.95+0.05*Projects!$B$34*Assumptions!$B$11,Projects!$B$34*INDEX(Curves!$B$4:$AO$4,1,43-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$4:$AO$4,1,43-Projects!$C$36+1)*Assumptions!$B$11*0.95+0.05*Projects!$B$36*Assumptions!$B$11,Projects!$B$36*INDEX(Curves!$B$4:$AO$4,1,43-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$4:$AO$4,1,43-Projects!$C$39+1)*Assumptions!$B$11*0.95+0.05*Projects!$B$39*Assumptions!$B$11,Projects!$B$39*INDEX(Curves!$B$4:$AO$4,1,43-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$4:$AO$4,1,43-Projects!$C$42+1)*Assumptions!$B$11*0.95+0.05*Projects!$B$42*Assumptions!$B$11,Projects!$B$42*INDEX(Curves!$B$4:$AO$4,1,43-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$4:$AO$4,1,43-Projects!$C$45+1)*Assumptions!$B$11*0.95+0.05*Projects!$B$45*Assumptions!$B$11,Projects!$B$45*INDEX(Curves!$B$4:$AO$4,1,43-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>
        <f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$4:$AO$4,1,44-Projects!$C$31+1)*Assumptions!$B$11*0.95+0.05*Projects!$B$31*Assumptions!$B$11,Projects!$B$31*INDEX(Curves!$B$4:$AO$4,1,44-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$4:$AO$4,1,44-Projects!$C$34+1)*Assumptions!$B$11*0.95+0.05*Projects!$B$34*Assumptions!$B$11,Projects!$B$34*INDEX(Curves!$B$4:$AO$4,1,44-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$4:$AO$4,1,44-Projects!$C$36+1)*Assumptions!$B$11*0.95+0.05*Projects!$B$36*Assumptions!$B$11,Projects!$B$36*INDEX(Curves!$B$4:$AO$4,1,44-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$4:$AO$4,1,44-Projects!$C$39+1)*Assumptions!$B$11*0.95+0.05*Projects!$B$39*Assumptions!$B$11,Projects!$B$39*INDEX(Curves!$B$4:$AO$4,1,44-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$4:$AO$4,1,44-Projects!$C$42+1)*Assumptions!$B$11*0.95+0.05*Projects!$B$42*Assumptions!$B$11,Projects!$B$42*INDEX(Curves!$B$4:$AO$4,1,44-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$4:$AO$4,1,44-Projects!$C$45+1)*Assumptions!$B$11*0.95+0.05*Projects!$B$45*Assumptions!$B$11,Projects!$B$45*INDEX(Curves!$B$4:$AO$4,1,44-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>
        <f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$4:$AO$4,1,45-Projects!$C$31+1)*Assumptions!$B$11*0.95+0.05*Projects!$B$31*Assumptions!$B$11,Projects!$B$31*INDEX(Curves!$B$4:$AO$4,1,45-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$4:$AO$4,1,45-Projects!$C$34+1)*Assumptions!$B$11*0.95+0.05*Projects!$B$34*Assumptions!$B$11,Projects!$B$34*INDEX(Curves!$B$4:$AO$4,1,45-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$4:$AO$4,1,45-Projects!$C$36+1)*Assumptions!$B$11*0.95+0.05*Projects!$B$36*Assumptions!$B$11,Projects!$B$36*INDEX(Curves!$B$4:$AO$4,1,45-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$4:$AO$4,1,45-Projects!$C$39+1)*Assumptions!$B$11*0.95+0.05*Projects!$B$39*Assumptions!$B$11,Projects!$B$39*INDEX(Curves!$B$4:$AO$4,1,45-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$4:$AO$4,1,45-Projects!$C$42+1)*Assumptions!$B$11*0.95+0.05*Projects!$B$42*Assumptions!$B$11,Projects!$B$42*INDEX(Curves!$B$4:$AO$4,1,45-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$4:$AO$4,1,45-Projects!$C$45+1)*Assumptions!$B$11*0.95+0.05*Projects!$B$45*Assumptions!$B$11,Projects!$B$45*INDEX(Curves!$B$4:$AO$4,1,45-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>
        <f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$4:$AO$4,1,46-Projects!$C$31+1)*Assumptions!$B$11*0.95+0.05*Projects!$B$31*Assumptions!$B$11,Projects!$B$31*INDEX(Curves!$B$4:$AO$4,1,46-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$4:$AO$4,1,46-Projects!$C$34+1)*Assumptions!$B$11*0.95+0.05*Projects!$B$34*Assumptions!$B$11,Projects!$B$34*INDEX(Curves!$B$4:$AO$4,1,46-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$4:$AO$4,1,46-Projects!$C$36+1)*Assumptions!$B$11*0.95+0.05*Projects!$B$36*Assumptions!$B$11,Projects!$B$36*INDEX(Curves!$B$4:$AO$4,1,46-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$4:$AO$4,1,46-Projects!$C$39+1)*Assumptions!$B$11*0.95+0.05*Projects!$B$39*Assumptions!$B$11,Projects!$B$39*INDEX(Curves!$B$4:$AO$4,1,46-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$4:$AO$4,1,46-Projects!$C$42+1)*Assumptions!$B$11*0.95+0.05*Projects!$B$42*Assumptions!$B$11,Projects!$B$42*INDEX(Curves!$B$4:$AO$4,1,46-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$4:$AO$4,1,46-Projects!$C$45+1)*Assumptions!$B$11*0.95+0.05*Projects!$B$45*Assumptions!$B$11,Projects!$B$45*INDEX(Curves!$B$4:$AO$4,1,46-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>
        <f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$4:$AO$4,1,47-Projects!$C$31+1)*Assumptions!$B$11*0.95+0.05*Projects!$B$31*Assumptions!$B$11,Projects!$B$31*INDEX(Curves!$B$4:$AO$4,1,47-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$4:$AO$4,1,47-Projects!$C$34+1)*Assumptions!$B$11*0.95+0.05*Projects!$B$34*Assumptions!$B$11,Projects!$B$34*INDEX(Curves!$B$4:$AO$4,1,47-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$4:$AO$4,1,47-Projects!$C$36+1)*Assumptions!$B$11*0.95+0.05*Projects!$B$36*Assumptions!$B$11,Projects!$B$36*INDEX(Curves!$B$4:$AO$4,1,47-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$4:$AO$4,1,47-Projects!$C$39+1)*Assumptions!$B$11*0.95+0.05*Projects!$B$39*Assumptions!$B$11,Projects!$B$39*INDEX(Curves!$B$4:$AO$4,1,47-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$4:$AO$4,1,47-Projects!$C$42+1)*Assumptions!$B$11*0.95+0.05*Projects!$B$42*Assumptions!$B$11,Projects!$B$42*INDEX(Curves!$B$4:$AO$4,1,47-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$4:$AO$4,1,47-Projects!$C$45+1)*Assumptions!$B$11*0.95+0.05*Projects!$B$45*Assumptions!$B$11,Projects!$B$45*INDEX(Curves!$B$4:$AO$4,1,47-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>
        <f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$4:$AO$4,1,48-Projects!$C$31+1)*Assumptions!$B$11*0.95+0.05*Projects!$B$31*Assumptions!$B$11,Projects!$B$31*INDEX(Curves!$B$4:$AO$4,1,48-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$4:$AO$4,1,48-Projects!$C$34+1)*Assumptions!$B$11*0.95+0.05*Projects!$B$34*Assumptions!$B$11,Projects!$B$34*INDEX(Curves!$B$4:$AO$4,1,48-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$4:$AO$4,1,48-Projects!$C$36+1)*Assumptions!$B$11*0.95+0.05*Projects!$B$36*Assumptions!$B$11,Projects!$B$36*INDEX(Curves!$B$4:$AO$4,1,48-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$4:$AO$4,1,48-Projects!$C$39+1)*Assumptions!$B$11*0.95+0.05*Projects!$B$39*Assumptions!$B$11,Projects!$B$39*INDEX(Curves!$B$4:$AO$4,1,48-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$4:$AO$4,1,48-Projects!$C$42+1)*Assumptions!$B$11*0.95+0.05*Projects!$B$42*Assumptions!$B$11,Projects!$B$42*INDEX(Curves!$B$4:$AO$4,1,48-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$4:$AO$4,1,48-Projects!$C$45+1)*Assumptions!$B$11*0.95+0.05*Projects!$B$45*Assumptions!$B$11,Projects!$B$45*INDEX(Curves!$B$4:$AO$4,1,48-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>
        <f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$4:$AO$4,1,49-Projects!$C$31+1)*Assumptions!$B$11*0.95+0.05*Projects!$B$31*Assumptions!$B$11,Projects!$B$31*INDEX(Curves!$B$4:$AO$4,1,49-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$4:$AO$4,1,49-Projects!$C$34+1)*Assumptions!$B$11*0.95+0.05*Projects!$B$34*Assumptions!$B$11,Projects!$B$34*INDEX(Curves!$B$4:$AO$4,1,49-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$4:$AO$4,1,49-Projects!$C$36+1)*Assumptions!$B$11*0.95+0.05*Projects!$B$36*Assumptions!$B$11,Projects!$B$36*INDEX(Curves!$B$4:$AO$4,1,49-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$4:$AO$4,1,49-Projects!$C$39+1)*Assumptions!$B$11*0.95+0.05*Projects!$B$39*Assumptions!$B$11,Projects!$B$39*INDEX(Curves!$B$4:$AO$4,1,49-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$4:$AO$4,1,49-Projects!$C$42+1)*Assumptions!$B$11*0.95+0.05*Projects!$B$42*Assumptions!$B$11,Projects!$B$42*INDEX(Curves!$B$4:$AO$4,1,49-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$4:$AO$4,1,49-Projects!$C$45+1)*Assumptions!$B$11*0.95+0.05*Projects!$B$45*Assumptions!$B$11,Projects!$B$45*INDEX(Curves!$B$4:$AO$4,1,49-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>
        <f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$4:$AO$4,1,50-Projects!$C$31+1)*Assumptions!$B$11*0.95+0.05*Projects!$B$31*Assumptions!$B$11,Projects!$B$31*INDEX(Curves!$B$4:$AO$4,1,50-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$4:$AO$4,1,50-Projects!$C$34+1)*Assumptions!$B$11*0.95+0.05*Projects!$B$34*Assumptions!$B$11,Projects!$B$34*INDEX(Curves!$B$4:$AO$4,1,50-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$4:$AO$4,1,50-Projects!$C$36+1)*Assumptions!$B$11*0.95+0.05*Projects!$B$36*Assumptions!$B$11,Projects!$B$36*INDEX(Curves!$B$4:$AO$4,1,50-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$4:$AO$4,1,50-Projects!$C$39+1)*Assumptions!$B$11*0.95+0.05*Projects!$B$39*Assumptions!$B$11,Projects!$B$39*INDEX(Curves!$B$4:$AO$4,1,50-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$4:$AO$4,1,50-Projects!$C$42+1)*Assumptions!$B$11*0.95+0.05*Projects!$B$42*Assumptions!$B$11,Projects!$B$42*INDEX(Curves!$B$4:$AO$4,1,50-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$4:$AO$4,1,50-Projects!$C$45+1)*Assumptions!$B$11*0.95+0.05*Projects!$B$45*Assumptions!$B$11,Projects!$B$45*INDEX(Curves!$B$4:$AO$4,1,50-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0</v>
      </c>
      <c r="BA109">
        <f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$4:$AO$4,1,51-Projects!$C$31+1)*Assumptions!$B$11*0.95+0.05*Projects!$B$31*Assumptions!$B$11,Projects!$B$31*INDEX(Curves!$B$4:$AO$4,1,51-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$4:$AO$4,1,51-Projects!$C$34+1)*Assumptions!$B$11*0.95+0.05*Projects!$B$34*Assumptions!$B$11,Projects!$B$34*INDEX(Curves!$B$4:$AO$4,1,51-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$4:$AO$4,1,51-Projects!$C$36+1)*Assumptions!$B$11*0.95+0.05*Projects!$B$36*Assumptions!$B$11,Projects!$B$36*INDEX(Curves!$B$4:$AO$4,1,51-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$4:$AO$4,1,51-Projects!$C$39+1)*Assumptions!$B$11*0.95+0.05*Projects!$B$39*Assumptions!$B$11,Projects!$B$39*INDEX(Curves!$B$4:$AO$4,1,51-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$4:$AO$4,1,51-Projects!$C$42+1)*Assumptions!$B$11*0.95+0.05*Projects!$B$42*Assumptions!$B$11,Projects!$B$42*INDEX(Curves!$B$4:$AO$4,1,51-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$4:$AO$4,1,51-Projects!$C$45+1)*Assumptions!$B$11*0.95+0.05*Projects!$B$45*Assumptions!$B$11,Projects!$B$45*INDEX(Curves!$B$4:$AO$4,1,51-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0</v>
      </c>
      <c r="BB109">
        <f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$4:$AO$4,1,52-Projects!$C$31+1)*Assumptions!$B$11*0.95+0.05*Projects!$B$31*Assumptions!$B$11,Projects!$B$31*INDEX(Curves!$B$4:$AO$4,1,52-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$4:$AO$4,1,52-Projects!$C$34+1)*Assumptions!$B$11*0.95+0.05*Projects!$B$34*Assumptions!$B$11,Projects!$B$34*INDEX(Curves!$B$4:$AO$4,1,52-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$4:$AO$4,1,52-Projects!$C$36+1)*Assumptions!$B$11*0.95+0.05*Projects!$B$36*Assumptions!$B$11,Projects!$B$36*INDEX(Curves!$B$4:$AO$4,1,52-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$4:$AO$4,1,52-Projects!$C$39+1)*Assumptions!$B$11*0.95+0.05*Projects!$B$39*Assumptions!$B$11,Projects!$B$39*INDEX(Curves!$B$4:$AO$4,1,52-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$4:$AO$4,1,52-Projects!$C$42+1)*Assumptions!$B$11*0.95+0.05*Projects!$B$42*Assumptions!$B$11,Projects!$B$42*INDEX(Curves!$B$4:$AO$4,1,52-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$4:$AO$4,1,52-Projects!$C$45+1)*Assumptions!$B$11*0.95+0.05*Projects!$B$45*Assumptions!$B$11,Projects!$B$45*INDEX(Curves!$B$4:$AO$4,1,52-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0</v>
      </c>
      <c r="BC109">
        <f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$4:$AO$4,1,53-Projects!$C$31+1)*Assumptions!$B$11*0.95+0.05*Projects!$B$31*Assumptions!$B$11,Projects!$B$31*INDEX(Curves!$B$4:$AO$4,1,53-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$4:$AO$4,1,53-Projects!$C$34+1)*Assumptions!$B$11*0.95+0.05*Projects!$B$34*Assumptions!$B$11,Projects!$B$34*INDEX(Curves!$B$4:$AO$4,1,53-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$4:$AO$4,1,53-Projects!$C$36+1)*Assumptions!$B$11*0.95+0.05*Projects!$B$36*Assumptions!$B$11,Projects!$B$36*INDEX(Curves!$B$4:$AO$4,1,53-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$4:$AO$4,1,53-Projects!$C$39+1)*Assumptions!$B$11*0.95+0.05*Projects!$B$39*Assumptions!$B$11,Projects!$B$39*INDEX(Curves!$B$4:$AO$4,1,53-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$4:$AO$4,1,53-Projects!$C$42+1)*Assumptions!$B$11*0.95+0.05*Projects!$B$42*Assumptions!$B$11,Projects!$B$42*INDEX(Curves!$B$4:$AO$4,1,53-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$4:$AO$4,1,53-Projects!$C$45+1)*Assumptions!$B$11*0.95+0.05*Projects!$B$45*Assumptions!$B$11,Projects!$B$45*INDEX(Curves!$B$4:$AO$4,1,53-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0</v>
      </c>
      <c r="BD109">
        <f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$4:$AO$4,1,54-Projects!$C$31+1)*Assumptions!$B$11*0.95+0.05*Projects!$B$31*Assumptions!$B$11,Projects!$B$31*INDEX(Curves!$B$4:$AO$4,1,54-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$4:$AO$4,1,54-Projects!$C$34+1)*Assumptions!$B$11*0.95+0.05*Projects!$B$34*Assumptions!$B$11,Projects!$B$34*INDEX(Curves!$B$4:$AO$4,1,54-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$4:$AO$4,1,54-Projects!$C$36+1)*Assumptions!$B$11*0.95+0.05*Projects!$B$36*Assumptions!$B$11,Projects!$B$36*INDEX(Curves!$B$4:$AO$4,1,54-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$4:$AO$4,1,54-Projects!$C$39+1)*Assumptions!$B$11*0.95+0.05*Projects!$B$39*Assumptions!$B$11,Projects!$B$39*INDEX(Curves!$B$4:$AO$4,1,54-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$4:$AO$4,1,54-Projects!$C$42+1)*Assumptions!$B$11*0.95+0.05*Projects!$B$42*Assumptions!$B$11,Projects!$B$42*INDEX(Curves!$B$4:$AO$4,1,54-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$4:$AO$4,1,54-Projects!$C$45+1)*Assumptions!$B$11*0.95+0.05*Projects!$B$45*Assumptions!$B$11,Projects!$B$45*INDEX(Curves!$B$4:$AO$4,1,54-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0</v>
      </c>
      <c r="BE109">
        <f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$4:$AO$4,1,55-Projects!$C$31+1)*Assumptions!$B$11*0.95+0.05*Projects!$B$31*Assumptions!$B$11,Projects!$B$31*INDEX(Curves!$B$4:$AO$4,1,55-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$4:$AO$4,1,55-Projects!$C$34+1)*Assumptions!$B$11*0.95+0.05*Projects!$B$34*Assumptions!$B$11,Projects!$B$34*INDEX(Curves!$B$4:$AO$4,1,55-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$4:$AO$4,1,55-Projects!$C$36+1)*Assumptions!$B$11*0.95+0.05*Projects!$B$36*Assumptions!$B$11,Projects!$B$36*INDEX(Curves!$B$4:$AO$4,1,55-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$4:$AO$4,1,55-Projects!$C$39+1)*Assumptions!$B$11*0.95+0.05*Projects!$B$39*Assumptions!$B$11,Projects!$B$39*INDEX(Curves!$B$4:$AO$4,1,55-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$4:$AO$4,1,55-Projects!$C$42+1)*Assumptions!$B$11*0.95+0.05*Projects!$B$42*Assumptions!$B$11,Projects!$B$42*INDEX(Curves!$B$4:$AO$4,1,55-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$4:$AO$4,1,55-Projects!$C$45+1)*Assumptions!$B$11*0.95+0.05*Projects!$B$45*Assumptions!$B$11,Projects!$B$45*INDEX(Curves!$B$4:$AO$4,1,55-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0</v>
      </c>
      <c r="BF109">
        <f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$4:$AO$4,1,56-Projects!$C$31+1)*Assumptions!$B$11*0.95+0.05*Projects!$B$31*Assumptions!$B$11,Projects!$B$31*INDEX(Curves!$B$4:$AO$4,1,56-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$4:$AO$4,1,56-Projects!$C$34+1)*Assumptions!$B$11*0.95+0.05*Projects!$B$34*Assumptions!$B$11,Projects!$B$34*INDEX(Curves!$B$4:$AO$4,1,56-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$4:$AO$4,1,56-Projects!$C$36+1)*Assumptions!$B$11*0.95+0.05*Projects!$B$36*Assumptions!$B$11,Projects!$B$36*INDEX(Curves!$B$4:$AO$4,1,56-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$4:$AO$4,1,56-Projects!$C$39+1)*Assumptions!$B$11*0.95+0.05*Projects!$B$39*Assumptions!$B$11,Projects!$B$39*INDEX(Curves!$B$4:$AO$4,1,56-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$4:$AO$4,1,56-Projects!$C$42+1)*Assumptions!$B$11*0.95+0.05*Projects!$B$42*Assumptions!$B$11,Projects!$B$42*INDEX(Curves!$B$4:$AO$4,1,56-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$4:$AO$4,1,56-Projects!$C$45+1)*Assumptions!$B$11*0.95+0.05*Projects!$B$45*Assumptions!$B$11,Projects!$B$45*INDEX(Curves!$B$4:$AO$4,1,56-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0</v>
      </c>
      <c r="BG109">
        <f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$4:$AO$4,1,57-Projects!$C$31+1)*Assumptions!$B$11*0.95+0.05*Projects!$B$31*Assumptions!$B$11,Projects!$B$31*INDEX(Curves!$B$4:$AO$4,1,57-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$4:$AO$4,1,57-Projects!$C$34+1)*Assumptions!$B$11*0.95+0.05*Projects!$B$34*Assumptions!$B$11,Projects!$B$34*INDEX(Curves!$B$4:$AO$4,1,57-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$4:$AO$4,1,57-Projects!$C$36+1)*Assumptions!$B$11*0.95+0.05*Projects!$B$36*Assumptions!$B$11,Projects!$B$36*INDEX(Curves!$B$4:$AO$4,1,57-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$4:$AO$4,1,57-Projects!$C$39+1)*Assumptions!$B$11*0.95+0.05*Projects!$B$39*Assumptions!$B$11,Projects!$B$39*INDEX(Curves!$B$4:$AO$4,1,57-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$4:$AO$4,1,57-Projects!$C$42+1)*Assumptions!$B$11*0.95+0.05*Projects!$B$42*Assumptions!$B$11,Projects!$B$42*INDEX(Curves!$B$4:$AO$4,1,57-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$4:$AO$4,1,57-Projects!$C$45+1)*Assumptions!$B$11*0.95+0.05*Projects!$B$45*Assumptions!$B$11,Projects!$B$45*INDEX(Curves!$B$4:$AO$4,1,57-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0</v>
      </c>
      <c r="BH109">
        <f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$4:$AO$4,1,58-Projects!$C$31+1)*Assumptions!$B$11*0.95+0.05*Projects!$B$31*Assumptions!$B$11,Projects!$B$31*INDEX(Curves!$B$4:$AO$4,1,58-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$4:$AO$4,1,58-Projects!$C$34+1)*Assumptions!$B$11*0.95+0.05*Projects!$B$34*Assumptions!$B$11,Projects!$B$34*INDEX(Curves!$B$4:$AO$4,1,58-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$4:$AO$4,1,58-Projects!$C$36+1)*Assumptions!$B$11*0.95+0.05*Projects!$B$36*Assumptions!$B$11,Projects!$B$36*INDEX(Curves!$B$4:$AO$4,1,58-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$4:$AO$4,1,58-Projects!$C$39+1)*Assumptions!$B$11*0.95+0.05*Projects!$B$39*Assumptions!$B$11,Projects!$B$39*INDEX(Curves!$B$4:$AO$4,1,58-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$4:$AO$4,1,58-Projects!$C$42+1)*Assumptions!$B$11*0.95+0.05*Projects!$B$42*Assumptions!$B$11,Projects!$B$42*INDEX(Curves!$B$4:$AO$4,1,58-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$4:$AO$4,1,58-Projects!$C$45+1)*Assumptions!$B$11*0.95+0.05*Projects!$B$45*Assumptions!$B$11,Projects!$B$45*INDEX(Curves!$B$4:$AO$4,1,58-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0</v>
      </c>
      <c r="BI109">
        <f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$4:$AO$4,1,59-Projects!$C$31+1)*Assumptions!$B$11*0.95+0.05*Projects!$B$31*Assumptions!$B$11,Projects!$B$31*INDEX(Curves!$B$4:$AO$4,1,59-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$4:$AO$4,1,59-Projects!$C$34+1)*Assumptions!$B$11*0.95+0.05*Projects!$B$34*Assumptions!$B$11,Projects!$B$34*INDEX(Curves!$B$4:$AO$4,1,59-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$4:$AO$4,1,59-Projects!$C$36+1)*Assumptions!$B$11*0.95+0.05*Projects!$B$36*Assumptions!$B$11,Projects!$B$36*INDEX(Curves!$B$4:$AO$4,1,59-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$4:$AO$4,1,59-Projects!$C$39+1)*Assumptions!$B$11*0.95+0.05*Projects!$B$39*Assumptions!$B$11,Projects!$B$39*INDEX(Curves!$B$4:$AO$4,1,59-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$4:$AO$4,1,59-Projects!$C$42+1)*Assumptions!$B$11*0.95+0.05*Projects!$B$42*Assumptions!$B$11,Projects!$B$42*INDEX(Curves!$B$4:$AO$4,1,59-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$4:$AO$4,1,59-Projects!$C$45+1)*Assumptions!$B$11*0.95+0.05*Projects!$B$45*Assumptions!$B$11,Projects!$B$45*INDEX(Curves!$B$4:$AO$4,1,59-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0</v>
      </c>
      <c r="BJ109">
        <f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$4:$AO$4,1,60-Projects!$C$31+1)*Assumptions!$B$11*0.95+0.05*Projects!$B$31*Assumptions!$B$11,Projects!$B$31*INDEX(Curves!$B$4:$AO$4,1,60-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$4:$AO$4,1,60-Projects!$C$34+1)*Assumptions!$B$11*0.95+0.05*Projects!$B$34*Assumptions!$B$11,Projects!$B$34*INDEX(Curves!$B$4:$AO$4,1,60-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$4:$AO$4,1,60-Projects!$C$36+1)*Assumptions!$B$11*0.95+0.05*Projects!$B$36*Assumptions!$B$11,Projects!$B$36*INDEX(Curves!$B$4:$AO$4,1,60-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$4:$AO$4,1,60-Projects!$C$39+1)*Assumptions!$B$11*0.95+0.05*Projects!$B$39*Assumptions!$B$11,Projects!$B$39*INDEX(Curves!$B$4:$AO$4,1,60-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$4:$AO$4,1,60-Projects!$C$42+1)*Assumptions!$B$11*0.95+0.05*Projects!$B$42*Assumptions!$B$11,Projects!$B$42*INDEX(Curves!$B$4:$AO$4,1,60-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$4:$AO$4,1,60-Projects!$C$45+1)*Assumptions!$B$11*0.95+0.05*Projects!$B$45*Assumptions!$B$11,Projects!$B$45*INDEX(Curves!$B$4:$AO$4,1,60-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0</v>
      </c>
      <c r="BK109">
        <f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$4:$AO$4,1,61-Projects!$C$31+1)*Assumptions!$B$11*0.95+0.05*Projects!$B$31*Assumptions!$B$11,Projects!$B$31*INDEX(Curves!$B$4:$AO$4,1,61-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$4:$AO$4,1,61-Projects!$C$34+1)*Assumptions!$B$11*0.95+0.05*Projects!$B$34*Assumptions!$B$11,Projects!$B$34*INDEX(Curves!$B$4:$AO$4,1,61-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$4:$AO$4,1,61-Projects!$C$36+1)*Assumptions!$B$11*0.95+0.05*Projects!$B$36*Assumptions!$B$11,Projects!$B$36*INDEX(Curves!$B$4:$AO$4,1,61-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$4:$AO$4,1,61-Projects!$C$39+1)*Assumptions!$B$11*0.95+0.05*Projects!$B$39*Assumptions!$B$11,Projects!$B$39*INDEX(Curves!$B$4:$AO$4,1,61-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$4:$AO$4,1,61-Projects!$C$42+1)*Assumptions!$B$11*0.95+0.05*Projects!$B$42*Assumptions!$B$11,Projects!$B$42*INDEX(Curves!$B$4:$AO$4,1,61-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$4:$AO$4,1,61-Projects!$C$45+1)*Assumptions!$B$11*0.95+0.05*Projects!$B$45*Assumptions!$B$11,Projects!$B$45*INDEX(Curves!$B$4:$AO$4,1,61-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0</v>
      </c>
      <c r="BL109">
        <f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$4:$AO$4,1,62-Projects!$C$31+1)*Assumptions!$B$11*0.95+0.05*Projects!$B$31*Assumptions!$B$11,Projects!$B$31*INDEX(Curves!$B$4:$AO$4,1,62-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$4:$AO$4,1,62-Projects!$C$34+1)*Assumptions!$B$11*0.95+0.05*Projects!$B$34*Assumptions!$B$11,Projects!$B$34*INDEX(Curves!$B$4:$AO$4,1,62-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$4:$AO$4,1,62-Projects!$C$36+1)*Assumptions!$B$11*0.95+0.05*Projects!$B$36*Assumptions!$B$11,Projects!$B$36*INDEX(Curves!$B$4:$AO$4,1,62-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$4:$AO$4,1,62-Projects!$C$39+1)*Assumptions!$B$11*0.95+0.05*Projects!$B$39*Assumptions!$B$11,Projects!$B$39*INDEX(Curves!$B$4:$AO$4,1,62-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$4:$AO$4,1,62-Projects!$C$42+1)*Assumptions!$B$11*0.95+0.05*Projects!$B$42*Assumptions!$B$11,Projects!$B$42*INDEX(Curves!$B$4:$AO$4,1,62-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$4:$AO$4,1,62-Projects!$C$45+1)*Assumptions!$B$11*0.95+0.05*Projects!$B$45*Assumptions!$B$11,Projects!$B$45*INDEX(Curves!$B$4:$AO$4,1,62-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0</v>
      </c>
      <c r="BM109">
        <f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$4:$AO$4,1,63-Projects!$C$31+1)*Assumptions!$B$11*0.95+0.05*Projects!$B$31*Assumptions!$B$11,Projects!$B$31*INDEX(Curves!$B$4:$AO$4,1,63-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$4:$AO$4,1,63-Projects!$C$34+1)*Assumptions!$B$11*0.95+0.05*Projects!$B$34*Assumptions!$B$11,Projects!$B$34*INDEX(Curves!$B$4:$AO$4,1,63-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$4:$AO$4,1,63-Projects!$C$36+1)*Assumptions!$B$11*0.95+0.05*Projects!$B$36*Assumptions!$B$11,Projects!$B$36*INDEX(Curves!$B$4:$AO$4,1,63-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$4:$AO$4,1,63-Projects!$C$39+1)*Assumptions!$B$11*0.95+0.05*Projects!$B$39*Assumptions!$B$11,Projects!$B$39*INDEX(Curves!$B$4:$AO$4,1,63-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$4:$AO$4,1,63-Projects!$C$42+1)*Assumptions!$B$11*0.95+0.05*Projects!$B$42*Assumptions!$B$11,Projects!$B$42*INDEX(Curves!$B$4:$AO$4,1,63-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$4:$AO$4,1,63-Projects!$C$45+1)*Assumptions!$B$11*0.95+0.05*Projects!$B$45*Assumptions!$B$11,Projects!$B$45*INDEX(Curves!$B$4:$AO$4,1,63-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0</v>
      </c>
      <c r="BN109">
        <f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$4:$AO$4,1,64-Projects!$C$31+1)*Assumptions!$B$11*0.95+0.05*Projects!$B$31*Assumptions!$B$11,Projects!$B$31*INDEX(Curves!$B$4:$AO$4,1,64-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$4:$AO$4,1,64-Projects!$C$34+1)*Assumptions!$B$11*0.95+0.05*Projects!$B$34*Assumptions!$B$11,Projects!$B$34*INDEX(Curves!$B$4:$AO$4,1,64-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$4:$AO$4,1,64-Projects!$C$36+1)*Assumptions!$B$11*0.95+0.05*Projects!$B$36*Assumptions!$B$11,Projects!$B$36*INDEX(Curves!$B$4:$AO$4,1,64-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$4:$AO$4,1,64-Projects!$C$39+1)*Assumptions!$B$11*0.95+0.05*Projects!$B$39*Assumptions!$B$11,Projects!$B$39*INDEX(Curves!$B$4:$AO$4,1,64-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$4:$AO$4,1,64-Projects!$C$42+1)*Assumptions!$B$11*0.95+0.05*Projects!$B$42*Assumptions!$B$11,Projects!$B$42*INDEX(Curves!$B$4:$AO$4,1,64-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$4:$AO$4,1,64-Projects!$C$45+1)*Assumptions!$B$11*0.95+0.05*Projects!$B$45*Assumptions!$B$11,Projects!$B$45*INDEX(Curves!$B$4:$AO$4,1,64-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0</v>
      </c>
      <c r="BO109">
        <f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$4:$AO$4,1,65-Projects!$C$31+1)*Assumptions!$B$11*0.95+0.05*Projects!$B$31*Assumptions!$B$11,Projects!$B$31*INDEX(Curves!$B$4:$AO$4,1,65-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$4:$AO$4,1,65-Projects!$C$34+1)*Assumptions!$B$11*0.95+0.05*Projects!$B$34*Assumptions!$B$11,Projects!$B$34*INDEX(Curves!$B$4:$AO$4,1,65-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$4:$AO$4,1,65-Projects!$C$36+1)*Assumptions!$B$11*0.95+0.05*Projects!$B$36*Assumptions!$B$11,Projects!$B$36*INDEX(Curves!$B$4:$AO$4,1,65-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$4:$AO$4,1,65-Projects!$C$39+1)*Assumptions!$B$11*0.95+0.05*Projects!$B$39*Assumptions!$B$11,Projects!$B$39*INDEX(Curves!$B$4:$AO$4,1,65-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$4:$AO$4,1,65-Projects!$C$42+1)*Assumptions!$B$11*0.95+0.05*Projects!$B$42*Assumptions!$B$11,Projects!$B$42*INDEX(Curves!$B$4:$AO$4,1,65-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$4:$AO$4,1,65-Projects!$C$45+1)*Assumptions!$B$11*0.95+0.05*Projects!$B$45*Assumptions!$B$11,Projects!$B$45*INDEX(Curves!$B$4:$AO$4,1,65-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0</v>
      </c>
      <c r="BP109">
        <f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$4:$AO$4,1,66-Projects!$C$31+1)*Assumptions!$B$11*0.95+0.05*Projects!$B$31*Assumptions!$B$11,Projects!$B$31*INDEX(Curves!$B$4:$AO$4,1,66-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$4:$AO$4,1,66-Projects!$C$34+1)*Assumptions!$B$11*0.95+0.05*Projects!$B$34*Assumptions!$B$11,Projects!$B$34*INDEX(Curves!$B$4:$AO$4,1,66-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$4:$AO$4,1,66-Projects!$C$36+1)*Assumptions!$B$11*0.95+0.05*Projects!$B$36*Assumptions!$B$11,Projects!$B$36*INDEX(Curves!$B$4:$AO$4,1,66-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$4:$AO$4,1,66-Projects!$C$39+1)*Assumptions!$B$11*0.95+0.05*Projects!$B$39*Assumptions!$B$11,Projects!$B$39*INDEX(Curves!$B$4:$AO$4,1,66-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$4:$AO$4,1,66-Projects!$C$42+1)*Assumptions!$B$11*0.95+0.05*Projects!$B$42*Assumptions!$B$11,Projects!$B$42*INDEX(Curves!$B$4:$AO$4,1,66-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$4:$AO$4,1,66-Projects!$C$45+1)*Assumptions!$B$11*0.95+0.05*Projects!$B$45*Assumptions!$B$11,Projects!$B$45*INDEX(Curves!$B$4:$AO$4,1,66-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0</v>
      </c>
      <c r="BQ109">
        <f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$4:$AO$4,1,67-Projects!$C$31+1)*Assumptions!$B$11*0.95+0.05*Projects!$B$31*Assumptions!$B$11,Projects!$B$31*INDEX(Curves!$B$4:$AO$4,1,67-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$4:$AO$4,1,67-Projects!$C$34+1)*Assumptions!$B$11*0.95+0.05*Projects!$B$34*Assumptions!$B$11,Projects!$B$34*INDEX(Curves!$B$4:$AO$4,1,67-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$4:$AO$4,1,67-Projects!$C$36+1)*Assumptions!$B$11*0.95+0.05*Projects!$B$36*Assumptions!$B$11,Projects!$B$36*INDEX(Curves!$B$4:$AO$4,1,67-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$4:$AO$4,1,67-Projects!$C$39+1)*Assumptions!$B$11*0.95+0.05*Projects!$B$39*Assumptions!$B$11,Projects!$B$39*INDEX(Curves!$B$4:$AO$4,1,67-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$4:$AO$4,1,67-Projects!$C$42+1)*Assumptions!$B$11*0.95+0.05*Projects!$B$42*Assumptions!$B$11,Projects!$B$42*INDEX(Curves!$B$4:$AO$4,1,67-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$4:$AO$4,1,67-Projects!$C$45+1)*Assumptions!$B$11*0.95+0.05*Projects!$B$45*Assumptions!$B$11,Projects!$B$45*INDEX(Curves!$B$4:$AO$4,1,67-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0</v>
      </c>
      <c r="BR109">
        <f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$4:$AO$4,1,68-Projects!$C$31+1)*Assumptions!$B$11*0.95+0.05*Projects!$B$31*Assumptions!$B$11,Projects!$B$31*INDEX(Curves!$B$4:$AO$4,1,68-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$4:$AO$4,1,68-Projects!$C$34+1)*Assumptions!$B$11*0.95+0.05*Projects!$B$34*Assumptions!$B$11,Projects!$B$34*INDEX(Curves!$B$4:$AO$4,1,68-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$4:$AO$4,1,68-Projects!$C$36+1)*Assumptions!$B$11*0.95+0.05*Projects!$B$36*Assumptions!$B$11,Projects!$B$36*INDEX(Curves!$B$4:$AO$4,1,68-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$4:$AO$4,1,68-Projects!$C$39+1)*Assumptions!$B$11*0.95+0.05*Projects!$B$39*Assumptions!$B$11,Projects!$B$39*INDEX(Curves!$B$4:$AO$4,1,68-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$4:$AO$4,1,68-Projects!$C$42+1)*Assumptions!$B$11*0.95+0.05*Projects!$B$42*Assumptions!$B$11,Projects!$B$42*INDEX(Curves!$B$4:$AO$4,1,68-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$4:$AO$4,1,68-Projects!$C$45+1)*Assumptions!$B$11*0.95+0.05*Projects!$B$45*Assumptions!$B$11,Projects!$B$45*INDEX(Curves!$B$4:$AO$4,1,68-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0</v>
      </c>
      <c r="BS109">
        <f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$4:$AO$4,1,69-Projects!$C$31+1)*Assumptions!$B$11*0.95+0.05*Projects!$B$31*Assumptions!$B$11,Projects!$B$31*INDEX(Curves!$B$4:$AO$4,1,69-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$4:$AO$4,1,69-Projects!$C$34+1)*Assumptions!$B$11*0.95+0.05*Projects!$B$34*Assumptions!$B$11,Projects!$B$34*INDEX(Curves!$B$4:$AO$4,1,69-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$4:$AO$4,1,69-Projects!$C$36+1)*Assumptions!$B$11*0.95+0.05*Projects!$B$36*Assumptions!$B$11,Projects!$B$36*INDEX(Curves!$B$4:$AO$4,1,69-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$4:$AO$4,1,69-Projects!$C$39+1)*Assumptions!$B$11*0.95+0.05*Projects!$B$39*Assumptions!$B$11,Projects!$B$39*INDEX(Curves!$B$4:$AO$4,1,69-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$4:$AO$4,1,69-Projects!$C$42+1)*Assumptions!$B$11*0.95+0.05*Projects!$B$42*Assumptions!$B$11,Projects!$B$42*INDEX(Curves!$B$4:$AO$4,1,69-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$4:$AO$4,1,69-Projects!$C$45+1)*Assumptions!$B$11*0.95+0.05*Projects!$B$45*Assumptions!$B$11,Projects!$B$45*INDEX(Curves!$B$4:$AO$4,1,69-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0</v>
      </c>
      <c r="BT109">
        <f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$4:$AO$4,1,70-Projects!$C$31+1)*Assumptions!$B$11*0.95+0.05*Projects!$B$31*Assumptions!$B$11,Projects!$B$31*INDEX(Curves!$B$4:$AO$4,1,70-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$4:$AO$4,1,70-Projects!$C$34+1)*Assumptions!$B$11*0.95+0.05*Projects!$B$34*Assumptions!$B$11,Projects!$B$34*INDEX(Curves!$B$4:$AO$4,1,70-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$4:$AO$4,1,70-Projects!$C$36+1)*Assumptions!$B$11*0.95+0.05*Projects!$B$36*Assumptions!$B$11,Projects!$B$36*INDEX(Curves!$B$4:$AO$4,1,70-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$4:$AO$4,1,70-Projects!$C$39+1)*Assumptions!$B$11*0.95+0.05*Projects!$B$39*Assumptions!$B$11,Projects!$B$39*INDEX(Curves!$B$4:$AO$4,1,70-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$4:$AO$4,1,70-Projects!$C$42+1)*Assumptions!$B$11*0.95+0.05*Projects!$B$42*Assumptions!$B$11,Projects!$B$42*INDEX(Curves!$B$4:$AO$4,1,70-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$4:$AO$4,1,70-Projects!$C$45+1)*Assumptions!$B$11*0.95+0.05*Projects!$B$45*Assumptions!$B$11,Projects!$B$45*INDEX(Curves!$B$4:$AO$4,1,70-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0</v>
      </c>
      <c r="BU109">
        <f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$4:$AO$4,1,71-Projects!$C$31+1)*Assumptions!$B$11*0.95+0.05*Projects!$B$31*Assumptions!$B$11,Projects!$B$31*INDEX(Curves!$B$4:$AO$4,1,71-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$4:$AO$4,1,71-Projects!$C$34+1)*Assumptions!$B$11*0.95+0.05*Projects!$B$34*Assumptions!$B$11,Projects!$B$34*INDEX(Curves!$B$4:$AO$4,1,71-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$4:$AO$4,1,71-Projects!$C$36+1)*Assumptions!$B$11*0.95+0.05*Projects!$B$36*Assumptions!$B$11,Projects!$B$36*INDEX(Curves!$B$4:$AO$4,1,71-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$4:$AO$4,1,71-Projects!$C$39+1)*Assumptions!$B$11*0.95+0.05*Projects!$B$39*Assumptions!$B$11,Projects!$B$39*INDEX(Curves!$B$4:$AO$4,1,71-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$4:$AO$4,1,71-Projects!$C$42+1)*Assumptions!$B$11*0.95+0.05*Projects!$B$42*Assumptions!$B$11,Projects!$B$42*INDEX(Curves!$B$4:$AO$4,1,71-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$4:$AO$4,1,71-Projects!$C$45+1)*Assumptions!$B$11*0.95+0.05*Projects!$B$45*Assumptions!$B$11,Projects!$B$45*INDEX(Curves!$B$4:$AO$4,1,71-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0</v>
      </c>
      <c r="BV109">
        <f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$4:$AO$4,1,72-Projects!$C$31+1)*Assumptions!$B$11*0.95+0.05*Projects!$B$31*Assumptions!$B$11,Projects!$B$31*INDEX(Curves!$B$4:$AO$4,1,72-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$4:$AO$4,1,72-Projects!$C$34+1)*Assumptions!$B$11*0.95+0.05*Projects!$B$34*Assumptions!$B$11,Projects!$B$34*INDEX(Curves!$B$4:$AO$4,1,72-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$4:$AO$4,1,72-Projects!$C$36+1)*Assumptions!$B$11*0.95+0.05*Projects!$B$36*Assumptions!$B$11,Projects!$B$36*INDEX(Curves!$B$4:$AO$4,1,72-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$4:$AO$4,1,72-Projects!$C$39+1)*Assumptions!$B$11*0.95+0.05*Projects!$B$39*Assumptions!$B$11,Projects!$B$39*INDEX(Curves!$B$4:$AO$4,1,72-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$4:$AO$4,1,72-Projects!$C$42+1)*Assumptions!$B$11*0.95+0.05*Projects!$B$42*Assumptions!$B$11,Projects!$B$42*INDEX(Curves!$B$4:$AO$4,1,72-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$4:$AO$4,1,72-Projects!$C$45+1)*Assumptions!$B$11*0.95+0.05*Projects!$B$45*Assumptions!$B$11,Projects!$B$45*INDEX(Curves!$B$4:$AO$4,1,72-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0</v>
      </c>
      <c r="BW109">
        <f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$4:$AO$4,1,73-Projects!$C$31+1)*Assumptions!$B$11*0.95+0.05*Projects!$B$31*Assumptions!$B$11,Projects!$B$31*INDEX(Curves!$B$4:$AO$4,1,73-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$4:$AO$4,1,73-Projects!$C$34+1)*Assumptions!$B$11*0.95+0.05*Projects!$B$34*Assumptions!$B$11,Projects!$B$34*INDEX(Curves!$B$4:$AO$4,1,73-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$4:$AO$4,1,73-Projects!$C$36+1)*Assumptions!$B$11*0.95+0.05*Projects!$B$36*Assumptions!$B$11,Projects!$B$36*INDEX(Curves!$B$4:$AO$4,1,73-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$4:$AO$4,1,73-Projects!$C$39+1)*Assumptions!$B$11*0.95+0.05*Projects!$B$39*Assumptions!$B$11,Projects!$B$39*INDEX(Curves!$B$4:$AO$4,1,73-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$4:$AO$4,1,73-Projects!$C$42+1)*Assumptions!$B$11*0.95+0.05*Projects!$B$42*Assumptions!$B$11,Projects!$B$42*INDEX(Curves!$B$4:$AO$4,1,73-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$4:$AO$4,1,73-Projects!$C$45+1)*Assumptions!$B$11*0.95+0.05*Projects!$B$45*Assumptions!$B$11,Projects!$B$45*INDEX(Curves!$B$4:$AO$4,1,73-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0</v>
      </c>
      <c r="BX109">
        <f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$4:$AO$4,1,74-Projects!$C$31+1)*Assumptions!$B$11*0.95+0.05*Projects!$B$31*Assumptions!$B$11,Projects!$B$31*INDEX(Curves!$B$4:$AO$4,1,74-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$4:$AO$4,1,74-Projects!$C$34+1)*Assumptions!$B$11*0.95+0.05*Projects!$B$34*Assumptions!$B$11,Projects!$B$34*INDEX(Curves!$B$4:$AO$4,1,74-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$4:$AO$4,1,74-Projects!$C$36+1)*Assumptions!$B$11*0.95+0.05*Projects!$B$36*Assumptions!$B$11,Projects!$B$36*INDEX(Curves!$B$4:$AO$4,1,74-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$4:$AO$4,1,74-Projects!$C$39+1)*Assumptions!$B$11*0.95+0.05*Projects!$B$39*Assumptions!$B$11,Projects!$B$39*INDEX(Curves!$B$4:$AO$4,1,74-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$4:$AO$4,1,74-Projects!$C$42+1)*Assumptions!$B$11*0.95+0.05*Projects!$B$42*Assumptions!$B$11,Projects!$B$42*INDEX(Curves!$B$4:$AO$4,1,74-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$4:$AO$4,1,74-Projects!$C$45+1)*Assumptions!$B$11*0.95+0.05*Projects!$B$45*Assumptions!$B$11,Projects!$B$45*INDEX(Curves!$B$4:$AO$4,1,74-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0</v>
      </c>
      <c r="BY109">
        <f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$4:$AO$4,1,75-Projects!$C$31+1)*Assumptions!$B$11*0.95+0.05*Projects!$B$31*Assumptions!$B$11,Projects!$B$31*INDEX(Curves!$B$4:$AO$4,1,75-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$4:$AO$4,1,75-Projects!$C$34+1)*Assumptions!$B$11*0.95+0.05*Projects!$B$34*Assumptions!$B$11,Projects!$B$34*INDEX(Curves!$B$4:$AO$4,1,75-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$4:$AO$4,1,75-Projects!$C$36+1)*Assumptions!$B$11*0.95+0.05*Projects!$B$36*Assumptions!$B$11,Projects!$B$36*INDEX(Curves!$B$4:$AO$4,1,75-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$4:$AO$4,1,75-Projects!$C$39+1)*Assumptions!$B$11*0.95+0.05*Projects!$B$39*Assumptions!$B$11,Projects!$B$39*INDEX(Curves!$B$4:$AO$4,1,75-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$4:$AO$4,1,75-Projects!$C$42+1)*Assumptions!$B$11*0.95+0.05*Projects!$B$42*Assumptions!$B$11,Projects!$B$42*INDEX(Curves!$B$4:$AO$4,1,75-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$4:$AO$4,1,75-Projects!$C$45+1)*Assumptions!$B$11*0.95+0.05*Projects!$B$45*Assumptions!$B$11,Projects!$B$45*INDEX(Curves!$B$4:$AO$4,1,75-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0</v>
      </c>
      <c r="BZ109">
        <f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$4:$AO$4,1,76-Projects!$C$31+1)*Assumptions!$B$11*0.95+0.05*Projects!$B$31*Assumptions!$B$11,Projects!$B$31*INDEX(Curves!$B$4:$AO$4,1,76-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$4:$AO$4,1,76-Projects!$C$34+1)*Assumptions!$B$11*0.95+0.05*Projects!$B$34*Assumptions!$B$11,Projects!$B$34*INDEX(Curves!$B$4:$AO$4,1,76-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$4:$AO$4,1,76-Projects!$C$36+1)*Assumptions!$B$11*0.95+0.05*Projects!$B$36*Assumptions!$B$11,Projects!$B$36*INDEX(Curves!$B$4:$AO$4,1,76-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$4:$AO$4,1,76-Projects!$C$39+1)*Assumptions!$B$11*0.95+0.05*Projects!$B$39*Assumptions!$B$11,Projects!$B$39*INDEX(Curves!$B$4:$AO$4,1,76-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$4:$AO$4,1,76-Projects!$C$42+1)*Assumptions!$B$11*0.95+0.05*Projects!$B$42*Assumptions!$B$11,Projects!$B$42*INDEX(Curves!$B$4:$AO$4,1,76-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$4:$AO$4,1,76-Projects!$C$45+1)*Assumptions!$B$11*0.95+0.05*Projects!$B$45*Assumptions!$B$11,Projects!$B$45*INDEX(Curves!$B$4:$AO$4,1,76-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0</v>
      </c>
      <c r="CA109">
        <f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$4:$AO$4,1,77-Projects!$C$31+1)*Assumptions!$B$11*0.95+0.05*Projects!$B$31*Assumptions!$B$11,Projects!$B$31*INDEX(Curves!$B$4:$AO$4,1,77-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$4:$AO$4,1,77-Projects!$C$34+1)*Assumptions!$B$11*0.95+0.05*Projects!$B$34*Assumptions!$B$11,Projects!$B$34*INDEX(Curves!$B$4:$AO$4,1,77-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$4:$AO$4,1,77-Projects!$C$36+1)*Assumptions!$B$11*0.95+0.05*Projects!$B$36*Assumptions!$B$11,Projects!$B$36*INDEX(Curves!$B$4:$AO$4,1,77-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$4:$AO$4,1,77-Projects!$C$39+1)*Assumptions!$B$11*0.95+0.05*Projects!$B$39*Assumptions!$B$11,Projects!$B$39*INDEX(Curves!$B$4:$AO$4,1,77-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$4:$AO$4,1,77-Projects!$C$42+1)*Assumptions!$B$11*0.95+0.05*Projects!$B$42*Assumptions!$B$11,Projects!$B$42*INDEX(Curves!$B$4:$AO$4,1,77-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$4:$AO$4,1,77-Projects!$C$45+1)*Assumptions!$B$11*0.95+0.05*Projects!$B$45*Assumptions!$B$11,Projects!$B$45*INDEX(Curves!$B$4:$AO$4,1,77-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0</v>
      </c>
      <c r="CB109">
        <f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$4:$AO$4,1,78-Projects!$C$31+1)*Assumptions!$B$11*0.95+0.05*Projects!$B$31*Assumptions!$B$11,Projects!$B$31*INDEX(Curves!$B$4:$AO$4,1,78-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$4:$AO$4,1,78-Projects!$C$34+1)*Assumptions!$B$11*0.95+0.05*Projects!$B$34*Assumptions!$B$11,Projects!$B$34*INDEX(Curves!$B$4:$AO$4,1,78-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$4:$AO$4,1,78-Projects!$C$36+1)*Assumptions!$B$11*0.95+0.05*Projects!$B$36*Assumptions!$B$11,Projects!$B$36*INDEX(Curves!$B$4:$AO$4,1,78-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$4:$AO$4,1,78-Projects!$C$39+1)*Assumptions!$B$11*0.95+0.05*Projects!$B$39*Assumptions!$B$11,Projects!$B$39*INDEX(Curves!$B$4:$AO$4,1,78-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$4:$AO$4,1,78-Projects!$C$42+1)*Assumptions!$B$11*0.95+0.05*Projects!$B$42*Assumptions!$B$11,Projects!$B$42*INDEX(Curves!$B$4:$AO$4,1,78-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$4:$AO$4,1,78-Projects!$C$45+1)*Assumptions!$B$11*0.95+0.05*Projects!$B$45*Assumptions!$B$11,Projects!$B$45*INDEX(Curves!$B$4:$AO$4,1,78-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0</v>
      </c>
      <c r="CC109">
        <f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$4:$AO$4,1,79-Projects!$C$31+1)*Assumptions!$B$11*0.95+0.05*Projects!$B$31*Assumptions!$B$11,Projects!$B$31*INDEX(Curves!$B$4:$AO$4,1,79-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$4:$AO$4,1,79-Projects!$C$34+1)*Assumptions!$B$11*0.95+0.05*Projects!$B$34*Assumptions!$B$11,Projects!$B$34*INDEX(Curves!$B$4:$AO$4,1,79-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$4:$AO$4,1,79-Projects!$C$36+1)*Assumptions!$B$11*0.95+0.05*Projects!$B$36*Assumptions!$B$11,Projects!$B$36*INDEX(Curves!$B$4:$AO$4,1,79-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$4:$AO$4,1,79-Projects!$C$39+1)*Assumptions!$B$11*0.95+0.05*Projects!$B$39*Assumptions!$B$11,Projects!$B$39*INDEX(Curves!$B$4:$AO$4,1,79-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$4:$AO$4,1,79-Projects!$C$42+1)*Assumptions!$B$11*0.95+0.05*Projects!$B$42*Assumptions!$B$11,Projects!$B$42*INDEX(Curves!$B$4:$AO$4,1,79-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$4:$AO$4,1,79-Projects!$C$45+1)*Assumptions!$B$11*0.95+0.05*Projects!$B$45*Assumptions!$B$11,Projects!$B$45*INDEX(Curves!$B$4:$AO$4,1,79-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0</v>
      </c>
      <c r="CD109">
        <f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$4:$AO$4,1,80-Projects!$C$31+1)*Assumptions!$B$11*0.95+0.05*Projects!$B$31*Assumptions!$B$11,Projects!$B$31*INDEX(Curves!$B$4:$AO$4,1,80-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$4:$AO$4,1,80-Projects!$C$34+1)*Assumptions!$B$11*0.95+0.05*Projects!$B$34*Assumptions!$B$11,Projects!$B$34*INDEX(Curves!$B$4:$AO$4,1,80-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$4:$AO$4,1,80-Projects!$C$36+1)*Assumptions!$B$11*0.95+0.05*Projects!$B$36*Assumptions!$B$11,Projects!$B$36*INDEX(Curves!$B$4:$AO$4,1,80-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$4:$AO$4,1,80-Projects!$C$39+1)*Assumptions!$B$11*0.95+0.05*Projects!$B$39*Assumptions!$B$11,Projects!$B$39*INDEX(Curves!$B$4:$AO$4,1,80-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$4:$AO$4,1,80-Projects!$C$42+1)*Assumptions!$B$11*0.95+0.05*Projects!$B$42*Assumptions!$B$11,Projects!$B$42*INDEX(Curves!$B$4:$AO$4,1,80-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$4:$AO$4,1,80-Projects!$C$45+1)*Assumptions!$B$11*0.95+0.05*Projects!$B$45*Assumptions!$B$11,Projects!$B$45*INDEX(Curves!$B$4:$AO$4,1,80-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0</v>
      </c>
      <c r="CE109">
        <f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$4:$AO$4,1,81-Projects!$C$31+1)*Assumptions!$B$11*0.95+0.05*Projects!$B$31*Assumptions!$B$11,Projects!$B$31*INDEX(Curves!$B$4:$AO$4,1,81-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$4:$AO$4,1,81-Projects!$C$34+1)*Assumptions!$B$11*0.95+0.05*Projects!$B$34*Assumptions!$B$11,Projects!$B$34*INDEX(Curves!$B$4:$AO$4,1,81-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$4:$AO$4,1,81-Projects!$C$36+1)*Assumptions!$B$11*0.95+0.05*Projects!$B$36*Assumptions!$B$11,Projects!$B$36*INDEX(Curves!$B$4:$AO$4,1,81-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$4:$AO$4,1,81-Projects!$C$39+1)*Assumptions!$B$11*0.95+0.05*Projects!$B$39*Assumptions!$B$11,Projects!$B$39*INDEX(Curves!$B$4:$AO$4,1,81-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$4:$AO$4,1,81-Projects!$C$42+1)*Assumptions!$B$11*0.95+0.05*Projects!$B$42*Assumptions!$B$11,Projects!$B$42*INDEX(Curves!$B$4:$AO$4,1,81-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$4:$AO$4,1,81-Projects!$C$45+1)*Assumptions!$B$11*0.95+0.05*Projects!$B$45*Assumptions!$B$11,Projects!$B$45*INDEX(Curves!$B$4:$AO$4,1,81-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0</v>
      </c>
      <c r="CF109">
        <f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$4:$AO$4,1,82-Projects!$C$31+1)*Assumptions!$B$11*0.95+0.05*Projects!$B$31*Assumptions!$B$11,Projects!$B$31*INDEX(Curves!$B$4:$AO$4,1,82-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$4:$AO$4,1,82-Projects!$C$34+1)*Assumptions!$B$11*0.95+0.05*Projects!$B$34*Assumptions!$B$11,Projects!$B$34*INDEX(Curves!$B$4:$AO$4,1,82-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$4:$AO$4,1,82-Projects!$C$36+1)*Assumptions!$B$11*0.95+0.05*Projects!$B$36*Assumptions!$B$11,Projects!$B$36*INDEX(Curves!$B$4:$AO$4,1,82-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$4:$AO$4,1,82-Projects!$C$39+1)*Assumptions!$B$11*0.95+0.05*Projects!$B$39*Assumptions!$B$11,Projects!$B$39*INDEX(Curves!$B$4:$AO$4,1,82-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$4:$AO$4,1,82-Projects!$C$42+1)*Assumptions!$B$11*0.95+0.05*Projects!$B$42*Assumptions!$B$11,Projects!$B$42*INDEX(Curves!$B$4:$AO$4,1,82-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$4:$AO$4,1,82-Projects!$C$45+1)*Assumptions!$B$11*0.95+0.05*Projects!$B$45*Assumptions!$B$11,Projects!$B$45*INDEX(Curves!$B$4:$AO$4,1,82-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0</v>
      </c>
      <c r="CG109">
        <f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$4:$AO$4,1,83-Projects!$C$31+1)*Assumptions!$B$11*0.95+0.05*Projects!$B$31*Assumptions!$B$11,Projects!$B$31*INDEX(Curves!$B$4:$AO$4,1,83-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$4:$AO$4,1,83-Projects!$C$34+1)*Assumptions!$B$11*0.95+0.05*Projects!$B$34*Assumptions!$B$11,Projects!$B$34*INDEX(Curves!$B$4:$AO$4,1,83-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$4:$AO$4,1,83-Projects!$C$36+1)*Assumptions!$B$11*0.95+0.05*Projects!$B$36*Assumptions!$B$11,Projects!$B$36*INDEX(Curves!$B$4:$AO$4,1,83-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$4:$AO$4,1,83-Projects!$C$39+1)*Assumptions!$B$11*0.95+0.05*Projects!$B$39*Assumptions!$B$11,Projects!$B$39*INDEX(Curves!$B$4:$AO$4,1,83-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$4:$AO$4,1,83-Projects!$C$42+1)*Assumptions!$B$11*0.95+0.05*Projects!$B$42*Assumptions!$B$11,Projects!$B$42*INDEX(Curves!$B$4:$AO$4,1,83-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$4:$AO$4,1,83-Projects!$C$45+1)*Assumptions!$B$11*0.95+0.05*Projects!$B$45*Assumptions!$B$11,Projects!$B$45*INDEX(Curves!$B$4:$AO$4,1,83-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0</v>
      </c>
      <c r="CH109">
        <f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$4:$AO$4,1,84-Projects!$C$31+1)*Assumptions!$B$11*0.95+0.05*Projects!$B$31*Assumptions!$B$11,Projects!$B$31*INDEX(Curves!$B$4:$AO$4,1,84-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$4:$AO$4,1,84-Projects!$C$34+1)*Assumptions!$B$11*0.95+0.05*Projects!$B$34*Assumptions!$B$11,Projects!$B$34*INDEX(Curves!$B$4:$AO$4,1,84-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$4:$AO$4,1,84-Projects!$C$36+1)*Assumptions!$B$11*0.95+0.05*Projects!$B$36*Assumptions!$B$11,Projects!$B$36*INDEX(Curves!$B$4:$AO$4,1,84-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$4:$AO$4,1,84-Projects!$C$39+1)*Assumptions!$B$11*0.95+0.05*Projects!$B$39*Assumptions!$B$11,Projects!$B$39*INDEX(Curves!$B$4:$AO$4,1,84-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$4:$AO$4,1,84-Projects!$C$42+1)*Assumptions!$B$11*0.95+0.05*Projects!$B$42*Assumptions!$B$11,Projects!$B$42*INDEX(Curves!$B$4:$AO$4,1,84-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$4:$AO$4,1,84-Projects!$C$45+1)*Assumptions!$B$11*0.95+0.05*Projects!$B$45*Assumptions!$B$11,Projects!$B$45*INDEX(Curves!$B$4:$AO$4,1,84-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0</v>
      </c>
    </row>
    <row r="110" spans="1:86" ht="15" customHeight="1" x14ac:dyDescent="0.25">
      <c r="A110" t="s">
        <v>609</v>
      </c>
      <c r="C110">
        <f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>
        <f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>
        <f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>
        <f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>
        <f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>
        <f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>
        <f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>
        <f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>
        <f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>
        <f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>
        <f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>
        <f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>
        <f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>
        <f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>
        <f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>
        <f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>
        <f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>
        <f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>
        <f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>
        <f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>
        <f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>
        <f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>
        <f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>
        <f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>
        <f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>
        <f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>
        <f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>
        <f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>
        <f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>
        <f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>
        <f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>
        <f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>
        <f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>
        <f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>
        <f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>
        <f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>
        <f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>
        <f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>
        <f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>
        <f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>
        <f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>
        <f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>
        <f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>
        <f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>
        <f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>
        <f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>
        <f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>
        <f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>
        <f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>
        <f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0</v>
      </c>
      <c r="BA110">
        <f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0</v>
      </c>
      <c r="BB110">
        <f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0</v>
      </c>
      <c r="BC110">
        <f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0</v>
      </c>
      <c r="BD110">
        <f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0</v>
      </c>
      <c r="BE110">
        <f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0</v>
      </c>
      <c r="BF110">
        <f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0</v>
      </c>
      <c r="BG110">
        <f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0</v>
      </c>
      <c r="BH110">
        <f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0</v>
      </c>
      <c r="BI110">
        <f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0</v>
      </c>
      <c r="BJ110">
        <f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0</v>
      </c>
      <c r="BK110">
        <f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0</v>
      </c>
      <c r="BL110">
        <f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0</v>
      </c>
      <c r="BM110">
        <f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0</v>
      </c>
      <c r="BN110">
        <f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0</v>
      </c>
      <c r="BO110">
        <f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0</v>
      </c>
      <c r="BP110">
        <f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0</v>
      </c>
      <c r="BQ110">
        <f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0</v>
      </c>
      <c r="BR110">
        <f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0</v>
      </c>
      <c r="BS110">
        <f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0</v>
      </c>
      <c r="BT110">
        <f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0</v>
      </c>
      <c r="BU110">
        <f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0</v>
      </c>
      <c r="BV110">
        <f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0</v>
      </c>
      <c r="BW110">
        <f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0</v>
      </c>
      <c r="BX110">
        <f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0</v>
      </c>
      <c r="BY110">
        <f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0</v>
      </c>
      <c r="BZ110">
        <f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0</v>
      </c>
      <c r="CA110">
        <f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0</v>
      </c>
      <c r="CB110">
        <f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0</v>
      </c>
      <c r="CC110">
        <f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0</v>
      </c>
      <c r="CD110">
        <f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0</v>
      </c>
      <c r="CE110">
        <f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0</v>
      </c>
      <c r="CF110">
        <f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0</v>
      </c>
      <c r="CG110">
        <f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0</v>
      </c>
      <c r="CH110">
        <f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31" t="s">
        <v>610</v>
      </c>
    </row>
    <row r="2" spans="1:11" ht="15" customHeight="1" x14ac:dyDescent="0.25">
      <c r="A2" s="107" t="s">
        <v>6</v>
      </c>
      <c r="B2" s="4" t="s">
        <v>343</v>
      </c>
    </row>
    <row r="4" spans="1:11" ht="15" customHeight="1" x14ac:dyDescent="0.25">
      <c r="A4" s="132" t="s">
        <v>611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spans="1:11" ht="15" customHeight="1" x14ac:dyDescent="0.25">
      <c r="A5" s="107" t="s">
        <v>612</v>
      </c>
      <c r="B5" s="107" t="s">
        <v>610</v>
      </c>
    </row>
    <row r="6" spans="1:11" ht="15" customHeight="1" x14ac:dyDescent="0.25">
      <c r="A6" s="107" t="s">
        <v>613</v>
      </c>
      <c r="B6" s="107" t="s">
        <v>614</v>
      </c>
    </row>
    <row r="7" spans="1:11" ht="15" customHeight="1" x14ac:dyDescent="0.25">
      <c r="A7" s="107" t="s">
        <v>615</v>
      </c>
      <c r="B7" s="133">
        <v>60</v>
      </c>
    </row>
    <row r="8" spans="1:11" ht="15" customHeight="1" x14ac:dyDescent="0.25">
      <c r="A8" s="107" t="s">
        <v>616</v>
      </c>
      <c r="B8" s="107" t="s">
        <v>617</v>
      </c>
    </row>
    <row r="9" spans="1:11" ht="15" customHeight="1" x14ac:dyDescent="0.25">
      <c r="A9" s="107" t="s">
        <v>618</v>
      </c>
      <c r="B9" s="63">
        <v>1400000</v>
      </c>
    </row>
    <row r="10" spans="1:11" ht="15" customHeight="1" x14ac:dyDescent="0.25">
      <c r="A10" s="107" t="s">
        <v>619</v>
      </c>
      <c r="B10" s="63">
        <v>1609391</v>
      </c>
    </row>
    <row r="11" spans="1:11" ht="15" customHeight="1" x14ac:dyDescent="0.25">
      <c r="A11" s="107" t="s">
        <v>620</v>
      </c>
      <c r="B11" s="63">
        <v>3419763</v>
      </c>
    </row>
    <row r="12" spans="1:11" ht="15" customHeight="1" x14ac:dyDescent="0.25">
      <c r="A12" s="107" t="s">
        <v>531</v>
      </c>
      <c r="B12" s="5">
        <f>B16</f>
        <v>9009665</v>
      </c>
    </row>
    <row r="14" spans="1:11" ht="15" customHeight="1" x14ac:dyDescent="0.25">
      <c r="A14" s="134" t="s">
        <v>621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spans="1:11" ht="15" customHeight="1" x14ac:dyDescent="0.25">
      <c r="B15" s="135" t="s">
        <v>381</v>
      </c>
      <c r="C15" s="135" t="s">
        <v>67</v>
      </c>
      <c r="D15" s="135" t="s">
        <v>68</v>
      </c>
      <c r="E15" s="135" t="s">
        <v>69</v>
      </c>
      <c r="F15" s="135" t="s">
        <v>70</v>
      </c>
      <c r="G15" s="135" t="s">
        <v>71</v>
      </c>
      <c r="H15" s="135" t="s">
        <v>72</v>
      </c>
      <c r="I15" s="135" t="s">
        <v>73</v>
      </c>
      <c r="J15" s="135" t="s">
        <v>74</v>
      </c>
    </row>
    <row r="16" spans="1:11" ht="15" customHeight="1" x14ac:dyDescent="0.25">
      <c r="A16" s="107" t="s">
        <v>531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622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623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6" t="s">
        <v>624</v>
      </c>
      <c r="B19" s="137">
        <f t="shared" si="0"/>
        <v>7053626</v>
      </c>
      <c r="C19" s="137">
        <f t="shared" si="1"/>
        <v>0</v>
      </c>
      <c r="D19" s="137">
        <f t="shared" si="2"/>
        <v>768293.65999999992</v>
      </c>
      <c r="E19" s="137">
        <f t="shared" si="3"/>
        <v>3186090.3899999997</v>
      </c>
      <c r="F19" s="137">
        <f t="shared" si="4"/>
        <v>1863287.0100000002</v>
      </c>
      <c r="G19" s="137">
        <f t="shared" si="5"/>
        <v>805320.42000000016</v>
      </c>
      <c r="H19" s="137">
        <f t="shared" si="6"/>
        <v>430634.52</v>
      </c>
      <c r="I19" s="137">
        <f t="shared" si="7"/>
        <v>0</v>
      </c>
      <c r="J19" s="137">
        <f t="shared" si="8"/>
        <v>0</v>
      </c>
    </row>
    <row r="20" spans="1:11" ht="15" customHeight="1" x14ac:dyDescent="0.25">
      <c r="A20" s="107" t="s">
        <v>625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6" t="s">
        <v>626</v>
      </c>
      <c r="B21" s="137">
        <f t="shared" si="0"/>
        <v>6490433.3829999994</v>
      </c>
      <c r="C21" s="137">
        <f t="shared" si="1"/>
        <v>0</v>
      </c>
      <c r="D21" s="137">
        <f t="shared" si="2"/>
        <v>674711.83999999985</v>
      </c>
      <c r="E21" s="137">
        <f t="shared" si="3"/>
        <v>3036090.3899999997</v>
      </c>
      <c r="F21" s="137">
        <f t="shared" si="4"/>
        <v>1714836.7080000001</v>
      </c>
      <c r="G21" s="137">
        <f t="shared" si="5"/>
        <v>668387.17799999996</v>
      </c>
      <c r="H21" s="137">
        <f t="shared" si="6"/>
        <v>396407.26699999999</v>
      </c>
      <c r="I21" s="137">
        <f t="shared" si="7"/>
        <v>0</v>
      </c>
      <c r="J21" s="137">
        <f t="shared" si="8"/>
        <v>0</v>
      </c>
    </row>
    <row r="22" spans="1:11" ht="15" customHeight="1" x14ac:dyDescent="0.25">
      <c r="A22" s="107" t="s">
        <v>627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628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8" t="s">
        <v>629</v>
      </c>
      <c r="B24" s="139">
        <f t="shared" si="0"/>
        <v>4101960.074</v>
      </c>
      <c r="C24" s="139">
        <f t="shared" si="1"/>
        <v>0</v>
      </c>
      <c r="D24" s="139">
        <f t="shared" si="2"/>
        <v>498408.924</v>
      </c>
      <c r="E24" s="139">
        <f t="shared" si="3"/>
        <v>1850317.6580000001</v>
      </c>
      <c r="F24" s="139">
        <f t="shared" si="4"/>
        <v>1049675.7745000001</v>
      </c>
      <c r="G24" s="139">
        <f t="shared" si="5"/>
        <v>471126.83100000001</v>
      </c>
      <c r="H24" s="139">
        <f t="shared" si="6"/>
        <v>232430.88650000002</v>
      </c>
      <c r="I24" s="139">
        <f t="shared" si="7"/>
        <v>0</v>
      </c>
      <c r="J24" s="139">
        <f t="shared" si="8"/>
        <v>0</v>
      </c>
    </row>
    <row r="26" spans="1:11" ht="15" customHeight="1" x14ac:dyDescent="0.25">
      <c r="A26" s="140" t="s">
        <v>630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spans="1:11" ht="15" customHeight="1" x14ac:dyDescent="0.25">
      <c r="A27" s="141" t="s">
        <v>631</v>
      </c>
      <c r="B27" s="141" t="s">
        <v>632</v>
      </c>
      <c r="C27" s="141" t="s">
        <v>633</v>
      </c>
      <c r="D27" s="141" t="s">
        <v>618</v>
      </c>
      <c r="E27" s="141" t="s">
        <v>634</v>
      </c>
    </row>
    <row r="28" spans="1:11" ht="15" customHeight="1" x14ac:dyDescent="0.25">
      <c r="A28" s="107" t="s">
        <v>635</v>
      </c>
      <c r="B28" s="133">
        <v>6</v>
      </c>
      <c r="C28" s="107" t="s">
        <v>636</v>
      </c>
      <c r="D28" s="63">
        <v>1400000</v>
      </c>
      <c r="E28" s="142" t="s">
        <v>637</v>
      </c>
    </row>
    <row r="29" spans="1:11" ht="15" customHeight="1" x14ac:dyDescent="0.25">
      <c r="A29" s="107" t="s">
        <v>638</v>
      </c>
      <c r="B29" s="133">
        <v>18</v>
      </c>
      <c r="C29" s="107" t="s">
        <v>639</v>
      </c>
      <c r="D29" s="63">
        <v>1400000</v>
      </c>
      <c r="E29" s="142" t="s">
        <v>640</v>
      </c>
    </row>
    <row r="30" spans="1:11" ht="15" customHeight="1" x14ac:dyDescent="0.25">
      <c r="A30" s="107" t="s">
        <v>641</v>
      </c>
      <c r="B30" s="133">
        <v>18</v>
      </c>
      <c r="C30" s="107" t="s">
        <v>642</v>
      </c>
      <c r="D30" s="63">
        <v>1400000</v>
      </c>
      <c r="E30" s="142" t="s">
        <v>643</v>
      </c>
    </row>
    <row r="31" spans="1:11" ht="15" customHeight="1" x14ac:dyDescent="0.25">
      <c r="A31" s="107" t="s">
        <v>644</v>
      </c>
      <c r="B31" s="133">
        <v>18</v>
      </c>
      <c r="C31" s="107" t="s">
        <v>645</v>
      </c>
      <c r="D31" s="63">
        <v>1400000</v>
      </c>
      <c r="E31" s="142" t="s">
        <v>646</v>
      </c>
    </row>
    <row r="32" spans="1:11" ht="15" customHeight="1" x14ac:dyDescent="0.25">
      <c r="A32" s="141" t="s">
        <v>381</v>
      </c>
      <c r="B32" s="143">
        <v>60</v>
      </c>
      <c r="C32" s="141" t="s">
        <v>647</v>
      </c>
      <c r="D32" s="144">
        <v>1400000</v>
      </c>
    </row>
    <row r="34" spans="1:11" ht="15" customHeight="1" x14ac:dyDescent="0.25">
      <c r="A34" s="145" t="s">
        <v>648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spans="1:11" ht="15" customHeight="1" x14ac:dyDescent="0.25">
      <c r="A35" s="146" t="s">
        <v>649</v>
      </c>
      <c r="B35" s="146" t="s">
        <v>650</v>
      </c>
      <c r="C35" s="146" t="s">
        <v>651</v>
      </c>
      <c r="D35" s="146" t="s">
        <v>652</v>
      </c>
      <c r="E35" s="146" t="s">
        <v>653</v>
      </c>
      <c r="F35" s="146" t="s">
        <v>302</v>
      </c>
    </row>
    <row r="36" spans="1:11" ht="15" customHeight="1" x14ac:dyDescent="0.25">
      <c r="A36" s="107" t="s">
        <v>654</v>
      </c>
      <c r="B36" s="107" t="s">
        <v>655</v>
      </c>
      <c r="C36" s="107" t="s">
        <v>656</v>
      </c>
      <c r="D36" s="63">
        <v>14000</v>
      </c>
      <c r="E36" s="63">
        <v>840000</v>
      </c>
      <c r="F36" s="147" t="s">
        <v>657</v>
      </c>
    </row>
    <row r="37" spans="1:11" ht="15" customHeight="1" x14ac:dyDescent="0.25">
      <c r="A37" s="107" t="s">
        <v>658</v>
      </c>
      <c r="B37" s="107" t="s">
        <v>659</v>
      </c>
      <c r="C37" s="107" t="s">
        <v>660</v>
      </c>
      <c r="D37" s="63">
        <v>96563</v>
      </c>
      <c r="E37" s="63">
        <v>5793808</v>
      </c>
      <c r="F37" s="147" t="s">
        <v>661</v>
      </c>
    </row>
    <row r="38" spans="1:11" ht="15" customHeight="1" x14ac:dyDescent="0.25">
      <c r="A38" s="107" t="s">
        <v>662</v>
      </c>
      <c r="B38" s="107" t="s">
        <v>663</v>
      </c>
      <c r="C38" s="107" t="s">
        <v>664</v>
      </c>
      <c r="D38" s="63">
        <v>5400</v>
      </c>
      <c r="E38" s="63">
        <v>324000</v>
      </c>
      <c r="F38" s="147" t="s">
        <v>665</v>
      </c>
    </row>
    <row r="39" spans="1:11" ht="15" customHeight="1" x14ac:dyDescent="0.25">
      <c r="A39" s="107" t="s">
        <v>666</v>
      </c>
      <c r="B39" s="107" t="s">
        <v>655</v>
      </c>
      <c r="C39" s="107" t="s">
        <v>667</v>
      </c>
      <c r="D39" s="63">
        <v>34198</v>
      </c>
      <c r="E39" s="63">
        <v>2051858</v>
      </c>
      <c r="F39" s="147" t="s">
        <v>668</v>
      </c>
    </row>
    <row r="40" spans="1:11" ht="15" customHeight="1" x14ac:dyDescent="0.25">
      <c r="A40" s="146" t="s">
        <v>531</v>
      </c>
      <c r="D40" s="148">
        <v>150161</v>
      </c>
      <c r="E40" s="148">
        <v>9009665</v>
      </c>
    </row>
    <row r="42" spans="1:11" ht="15" customHeight="1" x14ac:dyDescent="0.25">
      <c r="A42" s="149" t="s">
        <v>669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spans="1:11" ht="15" customHeight="1" x14ac:dyDescent="0.25">
      <c r="A43" s="150" t="s">
        <v>1</v>
      </c>
      <c r="B43" s="150" t="s">
        <v>670</v>
      </c>
      <c r="C43" s="150" t="s">
        <v>671</v>
      </c>
      <c r="D43" s="150" t="s">
        <v>672</v>
      </c>
      <c r="E43" s="150" t="s">
        <v>673</v>
      </c>
      <c r="F43" s="150" t="s">
        <v>674</v>
      </c>
      <c r="G43" s="150" t="s">
        <v>675</v>
      </c>
    </row>
    <row r="44" spans="1:11" ht="15" customHeight="1" x14ac:dyDescent="0.25">
      <c r="A44" s="107" t="s">
        <v>676</v>
      </c>
      <c r="B44" s="63">
        <v>125000</v>
      </c>
      <c r="C44" s="63">
        <v>10417</v>
      </c>
      <c r="D44" s="107" t="s">
        <v>437</v>
      </c>
      <c r="E44" s="107" t="s">
        <v>677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678</v>
      </c>
      <c r="B45" s="63">
        <v>90000</v>
      </c>
      <c r="C45" s="63">
        <v>7500</v>
      </c>
      <c r="D45" s="107" t="s">
        <v>440</v>
      </c>
      <c r="E45" s="107" t="s">
        <v>677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679</v>
      </c>
      <c r="B46" s="63">
        <v>110000</v>
      </c>
      <c r="C46" s="63">
        <v>9167</v>
      </c>
      <c r="D46" s="107" t="s">
        <v>445</v>
      </c>
      <c r="E46" s="107" t="s">
        <v>677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680</v>
      </c>
      <c r="B47" s="63">
        <v>125000</v>
      </c>
      <c r="C47" s="63">
        <v>10417</v>
      </c>
      <c r="D47" s="107" t="s">
        <v>453</v>
      </c>
      <c r="E47" s="107" t="s">
        <v>677</v>
      </c>
      <c r="F47" s="107">
        <v>31</v>
      </c>
      <c r="G47" s="63">
        <f>C47*F47</f>
        <v>322927</v>
      </c>
    </row>
    <row r="48" spans="1:11" ht="15" customHeight="1" x14ac:dyDescent="0.25">
      <c r="A48" s="150" t="s">
        <v>681</v>
      </c>
      <c r="G48" s="151">
        <f>SUM(G44:G47)</f>
        <v>1500039</v>
      </c>
    </row>
    <row r="50" spans="1:11" ht="15" customHeight="1" x14ac:dyDescent="0.25">
      <c r="A50" s="152" t="s">
        <v>682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spans="1:11" ht="15" customHeight="1" x14ac:dyDescent="0.25">
      <c r="A51" s="153" t="s">
        <v>683</v>
      </c>
      <c r="B51" s="153" t="s">
        <v>684</v>
      </c>
      <c r="C51" s="153" t="s">
        <v>671</v>
      </c>
      <c r="D51" s="153" t="s">
        <v>685</v>
      </c>
      <c r="E51" s="153" t="s">
        <v>381</v>
      </c>
    </row>
    <row r="52" spans="1:11" ht="15" customHeight="1" x14ac:dyDescent="0.25">
      <c r="A52" s="107" t="s">
        <v>686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181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687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688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53" t="s">
        <v>689</v>
      </c>
      <c r="E56" s="154">
        <v>456000</v>
      </c>
    </row>
    <row r="57" spans="1:11" ht="15" customHeight="1" x14ac:dyDescent="0.25">
      <c r="A57" s="155" t="s">
        <v>690</v>
      </c>
    </row>
    <row r="59" spans="1:11" ht="15" customHeight="1" x14ac:dyDescent="0.25">
      <c r="A59" s="156" t="s">
        <v>691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spans="1:11" ht="15" customHeight="1" x14ac:dyDescent="0.25">
      <c r="A60" s="107" t="s">
        <v>692</v>
      </c>
      <c r="B60" s="63">
        <f>B16</f>
        <v>9009665</v>
      </c>
    </row>
    <row r="61" spans="1:11" ht="15" customHeight="1" x14ac:dyDescent="0.25">
      <c r="A61" s="107" t="s">
        <v>622</v>
      </c>
      <c r="B61" s="63">
        <f>B17</f>
        <v>-1500039</v>
      </c>
    </row>
    <row r="62" spans="1:11" ht="15" customHeight="1" x14ac:dyDescent="0.25">
      <c r="A62" s="107" t="s">
        <v>623</v>
      </c>
      <c r="B62" s="63">
        <f>B18</f>
        <v>-456000</v>
      </c>
    </row>
    <row r="63" spans="1:11" ht="15" customHeight="1" x14ac:dyDescent="0.25">
      <c r="A63" s="141" t="s">
        <v>624</v>
      </c>
      <c r="B63" s="144">
        <f>B60+B61+B62</f>
        <v>7053626</v>
      </c>
    </row>
    <row r="64" spans="1:11" ht="15" customHeight="1" x14ac:dyDescent="0.25">
      <c r="A64" s="107" t="s">
        <v>693</v>
      </c>
      <c r="B64" s="63">
        <f>-B20</f>
        <v>-563192.61699999997</v>
      </c>
    </row>
    <row r="65" spans="1:11" ht="15" customHeight="1" x14ac:dyDescent="0.25">
      <c r="A65" s="141" t="s">
        <v>626</v>
      </c>
      <c r="B65" s="144">
        <f>B63+B64</f>
        <v>6490433.3830000004</v>
      </c>
    </row>
    <row r="66" spans="1:11" ht="15" customHeight="1" x14ac:dyDescent="0.25">
      <c r="A66" s="107" t="s">
        <v>694</v>
      </c>
      <c r="B66" s="63">
        <f>-B22</f>
        <v>-2951665.926</v>
      </c>
    </row>
    <row r="67" spans="1:11" ht="15" customHeight="1" x14ac:dyDescent="0.25">
      <c r="A67" s="141" t="s">
        <v>628</v>
      </c>
      <c r="B67" s="144">
        <f>B65+B66</f>
        <v>3538767.4570000004</v>
      </c>
    </row>
    <row r="68" spans="1:11" ht="15" customHeight="1" x14ac:dyDescent="0.25">
      <c r="A68" s="107" t="s">
        <v>625</v>
      </c>
      <c r="B68" s="63">
        <f>B20</f>
        <v>563192.61699999997</v>
      </c>
    </row>
    <row r="69" spans="1:11" ht="15" customHeight="1" x14ac:dyDescent="0.25">
      <c r="A69" s="141" t="s">
        <v>629</v>
      </c>
      <c r="B69" s="144">
        <f>B67+B68</f>
        <v>4101960.0740000005</v>
      </c>
    </row>
    <row r="71" spans="1:11" ht="15" customHeight="1" x14ac:dyDescent="0.25">
      <c r="A71" s="145" t="s">
        <v>695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spans="1:11" ht="15" customHeight="1" x14ac:dyDescent="0.25">
      <c r="A72" s="146" t="s">
        <v>0</v>
      </c>
      <c r="B72" s="146" t="s">
        <v>1</v>
      </c>
      <c r="C72" s="146" t="s">
        <v>696</v>
      </c>
    </row>
    <row r="73" spans="1:11" ht="31.5" customHeight="1" x14ac:dyDescent="0.25">
      <c r="A73" s="4" t="s">
        <v>58</v>
      </c>
      <c r="B73" s="107" t="s">
        <v>697</v>
      </c>
      <c r="C73" s="221" t="s">
        <v>698</v>
      </c>
      <c r="D73" s="219"/>
      <c r="E73" s="219"/>
      <c r="F73" s="219"/>
      <c r="G73" s="219"/>
    </row>
    <row r="74" spans="1:11" ht="31.5" customHeight="1" x14ac:dyDescent="0.25">
      <c r="A74" s="4" t="s">
        <v>51</v>
      </c>
      <c r="B74" s="107" t="s">
        <v>699</v>
      </c>
      <c r="C74" s="221" t="s">
        <v>700</v>
      </c>
      <c r="D74" s="219"/>
      <c r="E74" s="219"/>
      <c r="F74" s="219"/>
      <c r="G74" s="219"/>
    </row>
    <row r="75" spans="1:11" ht="31.5" customHeight="1" x14ac:dyDescent="0.25">
      <c r="A75" s="4" t="s">
        <v>60</v>
      </c>
      <c r="B75" s="107" t="s">
        <v>701</v>
      </c>
      <c r="C75" s="221" t="s">
        <v>702</v>
      </c>
      <c r="D75" s="219"/>
      <c r="E75" s="219"/>
      <c r="F75" s="219"/>
      <c r="G75" s="219"/>
    </row>
    <row r="76" spans="1:11" ht="31.5" customHeight="1" x14ac:dyDescent="0.25">
      <c r="A76" s="4" t="s">
        <v>64</v>
      </c>
      <c r="B76" s="107" t="s">
        <v>703</v>
      </c>
      <c r="C76" s="221" t="s">
        <v>704</v>
      </c>
      <c r="D76" s="219"/>
      <c r="E76" s="219"/>
      <c r="F76" s="219"/>
      <c r="G76" s="219"/>
    </row>
    <row r="77" spans="1:11" ht="31.5" customHeight="1" x14ac:dyDescent="0.25">
      <c r="A77" s="4" t="s">
        <v>62</v>
      </c>
      <c r="B77" s="107" t="s">
        <v>703</v>
      </c>
      <c r="C77" s="221" t="s">
        <v>705</v>
      </c>
      <c r="D77" s="219"/>
      <c r="E77" s="219"/>
      <c r="F77" s="219"/>
      <c r="G77" s="219"/>
    </row>
    <row r="78" spans="1:11" ht="31.5" customHeight="1" x14ac:dyDescent="0.25">
      <c r="A78" s="4" t="s">
        <v>56</v>
      </c>
      <c r="B78" s="107" t="s">
        <v>706</v>
      </c>
      <c r="C78" s="221" t="s">
        <v>707</v>
      </c>
      <c r="D78" s="219"/>
      <c r="E78" s="219"/>
      <c r="F78" s="219"/>
      <c r="G78" s="219"/>
    </row>
    <row r="80" spans="1:11" ht="15" customHeight="1" x14ac:dyDescent="0.25">
      <c r="A80" s="157" t="s">
        <v>708</v>
      </c>
      <c r="B80" s="157"/>
      <c r="C80" s="157"/>
      <c r="D80" s="157"/>
      <c r="E80" s="157"/>
      <c r="F80" s="157"/>
      <c r="G80" s="157"/>
      <c r="H80" s="157"/>
      <c r="I80" s="157"/>
      <c r="J80" s="157"/>
      <c r="K80" s="157"/>
    </row>
    <row r="81" spans="1:11" ht="27.75" customHeight="1" x14ac:dyDescent="0.25">
      <c r="A81" s="4" t="s">
        <v>709</v>
      </c>
      <c r="B81" s="221" t="s">
        <v>710</v>
      </c>
      <c r="C81" s="219"/>
      <c r="D81" s="219"/>
      <c r="E81" s="219"/>
      <c r="F81" s="219"/>
      <c r="G81" s="219"/>
    </row>
    <row r="82" spans="1:11" ht="27.75" customHeight="1" x14ac:dyDescent="0.25">
      <c r="A82" s="4" t="s">
        <v>711</v>
      </c>
      <c r="B82" s="221" t="s">
        <v>712</v>
      </c>
      <c r="C82" s="219"/>
      <c r="D82" s="219"/>
      <c r="E82" s="219"/>
      <c r="F82" s="219"/>
      <c r="G82" s="219"/>
    </row>
    <row r="83" spans="1:11" ht="27.75" customHeight="1" x14ac:dyDescent="0.25">
      <c r="A83" s="4" t="s">
        <v>713</v>
      </c>
      <c r="B83" s="221" t="s">
        <v>714</v>
      </c>
      <c r="C83" s="219"/>
      <c r="D83" s="219"/>
      <c r="E83" s="219"/>
      <c r="F83" s="219"/>
      <c r="G83" s="219"/>
    </row>
    <row r="84" spans="1:11" ht="27.75" customHeight="1" x14ac:dyDescent="0.25">
      <c r="A84" s="4" t="s">
        <v>715</v>
      </c>
      <c r="B84" s="221" t="s">
        <v>716</v>
      </c>
      <c r="C84" s="219"/>
      <c r="D84" s="219"/>
      <c r="E84" s="219"/>
      <c r="F84" s="219"/>
      <c r="G84" s="219"/>
    </row>
    <row r="85" spans="1:11" ht="27.75" customHeight="1" x14ac:dyDescent="0.25">
      <c r="A85" s="4" t="s">
        <v>717</v>
      </c>
      <c r="B85" s="221" t="s">
        <v>718</v>
      </c>
      <c r="C85" s="219"/>
      <c r="D85" s="219"/>
      <c r="E85" s="219"/>
      <c r="F85" s="219"/>
      <c r="G85" s="219"/>
    </row>
    <row r="86" spans="1:11" ht="27.75" customHeight="1" x14ac:dyDescent="0.25">
      <c r="A86" s="4" t="s">
        <v>719</v>
      </c>
      <c r="B86" s="221" t="s">
        <v>720</v>
      </c>
      <c r="C86" s="219"/>
      <c r="D86" s="219"/>
      <c r="E86" s="219"/>
      <c r="F86" s="219"/>
      <c r="G86" s="219"/>
    </row>
    <row r="87" spans="1:11" ht="27.75" customHeight="1" x14ac:dyDescent="0.25">
      <c r="A87" s="4" t="s">
        <v>721</v>
      </c>
      <c r="B87" s="221" t="s">
        <v>722</v>
      </c>
      <c r="C87" s="219"/>
      <c r="D87" s="219"/>
      <c r="E87" s="219"/>
      <c r="F87" s="219"/>
      <c r="G87" s="219"/>
    </row>
    <row r="88" spans="1:11" ht="27.75" customHeight="1" x14ac:dyDescent="0.25">
      <c r="A88" s="4" t="s">
        <v>723</v>
      </c>
      <c r="B88" s="221" t="s">
        <v>724</v>
      </c>
      <c r="C88" s="219"/>
      <c r="D88" s="219"/>
      <c r="E88" s="219"/>
      <c r="F88" s="219"/>
      <c r="G88" s="219"/>
    </row>
    <row r="89" spans="1:11" ht="27.75" customHeight="1" x14ac:dyDescent="0.25">
      <c r="A89" s="4" t="s">
        <v>725</v>
      </c>
      <c r="B89" s="221" t="s">
        <v>726</v>
      </c>
      <c r="C89" s="219"/>
      <c r="D89" s="219"/>
      <c r="E89" s="219"/>
      <c r="F89" s="219"/>
      <c r="G89" s="219"/>
    </row>
    <row r="90" spans="1:11" ht="27.75" customHeight="1" x14ac:dyDescent="0.25">
      <c r="A90" s="4" t="s">
        <v>727</v>
      </c>
      <c r="B90" s="221" t="s">
        <v>728</v>
      </c>
      <c r="C90" s="219"/>
      <c r="D90" s="219"/>
      <c r="E90" s="219"/>
      <c r="F90" s="219"/>
      <c r="G90" s="219"/>
    </row>
    <row r="91" spans="1:11" ht="15" customHeight="1" x14ac:dyDescent="0.25">
      <c r="A91" t="s">
        <v>729</v>
      </c>
      <c r="B91" t="s">
        <v>730</v>
      </c>
    </row>
    <row r="93" spans="1:11" ht="15" customHeight="1" x14ac:dyDescent="0.25">
      <c r="A93" s="140" t="s">
        <v>731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spans="1:11" ht="15" customHeight="1" x14ac:dyDescent="0.25">
      <c r="A94" s="107" t="s">
        <v>732</v>
      </c>
      <c r="B94" s="158">
        <v>0.1</v>
      </c>
    </row>
    <row r="95" spans="1:11" ht="15" customHeight="1" x14ac:dyDescent="0.25">
      <c r="A95" s="107" t="s">
        <v>733</v>
      </c>
      <c r="B95" s="158">
        <v>150000</v>
      </c>
    </row>
    <row r="96" spans="1:11" ht="15" customHeight="1" x14ac:dyDescent="0.25">
      <c r="A96" t="s">
        <v>734</v>
      </c>
      <c r="B96" t="s">
        <v>735</v>
      </c>
    </row>
    <row r="97" spans="1:86" ht="15" customHeight="1" x14ac:dyDescent="0.25">
      <c r="A97" s="159" t="s">
        <v>736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0"/>
      <c r="CA97" s="160"/>
      <c r="CB97" s="160"/>
      <c r="CC97" s="160"/>
      <c r="CD97" s="160"/>
      <c r="CE97" s="160"/>
      <c r="CF97" s="160"/>
      <c r="CG97" s="160"/>
      <c r="CH97" s="160"/>
    </row>
    <row r="98" spans="1:86" ht="15" customHeight="1" x14ac:dyDescent="0.25">
      <c r="A98" s="160"/>
      <c r="C98" s="161">
        <v>1</v>
      </c>
      <c r="D98" s="161">
        <v>2</v>
      </c>
      <c r="E98" s="161">
        <v>3</v>
      </c>
      <c r="F98" s="161">
        <v>4</v>
      </c>
      <c r="G98" s="161">
        <v>5</v>
      </c>
      <c r="H98" s="161">
        <v>6</v>
      </c>
      <c r="I98" s="161">
        <v>7</v>
      </c>
      <c r="J98" s="161">
        <v>8</v>
      </c>
      <c r="K98" s="161">
        <v>9</v>
      </c>
      <c r="L98" s="161">
        <v>10</v>
      </c>
      <c r="M98" s="161">
        <v>11</v>
      </c>
      <c r="N98" s="161">
        <v>12</v>
      </c>
      <c r="O98" s="161">
        <v>13</v>
      </c>
      <c r="P98" s="161">
        <v>14</v>
      </c>
      <c r="Q98" s="161">
        <v>15</v>
      </c>
      <c r="R98" s="161">
        <v>16</v>
      </c>
      <c r="S98" s="161">
        <v>17</v>
      </c>
      <c r="T98" s="161">
        <v>18</v>
      </c>
      <c r="U98" s="161">
        <v>19</v>
      </c>
      <c r="V98" s="161">
        <v>20</v>
      </c>
      <c r="W98" s="161">
        <v>21</v>
      </c>
      <c r="X98" s="161">
        <v>22</v>
      </c>
      <c r="Y98" s="161">
        <v>23</v>
      </c>
      <c r="Z98" s="161">
        <v>24</v>
      </c>
      <c r="AA98" s="161">
        <v>25</v>
      </c>
      <c r="AB98" s="161">
        <v>26</v>
      </c>
      <c r="AC98" s="161">
        <v>27</v>
      </c>
      <c r="AD98" s="161">
        <v>28</v>
      </c>
      <c r="AE98" s="161">
        <v>29</v>
      </c>
      <c r="AF98" s="161">
        <v>30</v>
      </c>
      <c r="AG98" s="161">
        <v>31</v>
      </c>
      <c r="AH98" s="161">
        <v>32</v>
      </c>
      <c r="AI98" s="161">
        <v>33</v>
      </c>
      <c r="AJ98" s="161">
        <v>34</v>
      </c>
      <c r="AK98" s="161">
        <v>35</v>
      </c>
      <c r="AL98" s="161">
        <v>36</v>
      </c>
      <c r="AM98" s="161">
        <v>37</v>
      </c>
      <c r="AN98" s="161">
        <v>38</v>
      </c>
      <c r="AO98" s="161">
        <v>39</v>
      </c>
      <c r="AP98" s="161">
        <v>40</v>
      </c>
      <c r="AQ98" s="161">
        <v>41</v>
      </c>
      <c r="AR98" s="161">
        <v>42</v>
      </c>
      <c r="AS98" s="161">
        <v>43</v>
      </c>
      <c r="AT98" s="161">
        <v>44</v>
      </c>
      <c r="AU98" s="161">
        <v>45</v>
      </c>
      <c r="AV98" s="161">
        <v>46</v>
      </c>
      <c r="AW98" s="161">
        <v>47</v>
      </c>
      <c r="AX98" s="161">
        <v>48</v>
      </c>
      <c r="AY98" s="161">
        <v>49</v>
      </c>
      <c r="AZ98" s="161">
        <v>50</v>
      </c>
      <c r="BA98" s="161">
        <v>51</v>
      </c>
      <c r="BB98" s="161">
        <v>52</v>
      </c>
      <c r="BC98" s="161">
        <v>53</v>
      </c>
      <c r="BD98" s="161">
        <v>54</v>
      </c>
      <c r="BE98" s="161">
        <v>55</v>
      </c>
      <c r="BF98" s="161">
        <v>56</v>
      </c>
      <c r="BG98" s="161">
        <v>57</v>
      </c>
      <c r="BH98" s="161">
        <v>58</v>
      </c>
      <c r="BI98" s="161">
        <v>59</v>
      </c>
      <c r="BJ98" s="161">
        <v>60</v>
      </c>
      <c r="BK98" s="161">
        <v>61</v>
      </c>
      <c r="BL98" s="161">
        <v>62</v>
      </c>
      <c r="BM98" s="161">
        <v>63</v>
      </c>
      <c r="BN98" s="161">
        <v>64</v>
      </c>
      <c r="BO98" s="161">
        <v>65</v>
      </c>
      <c r="BP98" s="161">
        <v>66</v>
      </c>
      <c r="BQ98" s="161">
        <v>67</v>
      </c>
      <c r="BR98" s="161">
        <v>68</v>
      </c>
      <c r="BS98" s="161">
        <v>69</v>
      </c>
      <c r="BT98" s="161">
        <v>70</v>
      </c>
      <c r="BU98" s="161">
        <v>71</v>
      </c>
      <c r="BV98" s="161">
        <v>72</v>
      </c>
      <c r="BW98" s="161">
        <v>73</v>
      </c>
      <c r="BX98" s="161">
        <v>74</v>
      </c>
      <c r="BY98" s="161">
        <v>75</v>
      </c>
      <c r="BZ98" s="161">
        <v>76</v>
      </c>
      <c r="CA98" s="161">
        <v>77</v>
      </c>
      <c r="CB98" s="161">
        <v>78</v>
      </c>
      <c r="CC98" s="161">
        <v>79</v>
      </c>
      <c r="CD98" s="161">
        <v>80</v>
      </c>
      <c r="CE98" s="161">
        <v>81</v>
      </c>
      <c r="CF98" s="161">
        <v>82</v>
      </c>
      <c r="CG98" s="161">
        <v>83</v>
      </c>
      <c r="CH98" s="161">
        <v>84</v>
      </c>
    </row>
    <row r="99" spans="1:86" ht="15" customHeight="1" x14ac:dyDescent="0.25">
      <c r="A99" s="161" t="s">
        <v>531</v>
      </c>
      <c r="B99" s="162">
        <f t="shared" ref="B99:B105" si="9">SUM(C99:CH99)</f>
        <v>9009664.9999999981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3">
        <v>45050.36</v>
      </c>
      <c r="M99" s="163">
        <v>45050.36</v>
      </c>
      <c r="N99" s="163">
        <v>45050.36</v>
      </c>
      <c r="O99" s="163">
        <v>45050.36</v>
      </c>
      <c r="P99" s="163">
        <v>45050.36</v>
      </c>
      <c r="Q99" s="163">
        <v>45050.36</v>
      </c>
      <c r="R99" s="163">
        <v>70944.52</v>
      </c>
      <c r="S99" s="163">
        <v>96838.68</v>
      </c>
      <c r="T99" s="163">
        <v>122732.84</v>
      </c>
      <c r="U99" s="163">
        <v>148626.99</v>
      </c>
      <c r="V99" s="163">
        <v>174521.16</v>
      </c>
      <c r="W99" s="163">
        <v>200415.31</v>
      </c>
      <c r="X99" s="163">
        <v>226309.46</v>
      </c>
      <c r="Y99" s="163">
        <v>252203.62</v>
      </c>
      <c r="Z99" s="163">
        <v>278097.78999999998</v>
      </c>
      <c r="AA99" s="163">
        <v>303991.94</v>
      </c>
      <c r="AB99" s="163">
        <v>329886.11</v>
      </c>
      <c r="AC99" s="163">
        <v>400830.61</v>
      </c>
      <c r="AD99" s="163">
        <v>311512.01</v>
      </c>
      <c r="AE99" s="163">
        <v>312294.13</v>
      </c>
      <c r="AF99" s="163">
        <v>313076.23</v>
      </c>
      <c r="AG99" s="163">
        <v>313858.34000000003</v>
      </c>
      <c r="AH99" s="163">
        <v>314640.44</v>
      </c>
      <c r="AI99" s="163">
        <v>341316.71</v>
      </c>
      <c r="AJ99" s="163">
        <v>316204.67</v>
      </c>
      <c r="AK99" s="163">
        <v>291092.62</v>
      </c>
      <c r="AL99" s="163">
        <v>265980.57</v>
      </c>
      <c r="AM99" s="163">
        <v>240868.51</v>
      </c>
      <c r="AN99" s="163">
        <v>215756.47</v>
      </c>
      <c r="AO99" s="163">
        <v>190644.42</v>
      </c>
      <c r="AP99" s="163">
        <v>165532.35999999999</v>
      </c>
      <c r="AQ99" s="163">
        <v>140420.32</v>
      </c>
      <c r="AR99" s="163">
        <v>115308.27</v>
      </c>
      <c r="AS99" s="163">
        <v>196095.1</v>
      </c>
      <c r="AT99" s="163">
        <v>170200.95</v>
      </c>
      <c r="AU99" s="163">
        <v>119194.75</v>
      </c>
      <c r="AV99" s="163">
        <v>118412.64</v>
      </c>
      <c r="AW99" s="163">
        <v>117630.52</v>
      </c>
      <c r="AX99" s="163">
        <v>116848.42</v>
      </c>
      <c r="AY99" s="163">
        <v>116066.31</v>
      </c>
      <c r="AZ99" s="163">
        <v>115284.2</v>
      </c>
      <c r="BA99" s="163">
        <v>114502.09</v>
      </c>
      <c r="BB99" s="163">
        <v>113719.98</v>
      </c>
      <c r="BC99" s="163">
        <v>112937.87</v>
      </c>
      <c r="BD99" s="163">
        <v>112155.76</v>
      </c>
      <c r="BE99" s="163">
        <v>111373.65</v>
      </c>
      <c r="BF99" s="163">
        <v>110591.54</v>
      </c>
      <c r="BG99" s="163">
        <v>109809.44</v>
      </c>
      <c r="BH99" s="163">
        <v>109027.32</v>
      </c>
      <c r="BI99" s="163">
        <v>108245.21</v>
      </c>
      <c r="BJ99" s="163">
        <v>213361.99</v>
      </c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0"/>
      <c r="CA99" s="160"/>
      <c r="CB99" s="160"/>
      <c r="CC99" s="160"/>
      <c r="CD99" s="160"/>
      <c r="CE99" s="160"/>
      <c r="CF99" s="160"/>
      <c r="CG99" s="160"/>
      <c r="CH99" s="160"/>
    </row>
    <row r="100" spans="1:86" ht="15" customHeight="1" x14ac:dyDescent="0.25">
      <c r="A100" s="161" t="s">
        <v>622</v>
      </c>
      <c r="B100" s="162">
        <f t="shared" si="9"/>
        <v>-1500039</v>
      </c>
      <c r="C100" s="160">
        <v>0</v>
      </c>
      <c r="D100" s="160">
        <v>0</v>
      </c>
      <c r="E100" s="160">
        <v>0</v>
      </c>
      <c r="F100" s="160">
        <v>0</v>
      </c>
      <c r="G100" s="160">
        <v>0</v>
      </c>
      <c r="H100" s="160">
        <v>0</v>
      </c>
      <c r="I100" s="160">
        <v>0</v>
      </c>
      <c r="J100" s="160">
        <v>0</v>
      </c>
      <c r="K100" s="160">
        <v>0</v>
      </c>
      <c r="L100" s="163">
        <v>0</v>
      </c>
      <c r="M100" s="163">
        <v>-10417</v>
      </c>
      <c r="N100" s="163">
        <v>-10417</v>
      </c>
      <c r="O100" s="163">
        <v>-10417</v>
      </c>
      <c r="P100" s="163">
        <v>-17917</v>
      </c>
      <c r="Q100" s="163">
        <v>-17917</v>
      </c>
      <c r="R100" s="163">
        <v>-17917</v>
      </c>
      <c r="S100" s="163">
        <v>-17917</v>
      </c>
      <c r="T100" s="163">
        <v>-17917</v>
      </c>
      <c r="U100" s="163">
        <v>-27084</v>
      </c>
      <c r="V100" s="163">
        <v>-27084</v>
      </c>
      <c r="W100" s="163">
        <v>-27084</v>
      </c>
      <c r="X100" s="163">
        <v>-27084</v>
      </c>
      <c r="Y100" s="163">
        <v>-27084</v>
      </c>
      <c r="Z100" s="163">
        <v>-27084</v>
      </c>
      <c r="AA100" s="163">
        <v>-27084</v>
      </c>
      <c r="AB100" s="163">
        <v>-27084</v>
      </c>
      <c r="AC100" s="163">
        <v>-37501</v>
      </c>
      <c r="AD100" s="163">
        <v>-37501</v>
      </c>
      <c r="AE100" s="163">
        <v>-37501</v>
      </c>
      <c r="AF100" s="163">
        <v>-37501</v>
      </c>
      <c r="AG100" s="163">
        <v>-37501</v>
      </c>
      <c r="AH100" s="163">
        <v>-37501</v>
      </c>
      <c r="AI100" s="163">
        <v>-37501</v>
      </c>
      <c r="AJ100" s="163">
        <v>-37501</v>
      </c>
      <c r="AK100" s="163">
        <v>-37501</v>
      </c>
      <c r="AL100" s="163">
        <v>-37501</v>
      </c>
      <c r="AM100" s="163">
        <v>-37501</v>
      </c>
      <c r="AN100" s="163">
        <v>-37501</v>
      </c>
      <c r="AO100" s="163">
        <v>-37501</v>
      </c>
      <c r="AP100" s="163">
        <v>-37501</v>
      </c>
      <c r="AQ100" s="163">
        <v>-37501</v>
      </c>
      <c r="AR100" s="163">
        <v>-37501</v>
      </c>
      <c r="AS100" s="163">
        <v>-37501</v>
      </c>
      <c r="AT100" s="163">
        <v>-37501</v>
      </c>
      <c r="AU100" s="163">
        <v>-37501</v>
      </c>
      <c r="AV100" s="163">
        <v>-37501</v>
      </c>
      <c r="AW100" s="163">
        <v>-37501</v>
      </c>
      <c r="AX100" s="163">
        <v>-37501</v>
      </c>
      <c r="AY100" s="163">
        <v>-37501</v>
      </c>
      <c r="AZ100" s="163">
        <v>-37501</v>
      </c>
      <c r="BA100" s="163">
        <v>-37501</v>
      </c>
      <c r="BB100" s="163">
        <v>-37501</v>
      </c>
      <c r="BC100" s="163">
        <v>-37501</v>
      </c>
      <c r="BD100" s="163">
        <v>-37501</v>
      </c>
      <c r="BE100" s="163">
        <v>-37501</v>
      </c>
      <c r="BF100" s="163">
        <v>-37501</v>
      </c>
      <c r="BG100" s="163">
        <v>-37501</v>
      </c>
      <c r="BH100" s="160">
        <v>0</v>
      </c>
      <c r="BI100" s="160">
        <v>0</v>
      </c>
      <c r="BJ100" s="160">
        <v>0</v>
      </c>
      <c r="BK100" s="160">
        <v>0</v>
      </c>
      <c r="BL100" s="160">
        <v>0</v>
      </c>
      <c r="BM100" s="160">
        <v>0</v>
      </c>
      <c r="BN100" s="160">
        <v>0</v>
      </c>
      <c r="BO100" s="160">
        <v>0</v>
      </c>
      <c r="BP100" s="160">
        <v>0</v>
      </c>
      <c r="BQ100" s="160">
        <v>0</v>
      </c>
      <c r="BR100" s="160">
        <v>0</v>
      </c>
      <c r="BS100" s="160">
        <v>0</v>
      </c>
      <c r="BT100" s="160">
        <v>0</v>
      </c>
      <c r="BU100" s="160">
        <v>0</v>
      </c>
      <c r="BV100" s="160">
        <v>0</v>
      </c>
      <c r="BW100" s="160">
        <v>0</v>
      </c>
      <c r="BX100" s="160">
        <v>0</v>
      </c>
      <c r="BY100" s="160">
        <v>0</v>
      </c>
      <c r="BZ100" s="160">
        <v>0</v>
      </c>
      <c r="CA100" s="160">
        <v>0</v>
      </c>
      <c r="CB100" s="160">
        <v>0</v>
      </c>
      <c r="CC100" s="160">
        <v>0</v>
      </c>
      <c r="CD100" s="160">
        <v>0</v>
      </c>
      <c r="CE100" s="160">
        <v>0</v>
      </c>
      <c r="CF100" s="160">
        <v>0</v>
      </c>
      <c r="CG100" s="160">
        <v>0</v>
      </c>
      <c r="CH100" s="160"/>
    </row>
    <row r="101" spans="1:86" ht="15" customHeight="1" x14ac:dyDescent="0.25">
      <c r="A101" s="161" t="s">
        <v>623</v>
      </c>
      <c r="B101" s="162">
        <f t="shared" si="9"/>
        <v>-456000</v>
      </c>
      <c r="C101" s="160"/>
      <c r="D101" s="160"/>
      <c r="E101" s="160"/>
      <c r="F101" s="160"/>
      <c r="G101" s="160"/>
      <c r="H101" s="160"/>
      <c r="I101" s="160"/>
      <c r="J101" s="160"/>
      <c r="K101" s="160"/>
      <c r="L101" s="163">
        <v>-9500</v>
      </c>
      <c r="M101" s="163">
        <v>-9500</v>
      </c>
      <c r="N101" s="163">
        <v>-9500</v>
      </c>
      <c r="O101" s="163">
        <v>-9500</v>
      </c>
      <c r="P101" s="163">
        <v>-9500</v>
      </c>
      <c r="Q101" s="163">
        <v>-9500</v>
      </c>
      <c r="R101" s="163">
        <v>-9500</v>
      </c>
      <c r="S101" s="163">
        <v>-9500</v>
      </c>
      <c r="T101" s="163">
        <v>-9500</v>
      </c>
      <c r="U101" s="163">
        <v>-9500</v>
      </c>
      <c r="V101" s="163">
        <v>-9500</v>
      </c>
      <c r="W101" s="163">
        <v>-9500</v>
      </c>
      <c r="X101" s="163">
        <v>-9500</v>
      </c>
      <c r="Y101" s="163">
        <v>-9500</v>
      </c>
      <c r="Z101" s="163">
        <v>-9500</v>
      </c>
      <c r="AA101" s="163">
        <v>-9500</v>
      </c>
      <c r="AB101" s="163">
        <v>-9500</v>
      </c>
      <c r="AC101" s="163">
        <v>-9500</v>
      </c>
      <c r="AD101" s="163">
        <v>-9500</v>
      </c>
      <c r="AE101" s="163">
        <v>-9500</v>
      </c>
      <c r="AF101" s="163">
        <v>-9500</v>
      </c>
      <c r="AG101" s="163">
        <v>-9500</v>
      </c>
      <c r="AH101" s="163">
        <v>-9500</v>
      </c>
      <c r="AI101" s="163">
        <v>-9500</v>
      </c>
      <c r="AJ101" s="163">
        <v>-9500</v>
      </c>
      <c r="AK101" s="163">
        <v>-9500</v>
      </c>
      <c r="AL101" s="163">
        <v>-9500</v>
      </c>
      <c r="AM101" s="163">
        <v>-9500</v>
      </c>
      <c r="AN101" s="163">
        <v>-9500</v>
      </c>
      <c r="AO101" s="163">
        <v>-9500</v>
      </c>
      <c r="AP101" s="163">
        <v>-9500</v>
      </c>
      <c r="AQ101" s="163">
        <v>-9500</v>
      </c>
      <c r="AR101" s="163">
        <v>-9500</v>
      </c>
      <c r="AS101" s="163">
        <v>-9500</v>
      </c>
      <c r="AT101" s="163">
        <v>-9500</v>
      </c>
      <c r="AU101" s="163">
        <v>-9500</v>
      </c>
      <c r="AV101" s="163">
        <v>-9500</v>
      </c>
      <c r="AW101" s="163">
        <v>-9500</v>
      </c>
      <c r="AX101" s="163">
        <v>-9500</v>
      </c>
      <c r="AY101" s="163">
        <v>-9500</v>
      </c>
      <c r="AZ101" s="163">
        <v>-9500</v>
      </c>
      <c r="BA101" s="163">
        <v>-9500</v>
      </c>
      <c r="BB101" s="163">
        <v>-9500</v>
      </c>
      <c r="BC101" s="163">
        <v>-9500</v>
      </c>
      <c r="BD101" s="163">
        <v>-9500</v>
      </c>
      <c r="BE101" s="163">
        <v>-9500</v>
      </c>
      <c r="BF101" s="163">
        <v>-9500</v>
      </c>
      <c r="BG101" s="163">
        <v>-9500</v>
      </c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0"/>
      <c r="CA101" s="160"/>
      <c r="CB101" s="160"/>
      <c r="CC101" s="160"/>
      <c r="CD101" s="160"/>
      <c r="CE101" s="160"/>
      <c r="CF101" s="160"/>
      <c r="CG101" s="160"/>
      <c r="CH101" s="160"/>
    </row>
    <row r="102" spans="1:86" ht="15" customHeight="1" x14ac:dyDescent="0.25">
      <c r="A102" s="161" t="s">
        <v>624</v>
      </c>
      <c r="B102" s="162">
        <f t="shared" si="9"/>
        <v>7053625.9999999991</v>
      </c>
      <c r="C102" s="164">
        <f t="shared" ref="C102:AH102" si="10">C99+C100+C101</f>
        <v>0</v>
      </c>
      <c r="D102" s="164">
        <f t="shared" si="10"/>
        <v>0</v>
      </c>
      <c r="E102" s="164">
        <f t="shared" si="10"/>
        <v>0</v>
      </c>
      <c r="F102" s="164">
        <f t="shared" si="10"/>
        <v>0</v>
      </c>
      <c r="G102" s="164">
        <f t="shared" si="10"/>
        <v>0</v>
      </c>
      <c r="H102" s="164">
        <f t="shared" si="10"/>
        <v>0</v>
      </c>
      <c r="I102" s="164">
        <f t="shared" si="10"/>
        <v>0</v>
      </c>
      <c r="J102" s="164">
        <f t="shared" si="10"/>
        <v>0</v>
      </c>
      <c r="K102" s="164">
        <f t="shared" si="10"/>
        <v>0</v>
      </c>
      <c r="L102" s="164">
        <f t="shared" si="10"/>
        <v>35550.36</v>
      </c>
      <c r="M102" s="164">
        <f t="shared" si="10"/>
        <v>25133.360000000001</v>
      </c>
      <c r="N102" s="164">
        <f t="shared" si="10"/>
        <v>25133.360000000001</v>
      </c>
      <c r="O102" s="164">
        <f t="shared" si="10"/>
        <v>25133.360000000001</v>
      </c>
      <c r="P102" s="164">
        <f t="shared" si="10"/>
        <v>17633.36</v>
      </c>
      <c r="Q102" s="164">
        <f t="shared" si="10"/>
        <v>17633.36</v>
      </c>
      <c r="R102" s="164">
        <f t="shared" si="10"/>
        <v>43527.520000000004</v>
      </c>
      <c r="S102" s="164">
        <f t="shared" si="10"/>
        <v>69421.679999999993</v>
      </c>
      <c r="T102" s="164">
        <f t="shared" si="10"/>
        <v>95315.839999999997</v>
      </c>
      <c r="U102" s="164">
        <f t="shared" si="10"/>
        <v>112042.98999999999</v>
      </c>
      <c r="V102" s="164">
        <f t="shared" si="10"/>
        <v>137937.16</v>
      </c>
      <c r="W102" s="164">
        <f t="shared" si="10"/>
        <v>163831.31</v>
      </c>
      <c r="X102" s="164">
        <f t="shared" si="10"/>
        <v>189725.46</v>
      </c>
      <c r="Y102" s="164">
        <f t="shared" si="10"/>
        <v>215619.62</v>
      </c>
      <c r="Z102" s="164">
        <f t="shared" si="10"/>
        <v>241513.78999999998</v>
      </c>
      <c r="AA102" s="164">
        <f t="shared" si="10"/>
        <v>267407.94</v>
      </c>
      <c r="AB102" s="164">
        <f t="shared" si="10"/>
        <v>293302.11</v>
      </c>
      <c r="AC102" s="164">
        <f t="shared" si="10"/>
        <v>353829.61</v>
      </c>
      <c r="AD102" s="164">
        <f t="shared" si="10"/>
        <v>264511.01</v>
      </c>
      <c r="AE102" s="164">
        <f t="shared" si="10"/>
        <v>265293.13</v>
      </c>
      <c r="AF102" s="164">
        <f t="shared" si="10"/>
        <v>266075.23</v>
      </c>
      <c r="AG102" s="164">
        <f t="shared" si="10"/>
        <v>266857.34000000003</v>
      </c>
      <c r="AH102" s="164">
        <f t="shared" si="10"/>
        <v>267639.44</v>
      </c>
      <c r="AI102" s="164">
        <f t="shared" ref="AI102:BN102" si="11">AI99+AI100+AI101</f>
        <v>294315.71000000002</v>
      </c>
      <c r="AJ102" s="164">
        <f t="shared" si="11"/>
        <v>269203.67</v>
      </c>
      <c r="AK102" s="164">
        <f t="shared" si="11"/>
        <v>244091.62</v>
      </c>
      <c r="AL102" s="164">
        <f t="shared" si="11"/>
        <v>218979.57</v>
      </c>
      <c r="AM102" s="164">
        <f t="shared" si="11"/>
        <v>193867.51</v>
      </c>
      <c r="AN102" s="164">
        <f t="shared" si="11"/>
        <v>168755.47</v>
      </c>
      <c r="AO102" s="164">
        <f t="shared" si="11"/>
        <v>143643.42000000001</v>
      </c>
      <c r="AP102" s="164">
        <f t="shared" si="11"/>
        <v>118531.35999999999</v>
      </c>
      <c r="AQ102" s="164">
        <f t="shared" si="11"/>
        <v>93419.32</v>
      </c>
      <c r="AR102" s="164">
        <f t="shared" si="11"/>
        <v>68307.27</v>
      </c>
      <c r="AS102" s="164">
        <f t="shared" si="11"/>
        <v>149094.1</v>
      </c>
      <c r="AT102" s="164">
        <f t="shared" si="11"/>
        <v>123199.95000000001</v>
      </c>
      <c r="AU102" s="164">
        <f t="shared" si="11"/>
        <v>72193.75</v>
      </c>
      <c r="AV102" s="164">
        <f t="shared" si="11"/>
        <v>71411.64</v>
      </c>
      <c r="AW102" s="164">
        <f t="shared" si="11"/>
        <v>70629.52</v>
      </c>
      <c r="AX102" s="164">
        <f t="shared" si="11"/>
        <v>69847.42</v>
      </c>
      <c r="AY102" s="164">
        <f t="shared" si="11"/>
        <v>69065.31</v>
      </c>
      <c r="AZ102" s="164">
        <f t="shared" si="11"/>
        <v>68283.199999999997</v>
      </c>
      <c r="BA102" s="164">
        <f t="shared" si="11"/>
        <v>67501.09</v>
      </c>
      <c r="BB102" s="164">
        <f t="shared" si="11"/>
        <v>66718.98</v>
      </c>
      <c r="BC102" s="164">
        <f t="shared" si="11"/>
        <v>65936.87</v>
      </c>
      <c r="BD102" s="164">
        <f t="shared" si="11"/>
        <v>65154.759999999995</v>
      </c>
      <c r="BE102" s="164">
        <f t="shared" si="11"/>
        <v>64372.649999999994</v>
      </c>
      <c r="BF102" s="164">
        <f t="shared" si="11"/>
        <v>63590.539999999994</v>
      </c>
      <c r="BG102" s="164">
        <f t="shared" si="11"/>
        <v>62808.44</v>
      </c>
      <c r="BH102" s="164">
        <f t="shared" si="11"/>
        <v>109027.32</v>
      </c>
      <c r="BI102" s="164">
        <f t="shared" si="11"/>
        <v>108245.21</v>
      </c>
      <c r="BJ102" s="164">
        <f t="shared" si="11"/>
        <v>213361.99</v>
      </c>
      <c r="BK102" s="164">
        <f t="shared" si="11"/>
        <v>0</v>
      </c>
      <c r="BL102" s="164">
        <f t="shared" si="11"/>
        <v>0</v>
      </c>
      <c r="BM102" s="164">
        <f t="shared" si="11"/>
        <v>0</v>
      </c>
      <c r="BN102" s="164">
        <f t="shared" si="11"/>
        <v>0</v>
      </c>
      <c r="BO102" s="164">
        <f t="shared" ref="BO102:CT102" si="12">BO99+BO100+BO101</f>
        <v>0</v>
      </c>
      <c r="BP102" s="164">
        <f t="shared" si="12"/>
        <v>0</v>
      </c>
      <c r="BQ102" s="164">
        <f t="shared" si="12"/>
        <v>0</v>
      </c>
      <c r="BR102" s="164">
        <f t="shared" si="12"/>
        <v>0</v>
      </c>
      <c r="BS102" s="164">
        <f t="shared" si="12"/>
        <v>0</v>
      </c>
      <c r="BT102" s="164">
        <f t="shared" si="12"/>
        <v>0</v>
      </c>
      <c r="BU102" s="164">
        <f t="shared" si="12"/>
        <v>0</v>
      </c>
      <c r="BV102" s="164">
        <f t="shared" si="12"/>
        <v>0</v>
      </c>
      <c r="BW102" s="164">
        <f t="shared" si="12"/>
        <v>0</v>
      </c>
      <c r="BX102" s="164">
        <f t="shared" si="12"/>
        <v>0</v>
      </c>
      <c r="BY102" s="164">
        <f t="shared" si="12"/>
        <v>0</v>
      </c>
      <c r="BZ102" s="164">
        <f t="shared" si="12"/>
        <v>0</v>
      </c>
      <c r="CA102" s="164">
        <f t="shared" si="12"/>
        <v>0</v>
      </c>
      <c r="CB102" s="164">
        <f t="shared" si="12"/>
        <v>0</v>
      </c>
      <c r="CC102" s="164">
        <f t="shared" si="12"/>
        <v>0</v>
      </c>
      <c r="CD102" s="164">
        <f t="shared" si="12"/>
        <v>0</v>
      </c>
      <c r="CE102" s="164">
        <f t="shared" si="12"/>
        <v>0</v>
      </c>
      <c r="CF102" s="164">
        <f t="shared" si="12"/>
        <v>0</v>
      </c>
      <c r="CG102" s="164">
        <f t="shared" si="12"/>
        <v>0</v>
      </c>
      <c r="CH102" s="164">
        <f t="shared" si="12"/>
        <v>0</v>
      </c>
    </row>
    <row r="103" spans="1:86" ht="15" customHeight="1" x14ac:dyDescent="0.25">
      <c r="A103" s="161" t="s">
        <v>625</v>
      </c>
      <c r="B103" s="162">
        <f t="shared" si="9"/>
        <v>563192.61699999985</v>
      </c>
      <c r="C103" s="164">
        <f t="shared" ref="C103:K103" si="13">C99*$B$94</f>
        <v>0</v>
      </c>
      <c r="D103" s="164">
        <f t="shared" si="13"/>
        <v>0</v>
      </c>
      <c r="E103" s="164">
        <f t="shared" si="13"/>
        <v>0</v>
      </c>
      <c r="F103" s="164">
        <f t="shared" si="13"/>
        <v>0</v>
      </c>
      <c r="G103" s="164">
        <f t="shared" si="13"/>
        <v>0</v>
      </c>
      <c r="H103" s="164">
        <f t="shared" si="13"/>
        <v>0</v>
      </c>
      <c r="I103" s="164">
        <f t="shared" si="13"/>
        <v>0</v>
      </c>
      <c r="J103" s="164">
        <f t="shared" si="13"/>
        <v>0</v>
      </c>
      <c r="K103" s="164">
        <f t="shared" si="13"/>
        <v>0</v>
      </c>
      <c r="L103" s="164">
        <f t="shared" ref="L103:AQ103" si="14">MIN(L99*$B$94,12500)</f>
        <v>4505.0360000000001</v>
      </c>
      <c r="M103" s="164">
        <f t="shared" si="14"/>
        <v>4505.0360000000001</v>
      </c>
      <c r="N103" s="164">
        <f t="shared" si="14"/>
        <v>4505.0360000000001</v>
      </c>
      <c r="O103" s="164">
        <f t="shared" si="14"/>
        <v>4505.0360000000001</v>
      </c>
      <c r="P103" s="164">
        <f t="shared" si="14"/>
        <v>4505.0360000000001</v>
      </c>
      <c r="Q103" s="164">
        <f t="shared" si="14"/>
        <v>4505.0360000000001</v>
      </c>
      <c r="R103" s="164">
        <f t="shared" si="14"/>
        <v>7094.4520000000011</v>
      </c>
      <c r="S103" s="164">
        <f t="shared" si="14"/>
        <v>9683.8680000000004</v>
      </c>
      <c r="T103" s="164">
        <f t="shared" si="14"/>
        <v>12273.284</v>
      </c>
      <c r="U103" s="164">
        <f t="shared" si="14"/>
        <v>12500</v>
      </c>
      <c r="V103" s="164">
        <f t="shared" si="14"/>
        <v>12500</v>
      </c>
      <c r="W103" s="164">
        <f t="shared" si="14"/>
        <v>12500</v>
      </c>
      <c r="X103" s="164">
        <f t="shared" si="14"/>
        <v>12500</v>
      </c>
      <c r="Y103" s="164">
        <f t="shared" si="14"/>
        <v>12500</v>
      </c>
      <c r="Z103" s="164">
        <f t="shared" si="14"/>
        <v>12500</v>
      </c>
      <c r="AA103" s="164">
        <f t="shared" si="14"/>
        <v>12500</v>
      </c>
      <c r="AB103" s="164">
        <f t="shared" si="14"/>
        <v>12500</v>
      </c>
      <c r="AC103" s="164">
        <f t="shared" si="14"/>
        <v>12500</v>
      </c>
      <c r="AD103" s="164">
        <f t="shared" si="14"/>
        <v>12500</v>
      </c>
      <c r="AE103" s="164">
        <f t="shared" si="14"/>
        <v>12500</v>
      </c>
      <c r="AF103" s="164">
        <f t="shared" si="14"/>
        <v>12500</v>
      </c>
      <c r="AG103" s="164">
        <f t="shared" si="14"/>
        <v>12500</v>
      </c>
      <c r="AH103" s="164">
        <f t="shared" si="14"/>
        <v>12500</v>
      </c>
      <c r="AI103" s="164">
        <f t="shared" si="14"/>
        <v>12500</v>
      </c>
      <c r="AJ103" s="164">
        <f t="shared" si="14"/>
        <v>12500</v>
      </c>
      <c r="AK103" s="164">
        <f t="shared" si="14"/>
        <v>12500</v>
      </c>
      <c r="AL103" s="164">
        <f t="shared" si="14"/>
        <v>12500</v>
      </c>
      <c r="AM103" s="164">
        <f t="shared" si="14"/>
        <v>12500</v>
      </c>
      <c r="AN103" s="164">
        <f t="shared" si="14"/>
        <v>12500</v>
      </c>
      <c r="AO103" s="164">
        <f t="shared" si="14"/>
        <v>12500</v>
      </c>
      <c r="AP103" s="164">
        <f t="shared" si="14"/>
        <v>12500</v>
      </c>
      <c r="AQ103" s="164">
        <f t="shared" si="14"/>
        <v>12500</v>
      </c>
      <c r="AR103" s="164">
        <f t="shared" ref="AR103:BW103" si="15">MIN(AR99*$B$94,12500)</f>
        <v>11530.827000000001</v>
      </c>
      <c r="AS103" s="164">
        <f t="shared" si="15"/>
        <v>12500</v>
      </c>
      <c r="AT103" s="164">
        <f t="shared" si="15"/>
        <v>12500</v>
      </c>
      <c r="AU103" s="164">
        <f t="shared" si="15"/>
        <v>11919.475</v>
      </c>
      <c r="AV103" s="164">
        <f t="shared" si="15"/>
        <v>11841.264000000001</v>
      </c>
      <c r="AW103" s="164">
        <f t="shared" si="15"/>
        <v>11763.052000000001</v>
      </c>
      <c r="AX103" s="164">
        <f t="shared" si="15"/>
        <v>11684.842000000001</v>
      </c>
      <c r="AY103" s="164">
        <f t="shared" si="15"/>
        <v>11606.631000000001</v>
      </c>
      <c r="AZ103" s="164">
        <f t="shared" si="15"/>
        <v>11528.42</v>
      </c>
      <c r="BA103" s="164">
        <f t="shared" si="15"/>
        <v>11450.209000000001</v>
      </c>
      <c r="BB103" s="164">
        <f t="shared" si="15"/>
        <v>11371.998</v>
      </c>
      <c r="BC103" s="164">
        <f t="shared" si="15"/>
        <v>11293.787</v>
      </c>
      <c r="BD103" s="164">
        <f t="shared" si="15"/>
        <v>11215.576000000001</v>
      </c>
      <c r="BE103" s="164">
        <f t="shared" si="15"/>
        <v>11137.365</v>
      </c>
      <c r="BF103" s="164">
        <f t="shared" si="15"/>
        <v>11059.154</v>
      </c>
      <c r="BG103" s="164">
        <f t="shared" si="15"/>
        <v>10980.944000000001</v>
      </c>
      <c r="BH103" s="164">
        <f t="shared" si="15"/>
        <v>10902.732000000002</v>
      </c>
      <c r="BI103" s="164">
        <f t="shared" si="15"/>
        <v>10824.521000000001</v>
      </c>
      <c r="BJ103" s="164">
        <f t="shared" si="15"/>
        <v>12500</v>
      </c>
      <c r="BK103" s="164">
        <f t="shared" si="15"/>
        <v>0</v>
      </c>
      <c r="BL103" s="164">
        <f t="shared" si="15"/>
        <v>0</v>
      </c>
      <c r="BM103" s="164">
        <f t="shared" si="15"/>
        <v>0</v>
      </c>
      <c r="BN103" s="164">
        <f t="shared" si="15"/>
        <v>0</v>
      </c>
      <c r="BO103" s="164">
        <f t="shared" si="15"/>
        <v>0</v>
      </c>
      <c r="BP103" s="164">
        <f t="shared" si="15"/>
        <v>0</v>
      </c>
      <c r="BQ103" s="164">
        <f t="shared" si="15"/>
        <v>0</v>
      </c>
      <c r="BR103" s="164">
        <f t="shared" si="15"/>
        <v>0</v>
      </c>
      <c r="BS103" s="164">
        <f t="shared" si="15"/>
        <v>0</v>
      </c>
      <c r="BT103" s="164">
        <f t="shared" si="15"/>
        <v>0</v>
      </c>
      <c r="BU103" s="164">
        <f t="shared" si="15"/>
        <v>0</v>
      </c>
      <c r="BV103" s="164">
        <f t="shared" si="15"/>
        <v>0</v>
      </c>
      <c r="BW103" s="164">
        <f t="shared" si="15"/>
        <v>0</v>
      </c>
      <c r="BX103" s="164">
        <f t="shared" ref="BX103:CG103" si="16">MIN(BX99*$B$94,12500)</f>
        <v>0</v>
      </c>
      <c r="BY103" s="164">
        <f t="shared" si="16"/>
        <v>0</v>
      </c>
      <c r="BZ103" s="164">
        <f t="shared" si="16"/>
        <v>0</v>
      </c>
      <c r="CA103" s="164">
        <f t="shared" si="16"/>
        <v>0</v>
      </c>
      <c r="CB103" s="164">
        <f t="shared" si="16"/>
        <v>0</v>
      </c>
      <c r="CC103" s="164">
        <f t="shared" si="16"/>
        <v>0</v>
      </c>
      <c r="CD103" s="164">
        <f t="shared" si="16"/>
        <v>0</v>
      </c>
      <c r="CE103" s="164">
        <f t="shared" si="16"/>
        <v>0</v>
      </c>
      <c r="CF103" s="164">
        <f t="shared" si="16"/>
        <v>0</v>
      </c>
      <c r="CG103" s="164">
        <f t="shared" si="16"/>
        <v>0</v>
      </c>
      <c r="CH103" s="164">
        <f>CH99*$B$94</f>
        <v>0</v>
      </c>
    </row>
    <row r="104" spans="1:86" ht="15" customHeight="1" x14ac:dyDescent="0.25">
      <c r="A104" s="161" t="s">
        <v>626</v>
      </c>
      <c r="B104" s="162">
        <f t="shared" si="9"/>
        <v>6490433.3830000013</v>
      </c>
      <c r="C104" s="164">
        <f t="shared" ref="C104:AH104" si="17">C102-C103</f>
        <v>0</v>
      </c>
      <c r="D104" s="164">
        <f t="shared" si="17"/>
        <v>0</v>
      </c>
      <c r="E104" s="164">
        <f t="shared" si="17"/>
        <v>0</v>
      </c>
      <c r="F104" s="164">
        <f t="shared" si="17"/>
        <v>0</v>
      </c>
      <c r="G104" s="164">
        <f t="shared" si="17"/>
        <v>0</v>
      </c>
      <c r="H104" s="164">
        <f t="shared" si="17"/>
        <v>0</v>
      </c>
      <c r="I104" s="164">
        <f t="shared" si="17"/>
        <v>0</v>
      </c>
      <c r="J104" s="164">
        <f t="shared" si="17"/>
        <v>0</v>
      </c>
      <c r="K104" s="164">
        <f t="shared" si="17"/>
        <v>0</v>
      </c>
      <c r="L104" s="164">
        <f t="shared" si="17"/>
        <v>31045.324000000001</v>
      </c>
      <c r="M104" s="164">
        <f t="shared" si="17"/>
        <v>20628.324000000001</v>
      </c>
      <c r="N104" s="164">
        <f t="shared" si="17"/>
        <v>20628.324000000001</v>
      </c>
      <c r="O104" s="164">
        <f t="shared" si="17"/>
        <v>20628.324000000001</v>
      </c>
      <c r="P104" s="164">
        <f t="shared" si="17"/>
        <v>13128.324000000001</v>
      </c>
      <c r="Q104" s="164">
        <f t="shared" si="17"/>
        <v>13128.324000000001</v>
      </c>
      <c r="R104" s="164">
        <f t="shared" si="17"/>
        <v>36433.067999999999</v>
      </c>
      <c r="S104" s="164">
        <f t="shared" si="17"/>
        <v>59737.811999999991</v>
      </c>
      <c r="T104" s="164">
        <f t="shared" si="17"/>
        <v>83042.555999999997</v>
      </c>
      <c r="U104" s="164">
        <f t="shared" si="17"/>
        <v>99542.989999999991</v>
      </c>
      <c r="V104" s="164">
        <f t="shared" si="17"/>
        <v>125437.16</v>
      </c>
      <c r="W104" s="164">
        <f t="shared" si="17"/>
        <v>151331.31</v>
      </c>
      <c r="X104" s="164">
        <f t="shared" si="17"/>
        <v>177225.46</v>
      </c>
      <c r="Y104" s="164">
        <f t="shared" si="17"/>
        <v>203119.62</v>
      </c>
      <c r="Z104" s="164">
        <f t="shared" si="17"/>
        <v>229013.78999999998</v>
      </c>
      <c r="AA104" s="164">
        <f t="shared" si="17"/>
        <v>254907.94</v>
      </c>
      <c r="AB104" s="164">
        <f t="shared" si="17"/>
        <v>280802.11</v>
      </c>
      <c r="AC104" s="164">
        <f t="shared" si="17"/>
        <v>341329.61</v>
      </c>
      <c r="AD104" s="164">
        <f t="shared" si="17"/>
        <v>252011.01</v>
      </c>
      <c r="AE104" s="164">
        <f t="shared" si="17"/>
        <v>252793.13</v>
      </c>
      <c r="AF104" s="164">
        <f t="shared" si="17"/>
        <v>253575.22999999998</v>
      </c>
      <c r="AG104" s="164">
        <f t="shared" si="17"/>
        <v>254357.34000000003</v>
      </c>
      <c r="AH104" s="164">
        <f t="shared" si="17"/>
        <v>255139.44</v>
      </c>
      <c r="AI104" s="164">
        <f t="shared" ref="AI104:BN104" si="18">AI102-AI103</f>
        <v>281815.71000000002</v>
      </c>
      <c r="AJ104" s="164">
        <f t="shared" si="18"/>
        <v>256703.66999999998</v>
      </c>
      <c r="AK104" s="164">
        <f t="shared" si="18"/>
        <v>231591.62</v>
      </c>
      <c r="AL104" s="164">
        <f t="shared" si="18"/>
        <v>206479.57</v>
      </c>
      <c r="AM104" s="164">
        <f t="shared" si="18"/>
        <v>181367.51</v>
      </c>
      <c r="AN104" s="164">
        <f t="shared" si="18"/>
        <v>156255.47</v>
      </c>
      <c r="AO104" s="164">
        <f t="shared" si="18"/>
        <v>131143.42000000001</v>
      </c>
      <c r="AP104" s="164">
        <f t="shared" si="18"/>
        <v>106031.35999999999</v>
      </c>
      <c r="AQ104" s="164">
        <f t="shared" si="18"/>
        <v>80919.320000000007</v>
      </c>
      <c r="AR104" s="164">
        <f t="shared" si="18"/>
        <v>56776.442999999999</v>
      </c>
      <c r="AS104" s="164">
        <f t="shared" si="18"/>
        <v>136594.1</v>
      </c>
      <c r="AT104" s="164">
        <f t="shared" si="18"/>
        <v>110699.95000000001</v>
      </c>
      <c r="AU104" s="164">
        <f t="shared" si="18"/>
        <v>60274.275000000001</v>
      </c>
      <c r="AV104" s="164">
        <f t="shared" si="18"/>
        <v>59570.375999999997</v>
      </c>
      <c r="AW104" s="164">
        <f t="shared" si="18"/>
        <v>58866.468000000001</v>
      </c>
      <c r="AX104" s="164">
        <f t="shared" si="18"/>
        <v>58162.577999999994</v>
      </c>
      <c r="AY104" s="164">
        <f t="shared" si="18"/>
        <v>57458.678999999996</v>
      </c>
      <c r="AZ104" s="164">
        <f t="shared" si="18"/>
        <v>56754.78</v>
      </c>
      <c r="BA104" s="164">
        <f t="shared" si="18"/>
        <v>56050.880999999994</v>
      </c>
      <c r="BB104" s="164">
        <f t="shared" si="18"/>
        <v>55346.981999999996</v>
      </c>
      <c r="BC104" s="164">
        <f t="shared" si="18"/>
        <v>54643.082999999999</v>
      </c>
      <c r="BD104" s="164">
        <f t="shared" si="18"/>
        <v>53939.183999999994</v>
      </c>
      <c r="BE104" s="164">
        <f t="shared" si="18"/>
        <v>53235.284999999996</v>
      </c>
      <c r="BF104" s="164">
        <f t="shared" si="18"/>
        <v>52531.385999999991</v>
      </c>
      <c r="BG104" s="164">
        <f t="shared" si="18"/>
        <v>51827.495999999999</v>
      </c>
      <c r="BH104" s="164">
        <f t="shared" si="18"/>
        <v>98124.588000000003</v>
      </c>
      <c r="BI104" s="164">
        <f t="shared" si="18"/>
        <v>97420.689000000013</v>
      </c>
      <c r="BJ104" s="164">
        <f t="shared" si="18"/>
        <v>200861.99</v>
      </c>
      <c r="BK104" s="164">
        <f t="shared" si="18"/>
        <v>0</v>
      </c>
      <c r="BL104" s="164">
        <f t="shared" si="18"/>
        <v>0</v>
      </c>
      <c r="BM104" s="164">
        <f t="shared" si="18"/>
        <v>0</v>
      </c>
      <c r="BN104" s="164">
        <f t="shared" si="18"/>
        <v>0</v>
      </c>
      <c r="BO104" s="164">
        <f t="shared" ref="BO104:CT104" si="19">BO102-BO103</f>
        <v>0</v>
      </c>
      <c r="BP104" s="164">
        <f t="shared" si="19"/>
        <v>0</v>
      </c>
      <c r="BQ104" s="164">
        <f t="shared" si="19"/>
        <v>0</v>
      </c>
      <c r="BR104" s="164">
        <f t="shared" si="19"/>
        <v>0</v>
      </c>
      <c r="BS104" s="164">
        <f t="shared" si="19"/>
        <v>0</v>
      </c>
      <c r="BT104" s="164">
        <f t="shared" si="19"/>
        <v>0</v>
      </c>
      <c r="BU104" s="164">
        <f t="shared" si="19"/>
        <v>0</v>
      </c>
      <c r="BV104" s="164">
        <f t="shared" si="19"/>
        <v>0</v>
      </c>
      <c r="BW104" s="164">
        <f t="shared" si="19"/>
        <v>0</v>
      </c>
      <c r="BX104" s="164">
        <f t="shared" si="19"/>
        <v>0</v>
      </c>
      <c r="BY104" s="164">
        <f t="shared" si="19"/>
        <v>0</v>
      </c>
      <c r="BZ104" s="164">
        <f t="shared" si="19"/>
        <v>0</v>
      </c>
      <c r="CA104" s="164">
        <f t="shared" si="19"/>
        <v>0</v>
      </c>
      <c r="CB104" s="164">
        <f t="shared" si="19"/>
        <v>0</v>
      </c>
      <c r="CC104" s="164">
        <f t="shared" si="19"/>
        <v>0</v>
      </c>
      <c r="CD104" s="164">
        <f t="shared" si="19"/>
        <v>0</v>
      </c>
      <c r="CE104" s="164">
        <f t="shared" si="19"/>
        <v>0</v>
      </c>
      <c r="CF104" s="164">
        <f t="shared" si="19"/>
        <v>0</v>
      </c>
      <c r="CG104" s="164">
        <f t="shared" si="19"/>
        <v>0</v>
      </c>
      <c r="CH104" s="164">
        <f t="shared" si="19"/>
        <v>0</v>
      </c>
    </row>
    <row r="105" spans="1:86" ht="15" customHeight="1" x14ac:dyDescent="0.25">
      <c r="A105" s="161" t="s">
        <v>627</v>
      </c>
      <c r="B105" s="162">
        <f t="shared" si="9"/>
        <v>2951665.9260000009</v>
      </c>
      <c r="C105" s="164">
        <v>0</v>
      </c>
      <c r="D105" s="164">
        <v>0</v>
      </c>
      <c r="E105" s="164">
        <v>0</v>
      </c>
      <c r="F105" s="164">
        <v>0</v>
      </c>
      <c r="G105" s="164">
        <v>0</v>
      </c>
      <c r="H105" s="164">
        <v>0</v>
      </c>
      <c r="I105" s="164">
        <v>0</v>
      </c>
      <c r="J105" s="164">
        <v>0</v>
      </c>
      <c r="K105" s="164">
        <v>0</v>
      </c>
      <c r="L105" s="164">
        <f t="shared" ref="L105:Z105" si="20">MAX(0,L104)*0.4</f>
        <v>12418.1296</v>
      </c>
      <c r="M105" s="164">
        <f t="shared" si="20"/>
        <v>8251.3296000000009</v>
      </c>
      <c r="N105" s="164">
        <f t="shared" si="20"/>
        <v>8251.3296000000009</v>
      </c>
      <c r="O105" s="164">
        <f t="shared" si="20"/>
        <v>8251.3296000000009</v>
      </c>
      <c r="P105" s="164">
        <f t="shared" si="20"/>
        <v>5251.3296000000009</v>
      </c>
      <c r="Q105" s="164">
        <f t="shared" si="20"/>
        <v>5251.3296000000009</v>
      </c>
      <c r="R105" s="164">
        <f t="shared" si="20"/>
        <v>14573.227200000001</v>
      </c>
      <c r="S105" s="164">
        <f t="shared" si="20"/>
        <v>23895.124799999998</v>
      </c>
      <c r="T105" s="164">
        <f t="shared" si="20"/>
        <v>33217.022400000002</v>
      </c>
      <c r="U105" s="164">
        <f t="shared" si="20"/>
        <v>39817.195999999996</v>
      </c>
      <c r="V105" s="164">
        <f t="shared" si="20"/>
        <v>50174.864000000001</v>
      </c>
      <c r="W105" s="164">
        <f t="shared" si="20"/>
        <v>60532.524000000005</v>
      </c>
      <c r="X105" s="164">
        <f t="shared" si="20"/>
        <v>70890.183999999994</v>
      </c>
      <c r="Y105" s="164">
        <f t="shared" si="20"/>
        <v>81247.847999999998</v>
      </c>
      <c r="Z105" s="164">
        <f t="shared" si="20"/>
        <v>91605.516000000003</v>
      </c>
      <c r="AA105" s="164">
        <f t="shared" ref="AA105:AM105" si="21">MAX(0,AA104)*0.45</f>
        <v>114708.573</v>
      </c>
      <c r="AB105" s="164">
        <f t="shared" si="21"/>
        <v>126360.9495</v>
      </c>
      <c r="AC105" s="164">
        <f t="shared" si="21"/>
        <v>153598.32449999999</v>
      </c>
      <c r="AD105" s="164">
        <f t="shared" si="21"/>
        <v>113404.95450000001</v>
      </c>
      <c r="AE105" s="164">
        <f t="shared" si="21"/>
        <v>113756.90850000001</v>
      </c>
      <c r="AF105" s="164">
        <f t="shared" si="21"/>
        <v>114108.8535</v>
      </c>
      <c r="AG105" s="164">
        <f t="shared" si="21"/>
        <v>114460.80300000001</v>
      </c>
      <c r="AH105" s="164">
        <f t="shared" si="21"/>
        <v>114812.74800000001</v>
      </c>
      <c r="AI105" s="164">
        <f t="shared" si="21"/>
        <v>126817.06950000001</v>
      </c>
      <c r="AJ105" s="164">
        <f t="shared" si="21"/>
        <v>115516.65149999999</v>
      </c>
      <c r="AK105" s="164">
        <f t="shared" si="21"/>
        <v>104216.22900000001</v>
      </c>
      <c r="AL105" s="164">
        <f t="shared" si="21"/>
        <v>92915.806500000006</v>
      </c>
      <c r="AM105" s="164">
        <f t="shared" si="21"/>
        <v>81615.37950000001</v>
      </c>
      <c r="AN105" s="164">
        <f t="shared" ref="AN105:CG105" si="22">MAX(0,AN104)*0.5</f>
        <v>78127.735000000001</v>
      </c>
      <c r="AO105" s="164">
        <f t="shared" si="22"/>
        <v>65571.710000000006</v>
      </c>
      <c r="AP105" s="164">
        <f t="shared" si="22"/>
        <v>53015.679999999993</v>
      </c>
      <c r="AQ105" s="164">
        <f t="shared" si="22"/>
        <v>40459.660000000003</v>
      </c>
      <c r="AR105" s="164">
        <f t="shared" si="22"/>
        <v>28388.2215</v>
      </c>
      <c r="AS105" s="164">
        <f t="shared" si="22"/>
        <v>68297.05</v>
      </c>
      <c r="AT105" s="164">
        <f t="shared" si="22"/>
        <v>55349.975000000006</v>
      </c>
      <c r="AU105" s="164">
        <f t="shared" si="22"/>
        <v>30137.137500000001</v>
      </c>
      <c r="AV105" s="164">
        <f t="shared" si="22"/>
        <v>29785.187999999998</v>
      </c>
      <c r="AW105" s="164">
        <f t="shared" si="22"/>
        <v>29433.234</v>
      </c>
      <c r="AX105" s="164">
        <f t="shared" si="22"/>
        <v>29081.288999999997</v>
      </c>
      <c r="AY105" s="164">
        <f t="shared" si="22"/>
        <v>28729.339499999998</v>
      </c>
      <c r="AZ105" s="164">
        <f t="shared" si="22"/>
        <v>28377.39</v>
      </c>
      <c r="BA105" s="164">
        <f t="shared" si="22"/>
        <v>28025.440499999997</v>
      </c>
      <c r="BB105" s="164">
        <f t="shared" si="22"/>
        <v>27673.490999999998</v>
      </c>
      <c r="BC105" s="164">
        <f t="shared" si="22"/>
        <v>27321.541499999999</v>
      </c>
      <c r="BD105" s="164">
        <f t="shared" si="22"/>
        <v>26969.591999999997</v>
      </c>
      <c r="BE105" s="164">
        <f t="shared" si="22"/>
        <v>26617.642499999998</v>
      </c>
      <c r="BF105" s="164">
        <f t="shared" si="22"/>
        <v>26265.692999999996</v>
      </c>
      <c r="BG105" s="164">
        <f t="shared" si="22"/>
        <v>25913.748</v>
      </c>
      <c r="BH105" s="164">
        <f t="shared" si="22"/>
        <v>49062.294000000002</v>
      </c>
      <c r="BI105" s="164">
        <f t="shared" si="22"/>
        <v>48710.344500000007</v>
      </c>
      <c r="BJ105" s="164">
        <f t="shared" si="22"/>
        <v>100430.995</v>
      </c>
      <c r="BK105" s="164">
        <f t="shared" si="22"/>
        <v>0</v>
      </c>
      <c r="BL105" s="164">
        <f t="shared" si="22"/>
        <v>0</v>
      </c>
      <c r="BM105" s="164">
        <f t="shared" si="22"/>
        <v>0</v>
      </c>
      <c r="BN105" s="164">
        <f t="shared" si="22"/>
        <v>0</v>
      </c>
      <c r="BO105" s="164">
        <f t="shared" si="22"/>
        <v>0</v>
      </c>
      <c r="BP105" s="164">
        <f t="shared" si="22"/>
        <v>0</v>
      </c>
      <c r="BQ105" s="164">
        <f t="shared" si="22"/>
        <v>0</v>
      </c>
      <c r="BR105" s="164">
        <f t="shared" si="22"/>
        <v>0</v>
      </c>
      <c r="BS105" s="164">
        <f t="shared" si="22"/>
        <v>0</v>
      </c>
      <c r="BT105" s="164">
        <f t="shared" si="22"/>
        <v>0</v>
      </c>
      <c r="BU105" s="164">
        <f t="shared" si="22"/>
        <v>0</v>
      </c>
      <c r="BV105" s="164">
        <f t="shared" si="22"/>
        <v>0</v>
      </c>
      <c r="BW105" s="164">
        <f t="shared" si="22"/>
        <v>0</v>
      </c>
      <c r="BX105" s="164">
        <f t="shared" si="22"/>
        <v>0</v>
      </c>
      <c r="BY105" s="164">
        <f t="shared" si="22"/>
        <v>0</v>
      </c>
      <c r="BZ105" s="164">
        <f t="shared" si="22"/>
        <v>0</v>
      </c>
      <c r="CA105" s="164">
        <f t="shared" si="22"/>
        <v>0</v>
      </c>
      <c r="CB105" s="164">
        <f t="shared" si="22"/>
        <v>0</v>
      </c>
      <c r="CC105" s="164">
        <f t="shared" si="22"/>
        <v>0</v>
      </c>
      <c r="CD105" s="164">
        <f t="shared" si="22"/>
        <v>0</v>
      </c>
      <c r="CE105" s="164">
        <f t="shared" si="22"/>
        <v>0</v>
      </c>
      <c r="CF105" s="164">
        <f t="shared" si="22"/>
        <v>0</v>
      </c>
      <c r="CG105" s="164">
        <f t="shared" si="22"/>
        <v>0</v>
      </c>
      <c r="CH105" s="164">
        <f>MAX(0,CH104)*$B$95</f>
        <v>0</v>
      </c>
    </row>
    <row r="106" spans="1:86" ht="15" customHeight="1" x14ac:dyDescent="0.25">
      <c r="A106" s="161" t="s">
        <v>628</v>
      </c>
      <c r="B106" s="162">
        <f t="shared" ref="B106:AG106" si="23">B104-B105</f>
        <v>3538767.4570000004</v>
      </c>
      <c r="C106" s="164">
        <f t="shared" si="23"/>
        <v>0</v>
      </c>
      <c r="D106" s="164">
        <f t="shared" si="23"/>
        <v>0</v>
      </c>
      <c r="E106" s="164">
        <f t="shared" si="23"/>
        <v>0</v>
      </c>
      <c r="F106" s="164">
        <f t="shared" si="23"/>
        <v>0</v>
      </c>
      <c r="G106" s="164">
        <f t="shared" si="23"/>
        <v>0</v>
      </c>
      <c r="H106" s="164">
        <f t="shared" si="23"/>
        <v>0</v>
      </c>
      <c r="I106" s="164">
        <f t="shared" si="23"/>
        <v>0</v>
      </c>
      <c r="J106" s="164">
        <f t="shared" si="23"/>
        <v>0</v>
      </c>
      <c r="K106" s="164">
        <f t="shared" si="23"/>
        <v>0</v>
      </c>
      <c r="L106" s="164">
        <f t="shared" si="23"/>
        <v>18627.1944</v>
      </c>
      <c r="M106" s="164">
        <f t="shared" si="23"/>
        <v>12376.9944</v>
      </c>
      <c r="N106" s="164">
        <f t="shared" si="23"/>
        <v>12376.9944</v>
      </c>
      <c r="O106" s="164">
        <f t="shared" si="23"/>
        <v>12376.9944</v>
      </c>
      <c r="P106" s="164">
        <f t="shared" si="23"/>
        <v>7876.9943999999996</v>
      </c>
      <c r="Q106" s="164">
        <f t="shared" si="23"/>
        <v>7876.9943999999996</v>
      </c>
      <c r="R106" s="164">
        <f t="shared" si="23"/>
        <v>21859.840799999998</v>
      </c>
      <c r="S106" s="164">
        <f t="shared" si="23"/>
        <v>35842.687199999993</v>
      </c>
      <c r="T106" s="164">
        <f t="shared" si="23"/>
        <v>49825.533599999995</v>
      </c>
      <c r="U106" s="164">
        <f t="shared" si="23"/>
        <v>59725.793999999994</v>
      </c>
      <c r="V106" s="164">
        <f t="shared" si="23"/>
        <v>75262.296000000002</v>
      </c>
      <c r="W106" s="164">
        <f t="shared" si="23"/>
        <v>90798.785999999993</v>
      </c>
      <c r="X106" s="164">
        <f t="shared" si="23"/>
        <v>106335.276</v>
      </c>
      <c r="Y106" s="164">
        <f t="shared" si="23"/>
        <v>121871.772</v>
      </c>
      <c r="Z106" s="164">
        <f t="shared" si="23"/>
        <v>137408.27399999998</v>
      </c>
      <c r="AA106" s="164">
        <f t="shared" si="23"/>
        <v>140199.367</v>
      </c>
      <c r="AB106" s="164">
        <f t="shared" si="23"/>
        <v>154441.1605</v>
      </c>
      <c r="AC106" s="164">
        <f t="shared" si="23"/>
        <v>187731.2855</v>
      </c>
      <c r="AD106" s="164">
        <f t="shared" si="23"/>
        <v>138606.05550000002</v>
      </c>
      <c r="AE106" s="164">
        <f t="shared" si="23"/>
        <v>139036.22149999999</v>
      </c>
      <c r="AF106" s="164">
        <f t="shared" si="23"/>
        <v>139466.37649999998</v>
      </c>
      <c r="AG106" s="164">
        <f t="shared" si="23"/>
        <v>139896.53700000001</v>
      </c>
      <c r="AH106" s="164">
        <f t="shared" ref="AH106:BM106" si="24">AH104-AH105</f>
        <v>140326.69199999998</v>
      </c>
      <c r="AI106" s="164">
        <f t="shared" si="24"/>
        <v>154998.64050000001</v>
      </c>
      <c r="AJ106" s="164">
        <f t="shared" si="24"/>
        <v>141187.01850000001</v>
      </c>
      <c r="AK106" s="164">
        <f t="shared" si="24"/>
        <v>127375.39099999999</v>
      </c>
      <c r="AL106" s="164">
        <f t="shared" si="24"/>
        <v>113563.7635</v>
      </c>
      <c r="AM106" s="164">
        <f t="shared" si="24"/>
        <v>99752.130499999999</v>
      </c>
      <c r="AN106" s="164">
        <f t="shared" si="24"/>
        <v>78127.735000000001</v>
      </c>
      <c r="AO106" s="164">
        <f t="shared" si="24"/>
        <v>65571.710000000006</v>
      </c>
      <c r="AP106" s="164">
        <f t="shared" si="24"/>
        <v>53015.679999999993</v>
      </c>
      <c r="AQ106" s="164">
        <f t="shared" si="24"/>
        <v>40459.660000000003</v>
      </c>
      <c r="AR106" s="164">
        <f t="shared" si="24"/>
        <v>28388.2215</v>
      </c>
      <c r="AS106" s="164">
        <f t="shared" si="24"/>
        <v>68297.05</v>
      </c>
      <c r="AT106" s="164">
        <f t="shared" si="24"/>
        <v>55349.975000000006</v>
      </c>
      <c r="AU106" s="164">
        <f t="shared" si="24"/>
        <v>30137.137500000001</v>
      </c>
      <c r="AV106" s="164">
        <f t="shared" si="24"/>
        <v>29785.187999999998</v>
      </c>
      <c r="AW106" s="164">
        <f t="shared" si="24"/>
        <v>29433.234</v>
      </c>
      <c r="AX106" s="164">
        <f t="shared" si="24"/>
        <v>29081.288999999997</v>
      </c>
      <c r="AY106" s="164">
        <f t="shared" si="24"/>
        <v>28729.339499999998</v>
      </c>
      <c r="AZ106" s="164">
        <f t="shared" si="24"/>
        <v>28377.39</v>
      </c>
      <c r="BA106" s="164">
        <f t="shared" si="24"/>
        <v>28025.440499999997</v>
      </c>
      <c r="BB106" s="164">
        <f t="shared" si="24"/>
        <v>27673.490999999998</v>
      </c>
      <c r="BC106" s="164">
        <f t="shared" si="24"/>
        <v>27321.541499999999</v>
      </c>
      <c r="BD106" s="164">
        <f t="shared" si="24"/>
        <v>26969.591999999997</v>
      </c>
      <c r="BE106" s="164">
        <f t="shared" si="24"/>
        <v>26617.642499999998</v>
      </c>
      <c r="BF106" s="164">
        <f t="shared" si="24"/>
        <v>26265.692999999996</v>
      </c>
      <c r="BG106" s="164">
        <f t="shared" si="24"/>
        <v>25913.748</v>
      </c>
      <c r="BH106" s="164">
        <f t="shared" si="24"/>
        <v>49062.294000000002</v>
      </c>
      <c r="BI106" s="164">
        <f t="shared" si="24"/>
        <v>48710.344500000007</v>
      </c>
      <c r="BJ106" s="164">
        <f t="shared" si="24"/>
        <v>100430.995</v>
      </c>
      <c r="BK106" s="164">
        <f t="shared" si="24"/>
        <v>0</v>
      </c>
      <c r="BL106" s="164">
        <f t="shared" si="24"/>
        <v>0</v>
      </c>
      <c r="BM106" s="164">
        <f t="shared" si="24"/>
        <v>0</v>
      </c>
      <c r="BN106" s="164">
        <f t="shared" ref="BN106:CS106" si="25">BN104-BN105</f>
        <v>0</v>
      </c>
      <c r="BO106" s="164">
        <f t="shared" si="25"/>
        <v>0</v>
      </c>
      <c r="BP106" s="164">
        <f t="shared" si="25"/>
        <v>0</v>
      </c>
      <c r="BQ106" s="164">
        <f t="shared" si="25"/>
        <v>0</v>
      </c>
      <c r="BR106" s="164">
        <f t="shared" si="25"/>
        <v>0</v>
      </c>
      <c r="BS106" s="164">
        <f t="shared" si="25"/>
        <v>0</v>
      </c>
      <c r="BT106" s="164">
        <f t="shared" si="25"/>
        <v>0</v>
      </c>
      <c r="BU106" s="164">
        <f t="shared" si="25"/>
        <v>0</v>
      </c>
      <c r="BV106" s="164">
        <f t="shared" si="25"/>
        <v>0</v>
      </c>
      <c r="BW106" s="164">
        <f t="shared" si="25"/>
        <v>0</v>
      </c>
      <c r="BX106" s="164">
        <f t="shared" si="25"/>
        <v>0</v>
      </c>
      <c r="BY106" s="164">
        <f t="shared" si="25"/>
        <v>0</v>
      </c>
      <c r="BZ106" s="164">
        <f t="shared" si="25"/>
        <v>0</v>
      </c>
      <c r="CA106" s="164">
        <f t="shared" si="25"/>
        <v>0</v>
      </c>
      <c r="CB106" s="164">
        <f t="shared" si="25"/>
        <v>0</v>
      </c>
      <c r="CC106" s="164">
        <f t="shared" si="25"/>
        <v>0</v>
      </c>
      <c r="CD106" s="164">
        <f t="shared" si="25"/>
        <v>0</v>
      </c>
      <c r="CE106" s="164">
        <f t="shared" si="25"/>
        <v>0</v>
      </c>
      <c r="CF106" s="164">
        <f t="shared" si="25"/>
        <v>0</v>
      </c>
      <c r="CG106" s="164">
        <f t="shared" si="25"/>
        <v>0</v>
      </c>
      <c r="CH106" s="164">
        <f t="shared" si="25"/>
        <v>0</v>
      </c>
    </row>
    <row r="107" spans="1:86" ht="15" customHeight="1" x14ac:dyDescent="0.25">
      <c r="A107" s="161" t="s">
        <v>629</v>
      </c>
      <c r="B107" s="162">
        <f t="shared" ref="B107:AG107" si="26">B103+B106</f>
        <v>4101960.074</v>
      </c>
      <c r="C107" s="164">
        <f t="shared" si="26"/>
        <v>0</v>
      </c>
      <c r="D107" s="164">
        <f t="shared" si="26"/>
        <v>0</v>
      </c>
      <c r="E107" s="164">
        <f t="shared" si="26"/>
        <v>0</v>
      </c>
      <c r="F107" s="164">
        <f t="shared" si="26"/>
        <v>0</v>
      </c>
      <c r="G107" s="164">
        <f t="shared" si="26"/>
        <v>0</v>
      </c>
      <c r="H107" s="164">
        <f t="shared" si="26"/>
        <v>0</v>
      </c>
      <c r="I107" s="164">
        <f t="shared" si="26"/>
        <v>0</v>
      </c>
      <c r="J107" s="164">
        <f t="shared" si="26"/>
        <v>0</v>
      </c>
      <c r="K107" s="164">
        <f t="shared" si="26"/>
        <v>0</v>
      </c>
      <c r="L107" s="164">
        <f t="shared" si="26"/>
        <v>23132.2304</v>
      </c>
      <c r="M107" s="164">
        <f t="shared" si="26"/>
        <v>16882.0304</v>
      </c>
      <c r="N107" s="164">
        <f t="shared" si="26"/>
        <v>16882.0304</v>
      </c>
      <c r="O107" s="164">
        <f t="shared" si="26"/>
        <v>16882.0304</v>
      </c>
      <c r="P107" s="164">
        <f t="shared" si="26"/>
        <v>12382.0304</v>
      </c>
      <c r="Q107" s="164">
        <f t="shared" si="26"/>
        <v>12382.0304</v>
      </c>
      <c r="R107" s="164">
        <f t="shared" si="26"/>
        <v>28954.292799999999</v>
      </c>
      <c r="S107" s="164">
        <f t="shared" si="26"/>
        <v>45526.555199999995</v>
      </c>
      <c r="T107" s="164">
        <f t="shared" si="26"/>
        <v>62098.817599999995</v>
      </c>
      <c r="U107" s="164">
        <f t="shared" si="26"/>
        <v>72225.793999999994</v>
      </c>
      <c r="V107" s="164">
        <f t="shared" si="26"/>
        <v>87762.296000000002</v>
      </c>
      <c r="W107" s="164">
        <f t="shared" si="26"/>
        <v>103298.78599999999</v>
      </c>
      <c r="X107" s="164">
        <f t="shared" si="26"/>
        <v>118835.276</v>
      </c>
      <c r="Y107" s="164">
        <f t="shared" si="26"/>
        <v>134371.772</v>
      </c>
      <c r="Z107" s="164">
        <f t="shared" si="26"/>
        <v>149908.27399999998</v>
      </c>
      <c r="AA107" s="164">
        <f t="shared" si="26"/>
        <v>152699.367</v>
      </c>
      <c r="AB107" s="164">
        <f t="shared" si="26"/>
        <v>166941.1605</v>
      </c>
      <c r="AC107" s="164">
        <f t="shared" si="26"/>
        <v>200231.2855</v>
      </c>
      <c r="AD107" s="164">
        <f t="shared" si="26"/>
        <v>151106.05550000002</v>
      </c>
      <c r="AE107" s="164">
        <f t="shared" si="26"/>
        <v>151536.22149999999</v>
      </c>
      <c r="AF107" s="164">
        <f t="shared" si="26"/>
        <v>151966.37649999998</v>
      </c>
      <c r="AG107" s="164">
        <f t="shared" si="26"/>
        <v>152396.53700000001</v>
      </c>
      <c r="AH107" s="164">
        <f t="shared" ref="AH107:BM107" si="27">AH103+AH106</f>
        <v>152826.69199999998</v>
      </c>
      <c r="AI107" s="164">
        <f t="shared" si="27"/>
        <v>167498.64050000001</v>
      </c>
      <c r="AJ107" s="164">
        <f t="shared" si="27"/>
        <v>153687.01850000001</v>
      </c>
      <c r="AK107" s="164">
        <f t="shared" si="27"/>
        <v>139875.391</v>
      </c>
      <c r="AL107" s="164">
        <f t="shared" si="27"/>
        <v>126063.7635</v>
      </c>
      <c r="AM107" s="164">
        <f t="shared" si="27"/>
        <v>112252.1305</v>
      </c>
      <c r="AN107" s="164">
        <f t="shared" si="27"/>
        <v>90627.735000000001</v>
      </c>
      <c r="AO107" s="164">
        <f t="shared" si="27"/>
        <v>78071.710000000006</v>
      </c>
      <c r="AP107" s="164">
        <f t="shared" si="27"/>
        <v>65515.679999999993</v>
      </c>
      <c r="AQ107" s="164">
        <f t="shared" si="27"/>
        <v>52959.66</v>
      </c>
      <c r="AR107" s="164">
        <f t="shared" si="27"/>
        <v>39919.048500000004</v>
      </c>
      <c r="AS107" s="164">
        <f t="shared" si="27"/>
        <v>80797.05</v>
      </c>
      <c r="AT107" s="164">
        <f t="shared" si="27"/>
        <v>67849.975000000006</v>
      </c>
      <c r="AU107" s="164">
        <f t="shared" si="27"/>
        <v>42056.612500000003</v>
      </c>
      <c r="AV107" s="164">
        <f t="shared" si="27"/>
        <v>41626.451999999997</v>
      </c>
      <c r="AW107" s="164">
        <f t="shared" si="27"/>
        <v>41196.286</v>
      </c>
      <c r="AX107" s="164">
        <f t="shared" si="27"/>
        <v>40766.130999999994</v>
      </c>
      <c r="AY107" s="164">
        <f t="shared" si="27"/>
        <v>40335.970499999996</v>
      </c>
      <c r="AZ107" s="164">
        <f t="shared" si="27"/>
        <v>39905.81</v>
      </c>
      <c r="BA107" s="164">
        <f t="shared" si="27"/>
        <v>39475.6495</v>
      </c>
      <c r="BB107" s="164">
        <f t="shared" si="27"/>
        <v>39045.489000000001</v>
      </c>
      <c r="BC107" s="164">
        <f t="shared" si="27"/>
        <v>38615.328500000003</v>
      </c>
      <c r="BD107" s="164">
        <f t="shared" si="27"/>
        <v>38185.167999999998</v>
      </c>
      <c r="BE107" s="164">
        <f t="shared" si="27"/>
        <v>37755.0075</v>
      </c>
      <c r="BF107" s="164">
        <f t="shared" si="27"/>
        <v>37324.846999999994</v>
      </c>
      <c r="BG107" s="164">
        <f t="shared" si="27"/>
        <v>36894.692000000003</v>
      </c>
      <c r="BH107" s="164">
        <f t="shared" si="27"/>
        <v>59965.026000000005</v>
      </c>
      <c r="BI107" s="164">
        <f t="shared" si="27"/>
        <v>59534.865500000007</v>
      </c>
      <c r="BJ107" s="164">
        <f t="shared" si="27"/>
        <v>112930.995</v>
      </c>
      <c r="BK107" s="164">
        <f t="shared" si="27"/>
        <v>0</v>
      </c>
      <c r="BL107" s="164">
        <f t="shared" si="27"/>
        <v>0</v>
      </c>
      <c r="BM107" s="164">
        <f t="shared" si="27"/>
        <v>0</v>
      </c>
      <c r="BN107" s="164">
        <f t="shared" ref="BN107:CS107" si="28">BN103+BN106</f>
        <v>0</v>
      </c>
      <c r="BO107" s="164">
        <f t="shared" si="28"/>
        <v>0</v>
      </c>
      <c r="BP107" s="164">
        <f t="shared" si="28"/>
        <v>0</v>
      </c>
      <c r="BQ107" s="164">
        <f t="shared" si="28"/>
        <v>0</v>
      </c>
      <c r="BR107" s="164">
        <f t="shared" si="28"/>
        <v>0</v>
      </c>
      <c r="BS107" s="164">
        <f t="shared" si="28"/>
        <v>0</v>
      </c>
      <c r="BT107" s="164">
        <f t="shared" si="28"/>
        <v>0</v>
      </c>
      <c r="BU107" s="164">
        <f t="shared" si="28"/>
        <v>0</v>
      </c>
      <c r="BV107" s="164">
        <f t="shared" si="28"/>
        <v>0</v>
      </c>
      <c r="BW107" s="164">
        <f t="shared" si="28"/>
        <v>0</v>
      </c>
      <c r="BX107" s="164">
        <f t="shared" si="28"/>
        <v>0</v>
      </c>
      <c r="BY107" s="164">
        <f t="shared" si="28"/>
        <v>0</v>
      </c>
      <c r="BZ107" s="164">
        <f t="shared" si="28"/>
        <v>0</v>
      </c>
      <c r="CA107" s="164">
        <f t="shared" si="28"/>
        <v>0</v>
      </c>
      <c r="CB107" s="164">
        <f t="shared" si="28"/>
        <v>0</v>
      </c>
      <c r="CC107" s="164">
        <f t="shared" si="28"/>
        <v>0</v>
      </c>
      <c r="CD107" s="164">
        <f t="shared" si="28"/>
        <v>0</v>
      </c>
      <c r="CE107" s="164">
        <f t="shared" si="28"/>
        <v>0</v>
      </c>
      <c r="CF107" s="164">
        <f t="shared" si="28"/>
        <v>0</v>
      </c>
      <c r="CG107" s="164">
        <f t="shared" si="28"/>
        <v>0</v>
      </c>
      <c r="CH107" s="164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5" t="s">
        <v>737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6"/>
      <c r="AP2" s="166"/>
      <c r="AQ2" s="166"/>
      <c r="AR2" s="166"/>
      <c r="AS2" s="166"/>
      <c r="AT2" s="166"/>
      <c r="AU2" s="166"/>
      <c r="AV2" s="166"/>
      <c r="AW2" s="166"/>
      <c r="AX2" s="166"/>
      <c r="AY2" s="166"/>
      <c r="AZ2" s="166"/>
      <c r="BA2" s="166"/>
      <c r="BB2" s="166"/>
      <c r="BC2" s="166"/>
      <c r="BD2" s="166"/>
      <c r="BE2" s="166"/>
      <c r="BF2" s="166"/>
      <c r="BG2" s="166"/>
      <c r="BH2" s="166"/>
      <c r="BI2" s="166"/>
      <c r="BJ2" s="166"/>
      <c r="BK2" s="166"/>
      <c r="BL2" s="166"/>
      <c r="BM2" s="166"/>
      <c r="BN2" s="166"/>
      <c r="BO2" s="166"/>
      <c r="BP2" s="166"/>
      <c r="BQ2" s="166"/>
      <c r="BR2" s="166"/>
      <c r="BS2" s="166"/>
      <c r="BT2" s="166"/>
      <c r="BU2" s="166"/>
      <c r="BV2" s="166"/>
      <c r="BW2" s="166"/>
      <c r="BX2" s="166"/>
      <c r="BY2" s="166"/>
      <c r="BZ2" s="166"/>
      <c r="CA2" s="166"/>
      <c r="CB2" s="166"/>
      <c r="CC2" s="166"/>
      <c r="CD2" s="166"/>
      <c r="CE2" s="166"/>
      <c r="CF2" s="166"/>
      <c r="CG2" s="166"/>
      <c r="CH2" s="166"/>
    </row>
    <row r="3" spans="1:86" ht="15" customHeight="1" x14ac:dyDescent="0.25">
      <c r="A3" s="167"/>
      <c r="B3" s="168" t="s">
        <v>738</v>
      </c>
      <c r="C3" s="168" t="s">
        <v>739</v>
      </c>
      <c r="D3" s="168" t="s">
        <v>740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69" t="s">
        <v>115</v>
      </c>
      <c r="B5" s="170"/>
      <c r="C5" s="170"/>
      <c r="D5" s="170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71" t="s">
        <v>741</v>
      </c>
      <c r="B6" s="172">
        <f>SUM(Model!C60:CH60)</f>
        <v>1063981</v>
      </c>
      <c r="C6" s="172">
        <f>Helpers!B47</f>
        <v>1912475</v>
      </c>
      <c r="D6" s="172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742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71" t="s">
        <v>743</v>
      </c>
      <c r="B8" s="172">
        <f>-Assumptions!$B$53*Assumptions!$B$48</f>
        <v>-150000</v>
      </c>
      <c r="C8" s="172">
        <v>0</v>
      </c>
      <c r="D8" s="172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594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41" t="s">
        <v>744</v>
      </c>
      <c r="B10" s="144">
        <f>SUM(B6:B9)</f>
        <v>484296.52</v>
      </c>
      <c r="C10" s="144">
        <f>SUM(C6:C9)</f>
        <v>1912475</v>
      </c>
      <c r="D10" s="144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73"/>
      <c r="B11" s="174"/>
      <c r="C11" s="174"/>
      <c r="D11" s="174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745</v>
      </c>
      <c r="B12" s="109"/>
      <c r="C12" s="175"/>
      <c r="D12" s="175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71" t="s">
        <v>741</v>
      </c>
      <c r="B13" s="172">
        <f>SUM(Model!C62:CH62)</f>
        <v>292621</v>
      </c>
      <c r="C13" s="172">
        <f>Helpers!B48</f>
        <v>2633580</v>
      </c>
      <c r="D13" s="172">
        <f>B13+C13</f>
        <v>2926201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6" t="s">
        <v>742</v>
      </c>
      <c r="B14" s="177">
        <f>-Projects!$B$14*Assumptions!$B$47</f>
        <v>-413546.32</v>
      </c>
      <c r="C14" s="177">
        <v>0</v>
      </c>
      <c r="D14" s="177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71" t="s">
        <v>743</v>
      </c>
      <c r="B15" s="172">
        <f>-Assumptions!$B$55*Assumptions!$B$48</f>
        <v>-150000</v>
      </c>
      <c r="C15" s="172">
        <v>0</v>
      </c>
      <c r="D15" s="172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6" t="s">
        <v>594</v>
      </c>
      <c r="B16" s="177">
        <f>-SUM(Model!C122:CH122)</f>
        <v>-603840.54700517165</v>
      </c>
      <c r="C16" s="177">
        <f>-Helpers!F93</f>
        <v>-240125.88120644525</v>
      </c>
      <c r="D16" s="177">
        <f>B16+C16</f>
        <v>-843966.42821161693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744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8"/>
      <c r="B18" s="179"/>
      <c r="C18" s="179"/>
      <c r="D18" s="179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80" t="s">
        <v>120</v>
      </c>
      <c r="B19" s="181"/>
      <c r="C19" s="181"/>
      <c r="D19" s="181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82" t="s">
        <v>741</v>
      </c>
      <c r="B20" s="183">
        <f>SUM(Model!C61:CH61)</f>
        <v>1681289</v>
      </c>
      <c r="C20" s="183">
        <f>Helpers!B49</f>
        <v>2278136</v>
      </c>
      <c r="D20" s="183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4" t="s">
        <v>742</v>
      </c>
      <c r="B21" s="185">
        <f>-Projects!$B$13*Assumptions!$B$47</f>
        <v>-452667.7</v>
      </c>
      <c r="C21" s="185">
        <v>0</v>
      </c>
      <c r="D21" s="185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82" t="s">
        <v>743</v>
      </c>
      <c r="B22" s="183">
        <f>-Assumptions!$B$54*Assumptions!$B$48</f>
        <v>-150000</v>
      </c>
      <c r="C22" s="183">
        <v>0</v>
      </c>
      <c r="D22" s="183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594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6" t="s">
        <v>744</v>
      </c>
      <c r="B24" s="148">
        <f>SUM(B20:B23)</f>
        <v>340608.02660647908</v>
      </c>
      <c r="C24" s="148">
        <f>SUM(C20:C23)</f>
        <v>2278136</v>
      </c>
      <c r="D24" s="148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5"/>
      <c r="B25" s="186"/>
      <c r="C25" s="186"/>
      <c r="D25" s="186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7" t="s">
        <v>746</v>
      </c>
      <c r="B26" s="188"/>
      <c r="C26" s="188"/>
      <c r="D26" s="18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89" t="s">
        <v>747</v>
      </c>
      <c r="B27" s="190">
        <f t="shared" ref="B27:D31" si="0">B6+B13+B20</f>
        <v>3037891</v>
      </c>
      <c r="C27" s="190">
        <f t="shared" si="0"/>
        <v>6824191</v>
      </c>
      <c r="D27" s="190">
        <f t="shared" si="0"/>
        <v>9862082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748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91" t="s">
        <v>749</v>
      </c>
      <c r="B29" s="192">
        <f t="shared" si="0"/>
        <v>-450000</v>
      </c>
      <c r="C29" s="192">
        <f t="shared" si="0"/>
        <v>0</v>
      </c>
      <c r="D29" s="192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93" t="s">
        <v>750</v>
      </c>
      <c r="B30" s="194">
        <f t="shared" si="0"/>
        <v>-1341853.8203986925</v>
      </c>
      <c r="C30" s="194">
        <f t="shared" si="0"/>
        <v>-240125.88120644525</v>
      </c>
      <c r="D30" s="194">
        <f t="shared" si="0"/>
        <v>-1581979.7016051379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751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5"/>
      <c r="B32" s="196"/>
      <c r="C32" s="196"/>
      <c r="D32" s="196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5"/>
      <c r="B33" s="186"/>
      <c r="C33" s="186"/>
      <c r="D33" s="186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5"/>
      <c r="B34" s="196"/>
      <c r="C34" s="196"/>
      <c r="D34" s="196"/>
    </row>
    <row r="35" spans="1:86" ht="15" customHeight="1" x14ac:dyDescent="0.25">
      <c r="A35" s="173"/>
      <c r="B35" s="174"/>
      <c r="C35" s="174"/>
      <c r="D35" s="174"/>
    </row>
    <row r="37" spans="1:86" ht="15" customHeight="1" x14ac:dyDescent="0.25">
      <c r="A37" s="197"/>
    </row>
    <row r="38" spans="1:86" ht="15" customHeight="1" x14ac:dyDescent="0.25">
      <c r="A38" s="198"/>
    </row>
    <row r="39" spans="1:86" ht="15" customHeight="1" x14ac:dyDescent="0.25">
      <c r="A39" s="198"/>
    </row>
    <row r="40" spans="1:86" ht="15" customHeight="1" x14ac:dyDescent="0.25">
      <c r="A40" s="198" t="s">
        <v>752</v>
      </c>
    </row>
    <row r="41" spans="1:86" ht="15" customHeight="1" x14ac:dyDescent="0.25">
      <c r="A41" s="198" t="s">
        <v>753</v>
      </c>
    </row>
    <row r="42" spans="1:86" ht="15" customHeight="1" x14ac:dyDescent="0.25">
      <c r="A42" s="198" t="s">
        <v>754</v>
      </c>
    </row>
    <row r="43" spans="1:86" ht="15" customHeight="1" x14ac:dyDescent="0.25">
      <c r="A43" s="198" t="s">
        <v>755</v>
      </c>
    </row>
    <row r="44" spans="1:86" ht="15" customHeight="1" x14ac:dyDescent="0.25">
      <c r="A44" s="198" t="s">
        <v>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2026-04-24T16:43:18Z</dcterms:modified>
  <dc:language>en-US</dc:language>
</cp:coreProperties>
</file>