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<sst xmlns="http://schemas.openxmlformats.org/spreadsheetml/2006/main" count="1212" uniqueCount="706">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</sst>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P13" activeCellId="0" sqref="P13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4182362.79630682</v>
      </c>
      <c r="D5" s="10" t="n">
        <f aca="false">Model!X8+Model!Y8+Model!Z8+Model!AA8+Model!AB8+Model!AC8+Model!AD8+Model!AE8+Model!AF8+Model!AG8+Model!AH8+Model!AI8</f>
        <v>3248268.93924513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4747948.37643628</v>
      </c>
      <c r="D6" s="10" t="n">
        <f aca="false">Model!X9+Model!Y9+Model!Z9+Model!AA9+Model!AB9+Model!AC9+Model!AD9+Model!AE9+Model!AF9+Model!AG9+Model!AH9+Model!AI9</f>
        <v>2682868.82162115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1293610.34772727</v>
      </c>
      <c r="D7" s="10" t="n">
        <f aca="false">Model!X10+Model!Y10+Model!Z10+Model!AA10+Model!AB10+Model!AC10+Model!AD10+Model!AE10+Model!AF10+Model!AG10+Model!AH10+Model!AI10</f>
        <v>1082756.31308171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10902923.0704704</v>
      </c>
      <c r="D9" s="12" t="n">
        <f aca="false">Model!X12+Model!Y12+Model!Z12+Model!AA12+Model!AB12+Model!AC12+Model!AD12+Model!AE12+Model!AF12+Model!AG12+Model!AH12+Model!AI12</f>
        <v>7634213.55394799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-6435753.9657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4467169.10477037</v>
      </c>
      <c r="D16" s="16" t="n">
        <f aca="false">Model!X41+Model!Y41+Model!Z41+Model!AA41+Model!AB41+Model!AC41+Model!AD41+Model!AE41+Model!AF41+Model!AG41+Model!AH41+Model!AI41</f>
        <v>1293050.23443398</v>
      </c>
      <c r="E16" s="16" t="n">
        <f aca="false">Model!AJ41+Model!AK41+Model!AL41+Model!AM41+Model!AN41+Model!AO41+Model!AP41+Model!AQ41+Model!AR41+Model!AS41+Model!AT41+Model!AU41</f>
        <v>-1205331.34801689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0.409722152114355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0.169375696042101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-0.315118371853906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599023.02</v>
      </c>
      <c r="D19" s="19" t="n">
        <f aca="false">Model!X64+Model!Y64+Model!Z64+Model!AA64+Model!AB64+Model!AC64+Model!AD64+Model!AE64+Model!AF64+Model!AG64+Model!AH64+Model!AI64</f>
        <v>258671.05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-868658.605</v>
      </c>
      <c r="D21" s="16" t="n">
        <f aca="false">Model!X87+Model!Y87+Model!Z87+Model!AA87+Model!AB87+Model!AC87+Model!AD87+Model!AE87+Model!AF87+Model!AG87+Model!AH87+Model!AI87</f>
        <v>-1238364.2075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3598510.49977037</v>
      </c>
      <c r="D23" s="16" t="n">
        <f aca="false">Model!X96+Model!Y96+Model!Z96+Model!AA96+Model!AB96+Model!AC96+Model!AD96+Model!AE96+Model!AF96+Model!AG96+Model!AH96+Model!AI96</f>
        <v>54686.0269339844</v>
      </c>
      <c r="E23" s="16" t="n">
        <f aca="false">Model!AJ96+Model!AK96+Model!AL96+Model!AM96+Model!AN96+Model!AO96+Model!AP96+Model!AQ96+Model!AR96+Model!AS96+Model!AT96+Model!AU96</f>
        <v>-2732307.31066689</v>
      </c>
      <c r="F23" s="16" t="n">
        <f aca="false">Model!AV96+Model!AW96+Model!AX96+Model!AY96+Model!AZ96+Model!BA96+Model!BB96+Model!BC96+Model!BD96+Model!BE96+Model!BF96+Model!BG96</f>
        <v>-4837922.87717939</v>
      </c>
      <c r="G23" s="16" t="n">
        <f aca="false">Model!BH96+Model!BI96+Model!BJ96+Model!BK96+Model!BL96+Model!BM96+Model!BN96+Model!BO96+Model!BP96+Model!BQ96+Model!BR96+Model!BS96</f>
        <v>-6568148.37472755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500000</v>
      </c>
      <c r="F36" s="10" t="n">
        <f aca="false">Model!BG108</f>
        <v>500000</v>
      </c>
      <c r="G36" s="10" t="n">
        <f aca="false">Model!BS108</f>
        <v>500000</v>
      </c>
      <c r="H36" s="10" t="n">
        <f aca="false">Model!CE108</f>
        <v>500000</v>
      </c>
      <c r="I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8753769.89296964</v>
      </c>
      <c r="D42" s="21" t="n">
        <f aca="false">Model!AI148</f>
        <v>10046820.1274036</v>
      </c>
      <c r="E42" s="21" t="n">
        <f aca="false">Model!AU148</f>
        <v>8841488.77938674</v>
      </c>
      <c r="F42" s="21" t="n">
        <f aca="false">Model!BG148</f>
        <v>5561081.38411035</v>
      </c>
      <c r="G42" s="21" t="n">
        <f aca="false">Model!BS148</f>
        <v>462323.280923851</v>
      </c>
      <c r="H42" s="21" t="n">
        <f aca="false">Model!CE148</f>
        <v>-4671672.14432637</v>
      </c>
      <c r="I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-3026009.73828545</v>
      </c>
      <c r="D43" s="21" t="n">
        <f aca="false">Model!AI156</f>
        <v>-4514373.94578545</v>
      </c>
      <c r="E43" s="21" t="n">
        <f aca="false">Model!AU156</f>
        <v>-6041349.90843544</v>
      </c>
      <c r="F43" s="21" t="n">
        <f aca="false">Model!BG156</f>
        <v>-7598865.39033844</v>
      </c>
      <c r="G43" s="21" t="n">
        <f aca="false">Model!BS156</f>
        <v>-9068255.6618795</v>
      </c>
      <c r="H43" s="21" t="n">
        <f aca="false">Model!CE156</f>
        <v>-10400172.7692514</v>
      </c>
      <c r="I43" s="21" t="n">
        <f aca="false">Model!CH156</f>
        <v>-10711722.3239608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-1079553.14993111</v>
      </c>
      <c r="E44" s="21" t="n">
        <f aca="false">Model!AJ160+Model!AK160+Model!AL160+Model!AM160+Model!AN160+Model!AO160+Model!AP160+Model!AQ160+Model!AR160+Model!AS160+Model!AT160+Model!AU160</f>
        <v>-16405.8080801953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5727760.1546842</v>
      </c>
      <c r="D45" s="23" t="n">
        <f aca="false">Model!AI161</f>
        <v>5532446.18161818</v>
      </c>
      <c r="E45" s="23" t="n">
        <f aca="false">Model!AU161</f>
        <v>2800138.87095129</v>
      </c>
      <c r="F45" s="23" t="n">
        <f aca="false">Model!BG161</f>
        <v>-2037784.0062281</v>
      </c>
      <c r="G45" s="23" t="n">
        <f aca="false">Model!BS161</f>
        <v>-8605932.38095565</v>
      </c>
      <c r="H45" s="23" t="n">
        <f aca="false">Model!CE161</f>
        <v>-15071844.9135778</v>
      </c>
      <c r="I45" s="23" t="n">
        <f aca="false">Model!CH161</f>
        <v>-16669106.506158</v>
      </c>
    </row>
  </sheetData>
  <mergeCells count="1">
    <mergeCell ref="A1:E1"/>
  </mergeCells>
  <conditionalFormatting sqref="B8:I44">
    <cfRule type="cellIs" priority="2" operator="lessThan" aboveAverage="0" equalAverage="0" bottom="0" percent="0" rank="0" text="" dxfId="0">
      <formula>0</formula>
    </cfRule>
  </conditionalFormatting>
  <conditionalFormatting sqref="B3:J45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E150" activeCellId="0" sqref="E15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385759.788169643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288627.460044643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288627.460044643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300877.460044643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276377.460044643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276377.460044643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276377.460044643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299698.342349838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271429.636992695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448584.924211197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375401.89291125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371376.637898759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371943.193088732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344334.577209541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327865.447405071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308727.880466632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311271.087286644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275579.847148242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111444.288764881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92125.820014881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92125.820014881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92125.820014881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92125.820014881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92125.820014881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92125.820014881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99899.4474499459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90476.5456642316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945789.001145721</v>
      </c>
      <c r="S12" s="12" t="n">
        <f aca="false">S8+S9+S10+S11</f>
        <v>756155.172970774</v>
      </c>
      <c r="T12" s="12" t="n">
        <f aca="false">T8+T9+T10+T11</f>
        <v>752129.917958283</v>
      </c>
      <c r="U12" s="12" t="n">
        <f aca="false">U8+U9+U10+U11</f>
        <v>764946.473148256</v>
      </c>
      <c r="V12" s="12" t="n">
        <f aca="false">V8+V9+V10+V11</f>
        <v>712837.857269064</v>
      </c>
      <c r="W12" s="12" t="n">
        <f aca="false">W8+W9+W10+W11</f>
        <v>696368.727464595</v>
      </c>
      <c r="X12" s="12" t="n">
        <f aca="false">X8+X9+X10+X11</f>
        <v>677231.160526156</v>
      </c>
      <c r="Y12" s="12" t="n">
        <f aca="false">Y8+Y9+Y10+Y11</f>
        <v>710868.877086427</v>
      </c>
      <c r="Z12" s="12" t="n">
        <f aca="false">Z8+Z9+Z10+Z11</f>
        <v>637486.029805168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-414383.510633333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-414383.510633333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531405.490512387</v>
      </c>
      <c r="S41" s="16" t="n">
        <f aca="false">S12+S39</f>
        <v>341771.66233744</v>
      </c>
      <c r="T41" s="16" t="n">
        <f aca="false">T12+T39</f>
        <v>337746.407324949</v>
      </c>
      <c r="U41" s="16" t="n">
        <f aca="false">U12+U39</f>
        <v>350562.962514923</v>
      </c>
      <c r="V41" s="16" t="n">
        <f aca="false">V12+V39</f>
        <v>298454.346635731</v>
      </c>
      <c r="W41" s="16" t="n">
        <f aca="false">W12+W39</f>
        <v>281985.216831262</v>
      </c>
      <c r="X41" s="16" t="n">
        <f aca="false">X12+X39</f>
        <v>262847.649892823</v>
      </c>
      <c r="Y41" s="16" t="n">
        <f aca="false">Y12+Y39</f>
        <v>296485.366453094</v>
      </c>
      <c r="Z41" s="16" t="n">
        <f aca="false">Z12+Z39</f>
        <v>223102.519171835</v>
      </c>
      <c r="AA41" s="16" t="n">
        <f aca="false">AA12+AA39</f>
        <v>203888.216091625</v>
      </c>
      <c r="AB41" s="16" t="n">
        <f aca="false">AB12+AB39</f>
        <v>51843.1022396709</v>
      </c>
      <c r="AC41" s="16" t="n">
        <f aca="false">AC12+AC39</f>
        <v>-590267.535114306</v>
      </c>
      <c r="AD41" s="16" t="n">
        <f aca="false">AD12+AD39</f>
        <v>95626.9411002426</v>
      </c>
      <c r="AE41" s="16" t="n">
        <f aca="false">AE12+AE39</f>
        <v>97739.9924125794</v>
      </c>
      <c r="AF41" s="16" t="n">
        <f aca="false">AF12+AF39</f>
        <v>99036.9557434999</v>
      </c>
      <c r="AG41" s="16" t="n">
        <f aca="false">AG12+AG39</f>
        <v>220353.461373402</v>
      </c>
      <c r="AH41" s="16" t="n">
        <f aca="false">AH12+AH39</f>
        <v>44622.882841998</v>
      </c>
      <c r="AI41" s="16" t="n">
        <f aca="false">AI12+AI39</f>
        <v>287770.682227521</v>
      </c>
      <c r="AJ41" s="16" t="n">
        <f aca="false">AJ12+AJ39</f>
        <v>-46406.9749134338</v>
      </c>
      <c r="AK41" s="16" t="n">
        <f aca="false">AK12+AK39</f>
        <v>-48745.8420230612</v>
      </c>
      <c r="AL41" s="16" t="n">
        <f aca="false">AL12+AL39</f>
        <v>38324.5812601734</v>
      </c>
      <c r="AM41" s="16" t="n">
        <f aca="false">AM12+AM39</f>
        <v>-100768.641198597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0.561864739248022</v>
      </c>
      <c r="S42" s="32" t="n">
        <f aca="false">IF(S12&lt;&gt;0,S41/S12,0)</f>
        <v>0.451986145905333</v>
      </c>
      <c r="T42" s="32" t="n">
        <f aca="false">IF(T12&lt;&gt;0,T41/T12,0)</f>
        <v>0.449053280903636</v>
      </c>
      <c r="U42" s="32" t="n">
        <f aca="false">IF(U12&lt;&gt;0,U41/U12,0)</f>
        <v>0.458284304615624</v>
      </c>
      <c r="V42" s="32" t="n">
        <f aca="false">IF(V12&lt;&gt;0,V41/V12,0)</f>
        <v>0.418684759222991</v>
      </c>
      <c r="W42" s="32" t="n">
        <f aca="false">IF(W12&lt;&gt;0,W41/W12,0)</f>
        <v>0.404936645931732</v>
      </c>
      <c r="X42" s="32" t="n">
        <f aca="false">IF(X12&lt;&gt;0,X41/X12,0)</f>
        <v>0.388121021614851</v>
      </c>
      <c r="Y42" s="32" t="n">
        <f aca="false">IF(Y12&lt;&gt;0,Y41/Y12,0)</f>
        <v>0.417074619539219</v>
      </c>
      <c r="Z42" s="32" t="n">
        <f aca="false">IF(Z12&lt;&gt;0,Z41/Z12,0)</f>
        <v>0.349972405261996</v>
      </c>
      <c r="AA42" s="32" t="n">
        <f aca="false">IF(AA12&lt;&gt;0,AA41/AA12,0)</f>
        <v>0.328323514007742</v>
      </c>
      <c r="AB42" s="32" t="n">
        <f aca="false">IF(AB12&lt;&gt;0,AB41/AB12,0)</f>
        <v>0.110550790261947</v>
      </c>
      <c r="AC42" s="32" t="n">
        <f aca="false">IF(AC12&lt;&gt;0,AC41/AC12,0)</f>
        <v>-0.504128293560111</v>
      </c>
      <c r="AD42" s="32" t="n">
        <f aca="false">IF(AD12&lt;&gt;0,AD41/AD12,0)</f>
        <v>0.186503039807368</v>
      </c>
      <c r="AE42" s="32" t="n">
        <f aca="false">IF(AE12&lt;&gt;0,AE41/AE12,0)</f>
        <v>0.18984180229297</v>
      </c>
      <c r="AF42" s="32" t="n">
        <f aca="false">IF(AF12&lt;&gt;0,AF41/AF12,0)</f>
        <v>0.191877552161399</v>
      </c>
      <c r="AG42" s="32" t="n">
        <f aca="false">IF(AG12&lt;&gt;0,AG41/AG12,0)</f>
        <v>0.345672466642149</v>
      </c>
      <c r="AH42" s="32" t="n">
        <f aca="false">IF(AH12&lt;&gt;0,AH41/AH12,0)</f>
        <v>0.0966422666770954</v>
      </c>
      <c r="AI42" s="32" t="n">
        <f aca="false">IF(AI12&lt;&gt;0,AI41/AI12,0)</f>
        <v>0.408254637041308</v>
      </c>
      <c r="AJ42" s="32" t="n">
        <f aca="false">IF(AJ12&lt;&gt;0,AJ41/AJ12,0)</f>
        <v>-0.12518649716229</v>
      </c>
      <c r="AK42" s="32" t="n">
        <f aca="false">IF(AK12&lt;&gt;0,AK41/AK12,0)</f>
        <v>-0.132330688089291</v>
      </c>
      <c r="AL42" s="32" t="n">
        <f aca="false">IF(AL12&lt;&gt;0,AL41/AL12,0)</f>
        <v>0.084149532274858</v>
      </c>
      <c r="AM42" s="32" t="n">
        <f aca="false">IF(AM12&lt;&gt;0,AM41/AM12,0)</f>
        <v>-0.315768630557137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73156</v>
      </c>
      <c r="BZ62" s="10" t="n">
        <v>0</v>
      </c>
      <c r="CA62" s="10" t="n">
        <v>0</v>
      </c>
      <c r="CB62" s="10" t="n">
        <f aca="false">IF(Projects!$G$14="Yes",73155,0)</f>
        <v>73155</v>
      </c>
      <c r="CC62" s="10" t="n">
        <v>0</v>
      </c>
      <c r="CD62" s="10" t="n">
        <v>0</v>
      </c>
      <c r="CE62" s="10" t="n">
        <f aca="false">IF(Projects!$G$14="Yes",73155,0)</f>
        <v>73155</v>
      </c>
      <c r="CF62" s="10" t="n">
        <v>0</v>
      </c>
      <c r="CG62" s="10" t="n">
        <v>0</v>
      </c>
      <c r="CH62" s="10" t="n">
        <f aca="false">IF(Projects!$G$14="Yes",73155,0)</f>
        <v>73155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57090.46</v>
      </c>
      <c r="M64" s="34" t="n">
        <f aca="false">SUM(M47:M63)</f>
        <v>57090.46</v>
      </c>
      <c r="N64" s="34" t="n">
        <f aca="false">SUM(N47:N63)</f>
        <v>57090.46</v>
      </c>
      <c r="O64" s="34" t="n">
        <f aca="false">SUM(O47:O63)</f>
        <v>57090.46</v>
      </c>
      <c r="P64" s="34" t="n">
        <f aca="false">SUM(P47:P63)</f>
        <v>57090.46</v>
      </c>
      <c r="Q64" s="34" t="n">
        <f aca="false">SUM(Q47:Q63)</f>
        <v>57090.46</v>
      </c>
      <c r="R64" s="34" t="n">
        <f aca="false">SUM(R47:R63)</f>
        <v>33184.21</v>
      </c>
      <c r="S64" s="34" t="n">
        <f aca="false">SUM(S47:S63)</f>
        <v>33184.21</v>
      </c>
      <c r="T64" s="34" t="n">
        <f aca="false">SUM(T47:T63)</f>
        <v>33184.21</v>
      </c>
      <c r="U64" s="34" t="n">
        <f aca="false">SUM(U47:U63)</f>
        <v>33184.21</v>
      </c>
      <c r="V64" s="34" t="n">
        <f aca="false">SUM(V47:V63)</f>
        <v>33184.21</v>
      </c>
      <c r="W64" s="34" t="n">
        <f aca="false">SUM(W47:W63)</f>
        <v>90559.21</v>
      </c>
      <c r="X64" s="34" t="n">
        <f aca="false">SUM(X47:X63)</f>
        <v>33184.21</v>
      </c>
      <c r="Y64" s="34" t="n">
        <f aca="false">SUM(Y47:Y63)</f>
        <v>33184.21</v>
      </c>
      <c r="Z64" s="34" t="n">
        <f aca="false">SUM(Z47:Z63)</f>
        <v>77927.63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-59724.1233333333</v>
      </c>
      <c r="M87" s="16" t="n">
        <f aca="false">M64+M85</f>
        <v>-59724.1233333333</v>
      </c>
      <c r="N87" s="16" t="n">
        <f aca="false">N64+N85</f>
        <v>-59724.1233333333</v>
      </c>
      <c r="O87" s="16" t="n">
        <f aca="false">O64+O85</f>
        <v>-62060.415</v>
      </c>
      <c r="P87" s="16" t="n">
        <f aca="false">P64+P85</f>
        <v>-62060.415</v>
      </c>
      <c r="Q87" s="16" t="n">
        <f aca="false">Q64+Q85</f>
        <v>-62060.415</v>
      </c>
      <c r="R87" s="16" t="n">
        <f aca="false">R64+R85</f>
        <v>-109426.665</v>
      </c>
      <c r="S87" s="16" t="n">
        <f aca="false">S64+S85</f>
        <v>-85966.665</v>
      </c>
      <c r="T87" s="16" t="n">
        <f aca="false">T64+T85</f>
        <v>-85966.665</v>
      </c>
      <c r="U87" s="16" t="n">
        <f aca="false">U64+U85</f>
        <v>-85966.665</v>
      </c>
      <c r="V87" s="16" t="n">
        <f aca="false">V64+V85</f>
        <v>-85966.665</v>
      </c>
      <c r="W87" s="16" t="n">
        <f aca="false">W64+W85</f>
        <v>-50011.665</v>
      </c>
      <c r="X87" s="16" t="n">
        <f aca="false">X64+X85</f>
        <v>-85966.665</v>
      </c>
      <c r="Y87" s="16" t="n">
        <f aca="false">Y64+Y85</f>
        <v>-85966.665</v>
      </c>
      <c r="Z87" s="16" t="n">
        <f aca="false">Z64+Z85</f>
        <v>-41223.245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945789.001145721</v>
      </c>
      <c r="S90" s="10" t="n">
        <f aca="false">S12</f>
        <v>756155.172970774</v>
      </c>
      <c r="T90" s="10" t="n">
        <f aca="false">T12</f>
        <v>752129.917958283</v>
      </c>
      <c r="U90" s="10" t="n">
        <f aca="false">U12</f>
        <v>764946.473148256</v>
      </c>
      <c r="V90" s="10" t="n">
        <f aca="false">V12</f>
        <v>712837.857269064</v>
      </c>
      <c r="W90" s="10" t="n">
        <f aca="false">W12</f>
        <v>696368.727464595</v>
      </c>
      <c r="X90" s="10" t="n">
        <f aca="false">X12</f>
        <v>677231.160526156</v>
      </c>
      <c r="Y90" s="10" t="n">
        <f aca="false">Y12</f>
        <v>710868.877086427</v>
      </c>
      <c r="Z90" s="10" t="n">
        <f aca="false">Z12</f>
        <v>637486.029805168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57090.46</v>
      </c>
      <c r="M91" s="10" t="n">
        <f aca="false">M64</f>
        <v>57090.46</v>
      </c>
      <c r="N91" s="10" t="n">
        <f aca="false">N64</f>
        <v>57090.46</v>
      </c>
      <c r="O91" s="10" t="n">
        <f aca="false">O64</f>
        <v>57090.46</v>
      </c>
      <c r="P91" s="10" t="n">
        <f aca="false">P64</f>
        <v>57090.46</v>
      </c>
      <c r="Q91" s="10" t="n">
        <f aca="false">Q64</f>
        <v>57090.46</v>
      </c>
      <c r="R91" s="10" t="n">
        <f aca="false">R64</f>
        <v>33184.21</v>
      </c>
      <c r="S91" s="10" t="n">
        <f aca="false">S64</f>
        <v>33184.21</v>
      </c>
      <c r="T91" s="10" t="n">
        <f aca="false">T64</f>
        <v>33184.21</v>
      </c>
      <c r="U91" s="10" t="n">
        <f aca="false">U64</f>
        <v>33184.21</v>
      </c>
      <c r="V91" s="10" t="n">
        <f aca="false">V64</f>
        <v>33184.21</v>
      </c>
      <c r="W91" s="10" t="n">
        <f aca="false">W64</f>
        <v>90559.21</v>
      </c>
      <c r="X91" s="10" t="n">
        <f aca="false">X64</f>
        <v>33184.21</v>
      </c>
      <c r="Y91" s="10" t="n">
        <f aca="false">Y64</f>
        <v>33184.21</v>
      </c>
      <c r="Z91" s="10" t="n">
        <f aca="false">Z64</f>
        <v>77927.63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885205.54736628</v>
      </c>
      <c r="M92" s="12" t="n">
        <f aca="false">M90+M91</f>
        <v>896305.479324431</v>
      </c>
      <c r="N92" s="12" t="n">
        <f aca="false">N90+N91</f>
        <v>903793.445740912</v>
      </c>
      <c r="O92" s="12" t="n">
        <f aca="false">O90+O91</f>
        <v>1713032.94531516</v>
      </c>
      <c r="P92" s="12" t="n">
        <f aca="false">P90+P91</f>
        <v>1038102.61467977</v>
      </c>
      <c r="Q92" s="12" t="n">
        <f aca="false">Q90+Q91</f>
        <v>1180798.64808712</v>
      </c>
      <c r="R92" s="12" t="n">
        <f aca="false">R90+R91</f>
        <v>978973.211145721</v>
      </c>
      <c r="S92" s="12" t="n">
        <f aca="false">S90+S91</f>
        <v>789339.382970774</v>
      </c>
      <c r="T92" s="12" t="n">
        <f aca="false">T90+T91</f>
        <v>785314.127958283</v>
      </c>
      <c r="U92" s="12" t="n">
        <f aca="false">U90+U91</f>
        <v>798130.683148256</v>
      </c>
      <c r="V92" s="12" t="n">
        <f aca="false">V90+V91</f>
        <v>746022.067269064</v>
      </c>
      <c r="W92" s="12" t="n">
        <f aca="false">W90+W91</f>
        <v>786927.937464595</v>
      </c>
      <c r="X92" s="12" t="n">
        <f aca="false">X90+X91</f>
        <v>710415.370526156</v>
      </c>
      <c r="Y92" s="12" t="n">
        <f aca="false">Y90+Y91</f>
        <v>744053.087086427</v>
      </c>
      <c r="Z92" s="12" t="n">
        <f aca="false">Z90+Z91</f>
        <v>715413.659805168</v>
      </c>
      <c r="AA92" s="12" t="n">
        <f aca="false">AA90+AA91</f>
        <v>630497.910270959</v>
      </c>
      <c r="AB92" s="12" t="n">
        <f aca="false">AB90+AB91</f>
        <v>478452.796419004</v>
      </c>
      <c r="AC92" s="12" t="n">
        <f aca="false">AC90+AC91</f>
        <v>1237742.69906503</v>
      </c>
      <c r="AD92" s="12" t="n">
        <f aca="false">AD90+AD91</f>
        <v>522236.635279576</v>
      </c>
      <c r="AE92" s="12" t="n">
        <f aca="false">AE90+AE91</f>
        <v>524349.686591913</v>
      </c>
      <c r="AF92" s="12" t="n">
        <f aca="false">AF90+AF91</f>
        <v>525646.649922833</v>
      </c>
      <c r="AG92" s="12" t="n">
        <f aca="false">AG90+AG91</f>
        <v>637463.155552735</v>
      </c>
      <c r="AH92" s="12" t="n">
        <f aca="false">AH90+AH91</f>
        <v>461732.577021331</v>
      </c>
      <c r="AI92" s="12" t="n">
        <f aca="false">AI90+AI91</f>
        <v>704880.376406854</v>
      </c>
      <c r="AJ92" s="12" t="n">
        <f aca="false">AJ90+AJ91</f>
        <v>370702.7192659</v>
      </c>
      <c r="AK92" s="12" t="n">
        <f aca="false">AK90+AK91</f>
        <v>368363.852156272</v>
      </c>
      <c r="AL92" s="12" t="n">
        <f aca="false">AL90+AL91</f>
        <v>455434.275439507</v>
      </c>
      <c r="AM92" s="12" t="n">
        <f aca="false">AM90+AM91</f>
        <v>319121.760197656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-414383.510633333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-414383.510633333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-556994.385633333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-533534.385633333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356680.18236628</v>
      </c>
      <c r="M96" s="16" t="n">
        <f aca="false">M92+M95</f>
        <v>367780.114324431</v>
      </c>
      <c r="N96" s="16" t="n">
        <f aca="false">N92+N95</f>
        <v>375268.080740912</v>
      </c>
      <c r="O96" s="16" t="n">
        <f aca="false">O92+O95</f>
        <v>-291671.465318175</v>
      </c>
      <c r="P96" s="16" t="n">
        <f aca="false">P92+P95</f>
        <v>504568.229046436</v>
      </c>
      <c r="Q96" s="16" t="n">
        <f aca="false">Q92+Q95</f>
        <v>647264.26245379</v>
      </c>
      <c r="R96" s="16" t="n">
        <f aca="false">R92+R95</f>
        <v>421978.825512387</v>
      </c>
      <c r="S96" s="16" t="n">
        <f aca="false">S92+S95</f>
        <v>255804.99733744</v>
      </c>
      <c r="T96" s="16" t="n">
        <f aca="false">T92+T95</f>
        <v>251779.742324949</v>
      </c>
      <c r="U96" s="16" t="n">
        <f aca="false">U92+U95</f>
        <v>264596.297514923</v>
      </c>
      <c r="V96" s="16" t="n">
        <f aca="false">V92+V95</f>
        <v>212487.681635731</v>
      </c>
      <c r="W96" s="16" t="n">
        <f aca="false">W92+W95</f>
        <v>231973.551831262</v>
      </c>
      <c r="X96" s="16" t="n">
        <f aca="false">X92+X95</f>
        <v>176880.984892823</v>
      </c>
      <c r="Y96" s="16" t="n">
        <f aca="false">Y92+Y95</f>
        <v>210518.701453094</v>
      </c>
      <c r="Z96" s="16" t="n">
        <f aca="false">Z92+Z95</f>
        <v>181879.274171835</v>
      </c>
      <c r="AA96" s="16" t="n">
        <f aca="false">AA92+AA95</f>
        <v>91854.3235916254</v>
      </c>
      <c r="AB96" s="16" t="n">
        <f aca="false">AB92+AB95</f>
        <v>-60190.7902603291</v>
      </c>
      <c r="AC96" s="16" t="n">
        <f aca="false">AC92+AC95</f>
        <v>-644926.427614306</v>
      </c>
      <c r="AD96" s="16" t="n">
        <f aca="false">AD92+AD95</f>
        <v>-40336.1513997575</v>
      </c>
      <c r="AE96" s="16" t="n">
        <f aca="false">AE92+AE95</f>
        <v>-14293.9000874206</v>
      </c>
      <c r="AF96" s="16" t="n">
        <f aca="false">AF92+AF95</f>
        <v>-12996.9367565</v>
      </c>
      <c r="AG96" s="16" t="n">
        <f aca="false">AG92+AG95</f>
        <v>98819.5688734016</v>
      </c>
      <c r="AH96" s="16" t="n">
        <f aca="false">AH92+AH95</f>
        <v>-76911.009658002</v>
      </c>
      <c r="AI96" s="16" t="n">
        <f aca="false">AI92+AI95</f>
        <v>144388.389727521</v>
      </c>
      <c r="AJ96" s="16" t="n">
        <f aca="false">AJ92+AJ95</f>
        <v>-167940.867413434</v>
      </c>
      <c r="AK96" s="16" t="n">
        <f aca="false">AK92+AK95</f>
        <v>-170279.734523061</v>
      </c>
      <c r="AL96" s="16" t="n">
        <f aca="false">AL92+AL95</f>
        <v>-83209.3112398266</v>
      </c>
      <c r="AM96" s="16" t="n">
        <f aca="false">AM92+AM95</f>
        <v>-224733.211548597</v>
      </c>
      <c r="AN96" s="16" t="n">
        <f aca="false">AN92+AN95</f>
        <v>-227327.188039357</v>
      </c>
      <c r="AO96" s="16" t="n">
        <f aca="false">AO92+AO95</f>
        <v>-230589.948254087</v>
      </c>
      <c r="AP96" s="16" t="n">
        <f aca="false">AP92+AP95</f>
        <v>-258901.092967513</v>
      </c>
      <c r="AQ96" s="16" t="n">
        <f aca="false">AQ92+AQ95</f>
        <v>-238999.236014949</v>
      </c>
      <c r="AR96" s="16" t="n">
        <f aca="false">AR92+AR95</f>
        <v>13136.3422024775</v>
      </c>
      <c r="AS96" s="16" t="n">
        <f aca="false">AS92+AS95</f>
        <v>-371737.317843944</v>
      </c>
      <c r="AT96" s="16" t="n">
        <f aca="false">AT92+AT95</f>
        <v>-373459.30860823</v>
      </c>
      <c r="AU96" s="16" t="n">
        <f aca="false">AU92+AU95</f>
        <v>-398266.436416373</v>
      </c>
      <c r="AV96" s="16" t="n">
        <f aca="false">AV92+AV95</f>
        <v>-379226.064345515</v>
      </c>
      <c r="AW96" s="16" t="n">
        <f aca="false">AW92+AW95</f>
        <v>-383104.370211301</v>
      </c>
      <c r="AX96" s="16" t="n">
        <f aca="false">AX92+AX95</f>
        <v>-387510.753244801</v>
      </c>
      <c r="AY96" s="16" t="n">
        <f aca="false">AY92+AY95</f>
        <v>-397642.200183845</v>
      </c>
      <c r="AZ96" s="16" t="n">
        <f aca="false">AZ92+AZ95</f>
        <v>-402750.77278456</v>
      </c>
      <c r="BA96" s="16" t="n">
        <f aca="false">BA92+BA95</f>
        <v>-408029.631138631</v>
      </c>
      <c r="BB96" s="16" t="n">
        <f aca="false">BB92+BB95</f>
        <v>-438259.915541774</v>
      </c>
      <c r="BC96" s="16" t="n">
        <f aca="false">BC92+BC95</f>
        <v>-418648.57418506</v>
      </c>
      <c r="BD96" s="16" t="n">
        <f aca="false">BD92+BD95</f>
        <v>-423787.759954917</v>
      </c>
      <c r="BE96" s="16" t="n">
        <f aca="false">BE92+BE95</f>
        <v>-428703.086925417</v>
      </c>
      <c r="BF96" s="16" t="n">
        <f aca="false">BF92+BF95</f>
        <v>-198358.08878906</v>
      </c>
      <c r="BG96" s="16" t="n">
        <f aca="false">BG92+BG95</f>
        <v>-571901.659874512</v>
      </c>
      <c r="BH96" s="16" t="n">
        <f aca="false">BH92+BH95</f>
        <v>-549170.584514512</v>
      </c>
      <c r="BI96" s="16" t="n">
        <f aca="false">BI92+BI95</f>
        <v>-549170.584514512</v>
      </c>
      <c r="BJ96" s="16" t="n">
        <f aca="false">BJ92+BJ95</f>
        <v>-549170.584514512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500000</v>
      </c>
      <c r="AM106" s="10" t="n">
        <f aca="false">AL108</f>
        <v>500000</v>
      </c>
      <c r="AN106" s="10" t="n">
        <f aca="false">AM108</f>
        <v>500000</v>
      </c>
      <c r="AO106" s="10" t="n">
        <f aca="false">AN108</f>
        <v>500000</v>
      </c>
      <c r="AP106" s="10" t="n">
        <f aca="false">AO108</f>
        <v>500000</v>
      </c>
      <c r="AQ106" s="10" t="n">
        <f aca="false">AP108</f>
        <v>500000</v>
      </c>
      <c r="AR106" s="10" t="n">
        <f aca="false">AQ108</f>
        <v>500000</v>
      </c>
      <c r="AS106" s="10" t="n">
        <f aca="false">AR108</f>
        <v>500000</v>
      </c>
      <c r="AT106" s="10" t="n">
        <f aca="false">AS108</f>
        <v>500000</v>
      </c>
      <c r="AU106" s="10" t="n">
        <f aca="false">AT108</f>
        <v>500000</v>
      </c>
      <c r="AV106" s="10" t="n">
        <f aca="false">AU108</f>
        <v>500000</v>
      </c>
      <c r="AW106" s="10" t="n">
        <f aca="false">AV108</f>
        <v>500000</v>
      </c>
      <c r="AX106" s="10" t="n">
        <f aca="false">AW108</f>
        <v>500000</v>
      </c>
      <c r="AY106" s="10" t="n">
        <f aca="false">AX108</f>
        <v>500000</v>
      </c>
      <c r="AZ106" s="10" t="n">
        <f aca="false">AY108</f>
        <v>500000</v>
      </c>
      <c r="BA106" s="10" t="n">
        <f aca="false">AZ108</f>
        <v>500000</v>
      </c>
      <c r="BB106" s="10" t="n">
        <f aca="false">BA108</f>
        <v>500000</v>
      </c>
      <c r="BC106" s="10" t="n">
        <f aca="false">BB108</f>
        <v>500000</v>
      </c>
      <c r="BD106" s="10" t="n">
        <f aca="false">BC108</f>
        <v>500000</v>
      </c>
      <c r="BE106" s="10" t="n">
        <f aca="false">BD108</f>
        <v>500000</v>
      </c>
      <c r="BF106" s="10" t="n">
        <f aca="false">BE108</f>
        <v>500000</v>
      </c>
      <c r="BG106" s="10" t="n">
        <f aca="false">BF108</f>
        <v>500000</v>
      </c>
      <c r="BH106" s="10" t="n">
        <f aca="false">BG108</f>
        <v>500000</v>
      </c>
      <c r="BI106" s="10" t="n">
        <f aca="false">BH108</f>
        <v>500000</v>
      </c>
      <c r="BJ106" s="10" t="n">
        <f aca="false">BI108</f>
        <v>500000</v>
      </c>
      <c r="BK106" s="10" t="n">
        <f aca="false">BJ108</f>
        <v>500000</v>
      </c>
      <c r="BL106" s="10" t="n">
        <f aca="false">BK108</f>
        <v>500000</v>
      </c>
      <c r="BM106" s="10" t="n">
        <f aca="false">BL108</f>
        <v>500000</v>
      </c>
      <c r="BN106" s="10" t="n">
        <f aca="false">BM108</f>
        <v>500000</v>
      </c>
      <c r="BO106" s="10" t="n">
        <f aca="false">BN108</f>
        <v>500000</v>
      </c>
      <c r="BP106" s="10" t="n">
        <f aca="false">BO108</f>
        <v>500000</v>
      </c>
      <c r="BQ106" s="10" t="n">
        <f aca="false">BP108</f>
        <v>500000</v>
      </c>
      <c r="BR106" s="10" t="n">
        <f aca="false">BQ108</f>
        <v>500000</v>
      </c>
      <c r="BS106" s="10" t="n">
        <f aca="false">BR108</f>
        <v>500000</v>
      </c>
      <c r="BT106" s="10" t="n">
        <f aca="false">BS108</f>
        <v>500000</v>
      </c>
      <c r="BU106" s="10" t="n">
        <f aca="false">BT108</f>
        <v>500000</v>
      </c>
      <c r="BV106" s="10" t="n">
        <f aca="false">BU108</f>
        <v>500000</v>
      </c>
      <c r="BW106" s="10" t="n">
        <f aca="false">BV108</f>
        <v>500000</v>
      </c>
      <c r="BX106" s="10" t="n">
        <f aca="false">BW108</f>
        <v>500000</v>
      </c>
      <c r="BY106" s="10" t="n">
        <f aca="false">BX108</f>
        <v>500000</v>
      </c>
      <c r="BZ106" s="10" t="n">
        <f aca="false">BY108</f>
        <v>500000</v>
      </c>
      <c r="CA106" s="10" t="n">
        <f aca="false">BZ108</f>
        <v>500000</v>
      </c>
      <c r="CB106" s="10" t="n">
        <f aca="false">CA108</f>
        <v>500000</v>
      </c>
      <c r="CC106" s="10" t="n">
        <f aca="false">CB108</f>
        <v>500000</v>
      </c>
      <c r="CD106" s="10" t="n">
        <f aca="false">CC108</f>
        <v>500000</v>
      </c>
      <c r="CE106" s="10" t="n">
        <f aca="false">CD108</f>
        <v>500000</v>
      </c>
      <c r="CF106" s="10" t="n">
        <f aca="false">CE108</f>
        <v>500000</v>
      </c>
      <c r="CG106" s="10" t="n">
        <f aca="false">CF108</f>
        <v>500000</v>
      </c>
      <c r="CH106" s="10" t="n">
        <f aca="false">CG108</f>
        <v>500000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s="36" customFormat="tru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500000</v>
      </c>
      <c r="AL108" s="34" t="n">
        <f aca="false">MAX(0,AL106+AL107)</f>
        <v>500000</v>
      </c>
      <c r="AM108" s="34" t="n">
        <f aca="false">MAX(0,AM106+AM107)</f>
        <v>500000</v>
      </c>
      <c r="AN108" s="34" t="n">
        <f aca="false">MAX(0,AN106+AN107)</f>
        <v>500000</v>
      </c>
      <c r="AO108" s="34" t="n">
        <f aca="false">MAX(0,AO106+AO107)</f>
        <v>500000</v>
      </c>
      <c r="AP108" s="34" t="n">
        <f aca="false">MAX(0,AP106+AP107)</f>
        <v>500000</v>
      </c>
      <c r="AQ108" s="34" t="n">
        <f aca="false">MAX(0,AQ106+AQ107)</f>
        <v>500000</v>
      </c>
      <c r="AR108" s="34" t="n">
        <f aca="false">MAX(0,AR106+AR107)</f>
        <v>500000</v>
      </c>
      <c r="AS108" s="34" t="n">
        <f aca="false">MAX(0,AS106+AS107)</f>
        <v>500000</v>
      </c>
      <c r="AT108" s="34" t="n">
        <f aca="false">MAX(0,AT106+AT107)</f>
        <v>500000</v>
      </c>
      <c r="AU108" s="34" t="n">
        <f aca="false">MAX(0,AU106+AU107)</f>
        <v>500000</v>
      </c>
      <c r="AV108" s="34" t="n">
        <f aca="false">MAX(0,AV106+AV107)</f>
        <v>500000</v>
      </c>
      <c r="AW108" s="34" t="n">
        <f aca="false">MAX(0,AW106+AW107)</f>
        <v>500000</v>
      </c>
      <c r="AX108" s="34" t="n">
        <f aca="false">MAX(0,AX106+AX107)</f>
        <v>500000</v>
      </c>
      <c r="AY108" s="34" t="n">
        <f aca="false">MAX(0,AY106+AY107)</f>
        <v>500000</v>
      </c>
      <c r="AZ108" s="34" t="n">
        <f aca="false">MAX(0,AZ106+AZ107)</f>
        <v>500000</v>
      </c>
      <c r="BA108" s="34" t="n">
        <f aca="false">MAX(0,BA106+BA107)</f>
        <v>500000</v>
      </c>
      <c r="BB108" s="34" t="n">
        <f aca="false">MAX(0,BB106+BB107)</f>
        <v>500000</v>
      </c>
      <c r="BC108" s="34" t="n">
        <f aca="false">MAX(0,BC106+BC107)</f>
        <v>500000</v>
      </c>
      <c r="BD108" s="34" t="n">
        <f aca="false">MAX(0,BD106+BD107)</f>
        <v>500000</v>
      </c>
      <c r="BE108" s="34" t="n">
        <f aca="false">MAX(0,BE106+BE107)</f>
        <v>500000</v>
      </c>
      <c r="BF108" s="34" t="n">
        <f aca="false">MAX(0,BF106+BF107)</f>
        <v>500000</v>
      </c>
      <c r="BG108" s="34" t="n">
        <f aca="false">MAX(0,BG106+BG107)</f>
        <v>500000</v>
      </c>
      <c r="BH108" s="34" t="n">
        <f aca="false">MAX(0,BH106+BH107)</f>
        <v>500000</v>
      </c>
      <c r="BI108" s="34" t="n">
        <f aca="false">MAX(0,BI106+BI107)</f>
        <v>500000</v>
      </c>
      <c r="BJ108" s="34" t="n">
        <f aca="false">MAX(0,BJ106+BJ107)</f>
        <v>500000</v>
      </c>
      <c r="BK108" s="34" t="n">
        <f aca="false">MAX(0,BK106+BK107)</f>
        <v>500000</v>
      </c>
      <c r="BL108" s="34" t="n">
        <f aca="false">MAX(0,BL106+BL107)</f>
        <v>500000</v>
      </c>
      <c r="BM108" s="34" t="n">
        <f aca="false">MAX(0,BM106+BM107)</f>
        <v>500000</v>
      </c>
      <c r="BN108" s="34" t="n">
        <f aca="false">MAX(0,BN106+BN107)</f>
        <v>500000</v>
      </c>
      <c r="BO108" s="34" t="n">
        <f aca="false">MAX(0,BO106+BO107)</f>
        <v>500000</v>
      </c>
      <c r="BP108" s="34" t="n">
        <f aca="false">MAX(0,BP106+BP107)</f>
        <v>500000</v>
      </c>
      <c r="BQ108" s="34" t="n">
        <f aca="false">MAX(0,BQ106+BQ107)</f>
        <v>500000</v>
      </c>
      <c r="BR108" s="34" t="n">
        <f aca="false">MAX(0,BR106+BR107)</f>
        <v>500000</v>
      </c>
      <c r="BS108" s="34" t="n">
        <f aca="false">MAX(0,BS106+BS107)</f>
        <v>500000</v>
      </c>
      <c r="BT108" s="34" t="n">
        <f aca="false">MAX(0,BT106+BT107)</f>
        <v>500000</v>
      </c>
      <c r="BU108" s="34" t="n">
        <f aca="false">MAX(0,BU106+BU107)</f>
        <v>500000</v>
      </c>
      <c r="BV108" s="34" t="n">
        <f aca="false">MAX(0,BV106+BV107)</f>
        <v>500000</v>
      </c>
      <c r="BW108" s="34" t="n">
        <f aca="false">MAX(0,BW106+BW107)</f>
        <v>500000</v>
      </c>
      <c r="BX108" s="34" t="n">
        <f aca="false">MAX(0,BX106+BX107)</f>
        <v>500000</v>
      </c>
      <c r="BY108" s="34" t="n">
        <f aca="false">MAX(0,BY106+BY107)</f>
        <v>500000</v>
      </c>
      <c r="BZ108" s="34" t="n">
        <f aca="false">MAX(0,BZ106+BZ107)</f>
        <v>500000</v>
      </c>
      <c r="CA108" s="34" t="n">
        <f aca="false">MAX(0,CA106+CA107)</f>
        <v>500000</v>
      </c>
      <c r="CB108" s="34" t="n">
        <f aca="false">MAX(0,CB106+CB107)</f>
        <v>500000</v>
      </c>
      <c r="CC108" s="34" t="n">
        <f aca="false">MAX(0,CC106+CC107)</f>
        <v>500000</v>
      </c>
      <c r="CD108" s="34" t="n">
        <f aca="false">MAX(0,CD106+CD107)</f>
        <v>500000</v>
      </c>
      <c r="CE108" s="34" t="n">
        <f aca="false">MAX(0,CE106+CE107)</f>
        <v>500000</v>
      </c>
      <c r="CF108" s="34" t="n">
        <f aca="false">MAX(0,CF106+CF107)</f>
        <v>500000</v>
      </c>
      <c r="CG108" s="34" t="n">
        <f aca="false">MAX(0,CG106+CG107)</f>
        <v>500000</v>
      </c>
      <c r="CH108" s="34" t="n">
        <f aca="false">MAX(0,CH106+CH107)</f>
        <v>500000</v>
      </c>
      <c r="CI108" s="25"/>
    </row>
    <row r="109" customFormat="false" ht="16.5" hidden="false" customHeight="true" outlineLevel="0" collapsed="false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8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9" t="n">
        <f aca="false">IF(AND(Projects!$G$11="Yes",Projects!$C$11&lt;=1),Assumptions!$B$60,0)</f>
        <v>0</v>
      </c>
      <c r="D111" s="39" t="n">
        <f aca="false">IF(AND(Projects!$G$11="Yes",2=Projects!$C$11),Assumptions!$B$60,C115)</f>
        <v>0</v>
      </c>
      <c r="E111" s="39" t="n">
        <f aca="false">IF(AND(Projects!$G$11="Yes",3=Projects!$C$11),Assumptions!$B$60,D115)</f>
        <v>0</v>
      </c>
      <c r="F111" s="39" t="n">
        <f aca="false">IF(AND(Projects!$G$11="Yes",4=Projects!$C$11),Assumptions!$B$60,E115)</f>
        <v>0</v>
      </c>
      <c r="G111" s="39" t="n">
        <f aca="false">IF(AND(Projects!$G$11="Yes",5=Projects!$C$11),Assumptions!$B$60,F115)</f>
        <v>0</v>
      </c>
      <c r="H111" s="39" t="n">
        <f aca="false">IF(AND(Projects!$G$11="Yes",6=Projects!$C$11),Assumptions!$B$60,G115)</f>
        <v>0</v>
      </c>
      <c r="I111" s="39" t="n">
        <f aca="false">IF(AND(Projects!$G$11="Yes",7=Projects!$C$11),Assumptions!$B$60,H115)</f>
        <v>0</v>
      </c>
      <c r="J111" s="39" t="n">
        <f aca="false">IF(AND(Projects!$G$11="Yes",8=Projects!$C$11),Assumptions!$B$60,I115)</f>
        <v>0</v>
      </c>
      <c r="K111" s="39" t="n">
        <f aca="false">IF(AND(Projects!$G$11="Yes",9=Projects!$C$11),Assumptions!$B$60,J115)</f>
        <v>0</v>
      </c>
      <c r="L111" s="39" t="n">
        <f aca="false">IF(AND(Projects!$G$11="Yes",10=Projects!$C$11),Assumptions!$B$60,K115)</f>
        <v>0</v>
      </c>
      <c r="M111" s="39" t="n">
        <f aca="false">IF(AND(Projects!$G$11="Yes",11=Projects!$C$11),Assumptions!$B$60,L115)</f>
        <v>0</v>
      </c>
      <c r="N111" s="39" t="n">
        <f aca="false">IF(AND(Projects!$G$11="Yes",12=Projects!$C$11),Assumptions!$B$60,M115)</f>
        <v>0</v>
      </c>
      <c r="O111" s="39" t="n">
        <f aca="false">IF(AND(Projects!$G$11="Yes",13=Projects!$C$11),Assumptions!$B$60,N115)</f>
        <v>0</v>
      </c>
      <c r="P111" s="39" t="n">
        <f aca="false">IF(AND(Projects!$G$11="Yes",14=Projects!$C$11),Assumptions!$B$60,O115)</f>
        <v>0</v>
      </c>
      <c r="Q111" s="39" t="n">
        <f aca="false">IF(AND(Projects!$G$11="Yes",15=Projects!$C$11),Assumptions!$B$60,P115)</f>
        <v>0</v>
      </c>
      <c r="R111" s="39" t="n">
        <f aca="false">IF(AND(Projects!$G$11="Yes",16=Projects!$C$11),Assumptions!$B$60,Q115)</f>
        <v>0</v>
      </c>
      <c r="S111" s="39" t="n">
        <f aca="false">IF(AND(Projects!$G$11="Yes",17=Projects!$C$11),Assumptions!$B$60,R115)</f>
        <v>0</v>
      </c>
      <c r="T111" s="39" t="n">
        <f aca="false">IF(AND(Projects!$G$11="Yes",18=Projects!$C$11),Assumptions!$B$60,S115)</f>
        <v>0</v>
      </c>
      <c r="U111" s="39" t="n">
        <f aca="false">IF(AND(Projects!$G$11="Yes",19=Projects!$C$11),Assumptions!$B$60,T115)</f>
        <v>0</v>
      </c>
      <c r="V111" s="39" t="n">
        <f aca="false">IF(AND(Projects!$G$11="Yes",20=Projects!$C$11),Assumptions!$B$60,U115)</f>
        <v>0</v>
      </c>
      <c r="W111" s="39" t="n">
        <f aca="false">IF(AND(Projects!$G$11="Yes",21=Projects!$C$11),Assumptions!$B$60,V115)</f>
        <v>0</v>
      </c>
      <c r="X111" s="39" t="n">
        <f aca="false">IF(AND(Projects!$G$11="Yes",22=Projects!$C$11),Assumptions!$B$60,W115)</f>
        <v>0</v>
      </c>
      <c r="Y111" s="39" t="n">
        <f aca="false">IF(AND(Projects!$G$11="Yes",23=Projects!$C$11),Assumptions!$B$60,X115)</f>
        <v>0</v>
      </c>
      <c r="Z111" s="39" t="n">
        <f aca="false">IF(AND(Projects!$G$11="Yes",24=Projects!$C$11),Assumptions!$B$60,Y115)</f>
        <v>0</v>
      </c>
      <c r="AA111" s="39" t="n">
        <f aca="false">IF(AND(Projects!$G$11="Yes",25=Projects!$C$11),Assumptions!$B$60,Z115)</f>
        <v>0</v>
      </c>
      <c r="AB111" s="39" t="n">
        <f aca="false">IF(AND(Projects!$G$11="Yes",26=Projects!$C$11),Assumptions!$B$60,AA115)</f>
        <v>0</v>
      </c>
      <c r="AC111" s="39" t="n">
        <f aca="false">IF(AND(Projects!$G$11="Yes",27=Projects!$C$11),Assumptions!$B$60,AB115)</f>
        <v>0</v>
      </c>
      <c r="AD111" s="39" t="n">
        <f aca="false">IF(AND(Projects!$G$11="Yes",28=Projects!$C$11),Assumptions!$B$60,AC115)</f>
        <v>0</v>
      </c>
      <c r="AE111" s="39" t="n">
        <f aca="false">IF(AND(Projects!$G$11="Yes",29=Projects!$C$11),Assumptions!$B$60,AD115)</f>
        <v>0</v>
      </c>
      <c r="AF111" s="39" t="n">
        <f aca="false">IF(AND(Projects!$G$11="Yes",30=Projects!$C$11),Assumptions!$B$60,AE115)</f>
        <v>0</v>
      </c>
      <c r="AG111" s="39" t="n">
        <f aca="false">IF(AND(Projects!$G$11="Yes",31=Projects!$C$11),Assumptions!$B$60,AF115)</f>
        <v>0</v>
      </c>
      <c r="AH111" s="39" t="n">
        <f aca="false">IF(AND(Projects!$G$11="Yes",32=Projects!$C$11),Assumptions!$B$60,AG115)</f>
        <v>0</v>
      </c>
      <c r="AI111" s="39" t="n">
        <f aca="false">IF(AND(Projects!$G$11="Yes",33=Projects!$C$11),Assumptions!$B$60,AH115)</f>
        <v>0</v>
      </c>
      <c r="AJ111" s="39" t="n">
        <f aca="false">IF(AND(Projects!$G$11="Yes",34=Projects!$C$11),Assumptions!$B$60,AI115)</f>
        <v>0</v>
      </c>
      <c r="AK111" s="39" t="n">
        <f aca="false">IF(AND(Projects!$G$11="Yes",35=Projects!$C$11),Assumptions!$B$60,AJ115)</f>
        <v>0</v>
      </c>
      <c r="AL111" s="39" t="n">
        <f aca="false">IF(AND(Projects!$G$11="Yes",36=Projects!$C$11),Assumptions!$B$60,AK115)</f>
        <v>0</v>
      </c>
      <c r="AM111" s="39" t="n">
        <f aca="false">IF(AND(Projects!$G$11="Yes",37=Projects!$C$11),Assumptions!$B$60,AL115)</f>
        <v>0</v>
      </c>
      <c r="AN111" s="39" t="n">
        <f aca="false">IF(AND(Projects!$G$11="Yes",38=Projects!$C$11),Assumptions!$B$60,AM115)</f>
        <v>0</v>
      </c>
      <c r="AO111" s="39" t="n">
        <f aca="false">IF(AND(Projects!$G$11="Yes",39=Projects!$C$11),Assumptions!$B$60,AN115)</f>
        <v>0</v>
      </c>
      <c r="AP111" s="39" t="n">
        <f aca="false">IF(AND(Projects!$G$11="Yes",40=Projects!$C$11),Assumptions!$B$60,AO115)</f>
        <v>0</v>
      </c>
      <c r="AQ111" s="39" t="n">
        <f aca="false">IF(AND(Projects!$G$11="Yes",41=Projects!$C$11),Assumptions!$B$60,AP115)</f>
        <v>0</v>
      </c>
      <c r="AR111" s="39" t="n">
        <f aca="false">IF(AND(Projects!$G$11="Yes",42=Projects!$C$11),Assumptions!$B$60,AQ115)</f>
        <v>0</v>
      </c>
      <c r="AS111" s="39" t="n">
        <f aca="false">IF(AND(Projects!$G$11="Yes",43=Projects!$C$11),Assumptions!$B$60,AR115)</f>
        <v>0</v>
      </c>
      <c r="AT111" s="39" t="n">
        <f aca="false">IF(AND(Projects!$G$11="Yes",44=Projects!$C$11),Assumptions!$B$60,AS115)</f>
        <v>0</v>
      </c>
      <c r="AU111" s="39" t="n">
        <f aca="false">IF(AND(Projects!$G$11="Yes",45=Projects!$C$11),Assumptions!$B$60,AT115)</f>
        <v>0</v>
      </c>
      <c r="AV111" s="39" t="n">
        <f aca="false">IF(AND(Projects!$G$11="Yes",46=Projects!$C$11),Assumptions!$B$60,AU115)</f>
        <v>0</v>
      </c>
      <c r="AW111" s="39" t="n">
        <f aca="false">IF(AND(Projects!$G$11="Yes",47=Projects!$C$11),Assumptions!$B$60,AV115)</f>
        <v>0</v>
      </c>
      <c r="AX111" s="39" t="n">
        <f aca="false">IF(AND(Projects!$G$11="Yes",48=Projects!$C$11),Assumptions!$B$60,AW115)</f>
        <v>0</v>
      </c>
      <c r="AY111" s="39" t="n">
        <f aca="false">IF(AND(Projects!$G$11="Yes",49=Projects!$C$11),Assumptions!$B$60,AX115)</f>
        <v>0</v>
      </c>
      <c r="AZ111" s="39" t="n">
        <f aca="false">IF(AND(Projects!$G$11="Yes",50=Projects!$C$11),Assumptions!$B$60,AY115)</f>
        <v>0</v>
      </c>
      <c r="BA111" s="39" t="n">
        <f aca="false">IF(AND(Projects!$G$11="Yes",51=Projects!$C$11),Assumptions!$B$60,AZ115)</f>
        <v>0</v>
      </c>
      <c r="BB111" s="39" t="n">
        <f aca="false">IF(AND(Projects!$G$11="Yes",52=Projects!$C$11),Assumptions!$B$60,BA115)</f>
        <v>0</v>
      </c>
      <c r="BC111" s="39" t="n">
        <f aca="false">IF(AND(Projects!$G$11="Yes",53=Projects!$C$11),Assumptions!$B$60,BB115)</f>
        <v>0</v>
      </c>
      <c r="BD111" s="39" t="n">
        <f aca="false">IF(AND(Projects!$G$11="Yes",54=Projects!$C$11),Assumptions!$B$60,BC115)</f>
        <v>0</v>
      </c>
      <c r="BE111" s="39" t="n">
        <f aca="false">IF(AND(Projects!$G$11="Yes",55=Projects!$C$11),Assumptions!$B$60,BD115)</f>
        <v>0</v>
      </c>
      <c r="BF111" s="39" t="n">
        <f aca="false">IF(AND(Projects!$G$11="Yes",56=Projects!$C$11),Assumptions!$B$60,BE115)</f>
        <v>0</v>
      </c>
      <c r="BG111" s="39" t="n">
        <f aca="false">IF(AND(Projects!$G$11="Yes",57=Projects!$C$11),Assumptions!$B$60,BF115)</f>
        <v>0</v>
      </c>
      <c r="BH111" s="39" t="n">
        <f aca="false">IF(AND(Projects!$G$11="Yes",58=Projects!$C$11),Assumptions!$B$60,BG115)</f>
        <v>0</v>
      </c>
      <c r="BI111" s="39" t="n">
        <f aca="false">IF(AND(Projects!$G$11="Yes",59=Projects!$C$11),Assumptions!$B$60,BH115)</f>
        <v>0</v>
      </c>
      <c r="BJ111" s="39" t="n">
        <f aca="false">IF(AND(Projects!$G$11="Yes",60=Projects!$C$11),Assumptions!$B$60,BI115)</f>
        <v>0</v>
      </c>
      <c r="BK111" s="39" t="n">
        <f aca="false">IF(AND(Projects!$G$11="Yes",61=Projects!$C$11),Assumptions!$B$60,BJ115)</f>
        <v>0</v>
      </c>
      <c r="BL111" s="39" t="n">
        <f aca="false">IF(AND(Projects!$G$11="Yes",62=Projects!$C$11),Assumptions!$B$60,BK115)</f>
        <v>0</v>
      </c>
      <c r="BM111" s="39" t="n">
        <f aca="false">IF(AND(Projects!$G$11="Yes",63=Projects!$C$11),Assumptions!$B$60,BL115)</f>
        <v>0</v>
      </c>
      <c r="BN111" s="39" t="n">
        <f aca="false">IF(AND(Projects!$G$11="Yes",64=Projects!$C$11),Assumptions!$B$60,BM115)</f>
        <v>0</v>
      </c>
      <c r="BO111" s="39" t="n">
        <f aca="false">IF(AND(Projects!$G$11="Yes",65=Projects!$C$11),Assumptions!$B$60,BN115)</f>
        <v>0</v>
      </c>
      <c r="BP111" s="39" t="n">
        <f aca="false">IF(AND(Projects!$G$11="Yes",66=Projects!$C$11),Assumptions!$B$60,BO115)</f>
        <v>0</v>
      </c>
      <c r="BQ111" s="39" t="n">
        <f aca="false">IF(AND(Projects!$G$11="Yes",67=Projects!$C$11),Assumptions!$B$60,BP115)</f>
        <v>0</v>
      </c>
      <c r="BR111" s="39" t="n">
        <f aca="false">IF(AND(Projects!$G$11="Yes",68=Projects!$C$11),Assumptions!$B$60,BQ115)</f>
        <v>0</v>
      </c>
      <c r="BS111" s="39" t="n">
        <f aca="false">IF(AND(Projects!$G$11="Yes",69=Projects!$C$11),Assumptions!$B$60,BR115)</f>
        <v>0</v>
      </c>
      <c r="BT111" s="39" t="n">
        <f aca="false">IF(AND(Projects!$G$11="Yes",70=Projects!$C$11),Assumptions!$B$60,BS115)</f>
        <v>0</v>
      </c>
      <c r="BU111" s="39" t="n">
        <f aca="false">IF(AND(Projects!$G$11="Yes",71=Projects!$C$11),Assumptions!$B$60,BT115)</f>
        <v>0</v>
      </c>
      <c r="BV111" s="39" t="n">
        <f aca="false">IF(AND(Projects!$G$11="Yes",72=Projects!$C$11),Assumptions!$B$60,BU115)</f>
        <v>0</v>
      </c>
      <c r="BW111" s="39" t="n">
        <f aca="false">IF(AND(Projects!$G$11="Yes",73=Projects!$C$11),Assumptions!$B$60,BV115)</f>
        <v>0</v>
      </c>
      <c r="BX111" s="39" t="n">
        <f aca="false">IF(AND(Projects!$G$11="Yes",74=Projects!$C$11),Assumptions!$B$60,BW115)</f>
        <v>0</v>
      </c>
      <c r="BY111" s="39" t="n">
        <f aca="false">IF(AND(Projects!$G$11="Yes",75=Projects!$C$11),Assumptions!$B$60,BX115)</f>
        <v>0</v>
      </c>
      <c r="BZ111" s="39" t="n">
        <f aca="false">IF(AND(Projects!$G$11="Yes",76=Projects!$C$11),Assumptions!$B$60,BY115)</f>
        <v>0</v>
      </c>
      <c r="CA111" s="39" t="n">
        <f aca="false">IF(AND(Projects!$G$11="Yes",77=Projects!$C$11),Assumptions!$B$60,BZ115)</f>
        <v>0</v>
      </c>
      <c r="CB111" s="39" t="n">
        <f aca="false">IF(AND(Projects!$G$11="Yes",78=Projects!$C$11),Assumptions!$B$60,CA115)</f>
        <v>0</v>
      </c>
      <c r="CC111" s="39" t="n">
        <f aca="false">IF(AND(Projects!$G$11="Yes",79=Projects!$C$11),Assumptions!$B$60,CB115)</f>
        <v>0</v>
      </c>
      <c r="CD111" s="39" t="n">
        <f aca="false">IF(AND(Projects!$G$11="Yes",80=Projects!$C$11),Assumptions!$B$60,CC115)</f>
        <v>0</v>
      </c>
      <c r="CE111" s="39" t="n">
        <f aca="false">IF(AND(Projects!$G$11="Yes",81=Projects!$C$11),Assumptions!$B$60,CD115)</f>
        <v>0</v>
      </c>
      <c r="CF111" s="39" t="n">
        <f aca="false">IF(AND(Projects!$G$11="Yes",82=Projects!$C$11),Assumptions!$B$60,CE115)</f>
        <v>0</v>
      </c>
      <c r="CG111" s="39" t="n">
        <f aca="false">IF(AND(Projects!$G$11="Yes",83=Projects!$C$11),Assumptions!$B$60,CF115)</f>
        <v>0</v>
      </c>
      <c r="CH111" s="39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9" t="n">
        <f aca="false">IF(AND(MOD(1,3)=0,C111&gt;0),C111*Assumptions!$B$59,0)</f>
        <v>0</v>
      </c>
      <c r="D112" s="39" t="n">
        <f aca="false">IF(AND(MOD(2,3)=0,D111&gt;0),D111*Assumptions!$B$59,0)</f>
        <v>0</v>
      </c>
      <c r="E112" s="39" t="n">
        <f aca="false">IF(AND(MOD(3,3)=0,E111&gt;0),E111*Assumptions!$B$59,0)</f>
        <v>0</v>
      </c>
      <c r="F112" s="39" t="n">
        <f aca="false">IF(AND(MOD(4,3)=0,F111&gt;0),F111*Assumptions!$B$59,0)</f>
        <v>0</v>
      </c>
      <c r="G112" s="39" t="n">
        <f aca="false">IF(AND(MOD(5,3)=0,G111&gt;0),G111*Assumptions!$B$59,0)</f>
        <v>0</v>
      </c>
      <c r="H112" s="39" t="n">
        <f aca="false">IF(AND(MOD(6,3)=0,H111&gt;0),H111*Assumptions!$B$59,0)</f>
        <v>0</v>
      </c>
      <c r="I112" s="39" t="n">
        <f aca="false">IF(AND(MOD(7,3)=0,I111&gt;0),I111*Assumptions!$B$59,0)</f>
        <v>0</v>
      </c>
      <c r="J112" s="39" t="n">
        <f aca="false">IF(AND(MOD(8,3)=0,J111&gt;0),J111*Assumptions!$B$59,0)</f>
        <v>0</v>
      </c>
      <c r="K112" s="39" t="n">
        <f aca="false">IF(AND(MOD(9,3)=0,K111&gt;0),K111*Assumptions!$B$59,0)</f>
        <v>0</v>
      </c>
      <c r="L112" s="39" t="n">
        <f aca="false">IF(AND(MOD(10,3)=0,L111&gt;0),L111*Assumptions!$B$59,0)</f>
        <v>0</v>
      </c>
      <c r="M112" s="39" t="n">
        <f aca="false">IF(AND(MOD(11,3)=0,M111&gt;0),M111*Assumptions!$B$59,0)</f>
        <v>0</v>
      </c>
      <c r="N112" s="39" t="n">
        <f aca="false">IF(AND(MOD(12,3)=0,N111&gt;0),N111*Assumptions!$B$59,0)</f>
        <v>0</v>
      </c>
      <c r="O112" s="39" t="n">
        <f aca="false">IF(AND(MOD(13,3)=0,O111&gt;0),O111*Assumptions!$B$59,0)</f>
        <v>0</v>
      </c>
      <c r="P112" s="39" t="n">
        <f aca="false">IF(AND(MOD(14,3)=0,P111&gt;0),P111*Assumptions!$B$59,0)</f>
        <v>0</v>
      </c>
      <c r="Q112" s="39" t="n">
        <f aca="false">IF(AND(MOD(15,3)=0,Q111&gt;0),Q111*Assumptions!$B$59,0)</f>
        <v>0</v>
      </c>
      <c r="R112" s="39" t="n">
        <f aca="false">IF(AND(MOD(16,3)=0,R111&gt;0),R111*Assumptions!$B$59,0)</f>
        <v>0</v>
      </c>
      <c r="S112" s="39" t="n">
        <f aca="false">IF(AND(MOD(17,3)=0,S111&gt;0),S111*Assumptions!$B$59,0)</f>
        <v>0</v>
      </c>
      <c r="T112" s="39" t="n">
        <f aca="false">IF(AND(MOD(18,3)=0,T111&gt;0),T111*Assumptions!$B$59,0)</f>
        <v>0</v>
      </c>
      <c r="U112" s="39" t="n">
        <f aca="false">IF(AND(MOD(19,3)=0,U111&gt;0),U111*Assumptions!$B$59,0)</f>
        <v>0</v>
      </c>
      <c r="V112" s="39" t="n">
        <f aca="false">IF(AND(MOD(20,3)=0,V111&gt;0),V111*Assumptions!$B$59,0)</f>
        <v>0</v>
      </c>
      <c r="W112" s="39" t="n">
        <f aca="false">IF(AND(MOD(21,3)=0,W111&gt;0),W111*Assumptions!$B$59,0)</f>
        <v>0</v>
      </c>
      <c r="X112" s="39" t="n">
        <f aca="false">IF(AND(MOD(22,3)=0,X111&gt;0),X111*Assumptions!$B$59,0)</f>
        <v>0</v>
      </c>
      <c r="Y112" s="39" t="n">
        <f aca="false">IF(AND(MOD(23,3)=0,Y111&gt;0),Y111*Assumptions!$B$59,0)</f>
        <v>0</v>
      </c>
      <c r="Z112" s="39" t="n">
        <f aca="false">IF(AND(MOD(24,3)=0,Z111&gt;0),Z111*Assumptions!$B$59,0)</f>
        <v>0</v>
      </c>
      <c r="AA112" s="39" t="n">
        <f aca="false">IF(AND(MOD(25,3)=0,AA111&gt;0),AA111*Assumptions!$B$59,0)</f>
        <v>0</v>
      </c>
      <c r="AB112" s="39" t="n">
        <f aca="false">IF(AND(MOD(26,3)=0,AB111&gt;0),AB111*Assumptions!$B$59,0)</f>
        <v>0</v>
      </c>
      <c r="AC112" s="39" t="n">
        <f aca="false">IF(AND(MOD(27,3)=0,AC111&gt;0),AC111*Assumptions!$B$59,0)</f>
        <v>0</v>
      </c>
      <c r="AD112" s="39" t="n">
        <f aca="false">IF(AND(MOD(28,3)=0,AD111&gt;0),AD111*Assumptions!$B$59,0)</f>
        <v>0</v>
      </c>
      <c r="AE112" s="39" t="n">
        <f aca="false">IF(AND(MOD(29,3)=0,AE111&gt;0),AE111*Assumptions!$B$59,0)</f>
        <v>0</v>
      </c>
      <c r="AF112" s="39" t="n">
        <f aca="false">IF(AND(MOD(30,3)=0,AF111&gt;0),AF111*Assumptions!$B$59,0)</f>
        <v>0</v>
      </c>
      <c r="AG112" s="39" t="n">
        <f aca="false">IF(AND(MOD(31,3)=0,AG111&gt;0),AG111*Assumptions!$B$59,0)</f>
        <v>0</v>
      </c>
      <c r="AH112" s="39" t="n">
        <f aca="false">IF(AND(MOD(32,3)=0,AH111&gt;0),AH111*Assumptions!$B$59,0)</f>
        <v>0</v>
      </c>
      <c r="AI112" s="39" t="n">
        <f aca="false">IF(AND(MOD(33,3)=0,AI111&gt;0),AI111*Assumptions!$B$59,0)</f>
        <v>0</v>
      </c>
      <c r="AJ112" s="39" t="n">
        <f aca="false">IF(AND(MOD(34,3)=0,AJ111&gt;0),AJ111*Assumptions!$B$59,0)</f>
        <v>0</v>
      </c>
      <c r="AK112" s="39" t="n">
        <f aca="false">IF(AND(MOD(35,3)=0,AK111&gt;0),AK111*Assumptions!$B$59,0)</f>
        <v>0</v>
      </c>
      <c r="AL112" s="39" t="n">
        <f aca="false">IF(AND(MOD(36,3)=0,AL111&gt;0),AL111*Assumptions!$B$59,0)</f>
        <v>0</v>
      </c>
      <c r="AM112" s="39" t="n">
        <f aca="false">IF(AND(MOD(37,3)=0,AM111&gt;0),AM111*Assumptions!$B$59,0)</f>
        <v>0</v>
      </c>
      <c r="AN112" s="39" t="n">
        <f aca="false">IF(AND(MOD(38,3)=0,AN111&gt;0),AN111*Assumptions!$B$59,0)</f>
        <v>0</v>
      </c>
      <c r="AO112" s="39" t="n">
        <f aca="false">IF(AND(MOD(39,3)=0,AO111&gt;0),AO111*Assumptions!$B$59,0)</f>
        <v>0</v>
      </c>
      <c r="AP112" s="39" t="n">
        <f aca="false">IF(AND(MOD(40,3)=0,AP111&gt;0),AP111*Assumptions!$B$59,0)</f>
        <v>0</v>
      </c>
      <c r="AQ112" s="39" t="n">
        <f aca="false">IF(AND(MOD(41,3)=0,AQ111&gt;0),AQ111*Assumptions!$B$59,0)</f>
        <v>0</v>
      </c>
      <c r="AR112" s="39" t="n">
        <f aca="false">IF(AND(MOD(42,3)=0,AR111&gt;0),AR111*Assumptions!$B$59,0)</f>
        <v>0</v>
      </c>
      <c r="AS112" s="39" t="n">
        <f aca="false">IF(AND(MOD(43,3)=0,AS111&gt;0),AS111*Assumptions!$B$59,0)</f>
        <v>0</v>
      </c>
      <c r="AT112" s="39" t="n">
        <f aca="false">IF(AND(MOD(44,3)=0,AT111&gt;0),AT111*Assumptions!$B$59,0)</f>
        <v>0</v>
      </c>
      <c r="AU112" s="39" t="n">
        <f aca="false">IF(AND(MOD(45,3)=0,AU111&gt;0),AU111*Assumptions!$B$59,0)</f>
        <v>0</v>
      </c>
      <c r="AV112" s="39" t="n">
        <f aca="false">IF(AND(MOD(46,3)=0,AV111&gt;0),AV111*Assumptions!$B$59,0)</f>
        <v>0</v>
      </c>
      <c r="AW112" s="39" t="n">
        <f aca="false">IF(AND(MOD(47,3)=0,AW111&gt;0),AW111*Assumptions!$B$59,0)</f>
        <v>0</v>
      </c>
      <c r="AX112" s="39" t="n">
        <f aca="false">IF(AND(MOD(48,3)=0,AX111&gt;0),AX111*Assumptions!$B$59,0)</f>
        <v>0</v>
      </c>
      <c r="AY112" s="39" t="n">
        <f aca="false">IF(AND(MOD(49,3)=0,AY111&gt;0),AY111*Assumptions!$B$59,0)</f>
        <v>0</v>
      </c>
      <c r="AZ112" s="39" t="n">
        <f aca="false">IF(AND(MOD(50,3)=0,AZ111&gt;0),AZ111*Assumptions!$B$59,0)</f>
        <v>0</v>
      </c>
      <c r="BA112" s="39" t="n">
        <f aca="false">IF(AND(MOD(51,3)=0,BA111&gt;0),BA111*Assumptions!$B$59,0)</f>
        <v>0</v>
      </c>
      <c r="BB112" s="39" t="n">
        <f aca="false">IF(AND(MOD(52,3)=0,BB111&gt;0),BB111*Assumptions!$B$59,0)</f>
        <v>0</v>
      </c>
      <c r="BC112" s="39" t="n">
        <f aca="false">IF(AND(MOD(53,3)=0,BC111&gt;0),BC111*Assumptions!$B$59,0)</f>
        <v>0</v>
      </c>
      <c r="BD112" s="39" t="n">
        <f aca="false">IF(AND(MOD(54,3)=0,BD111&gt;0),BD111*Assumptions!$B$59,0)</f>
        <v>0</v>
      </c>
      <c r="BE112" s="39" t="n">
        <f aca="false">IF(AND(MOD(55,3)=0,BE111&gt;0),BE111*Assumptions!$B$59,0)</f>
        <v>0</v>
      </c>
      <c r="BF112" s="39" t="n">
        <f aca="false">IF(AND(MOD(56,3)=0,BF111&gt;0),BF111*Assumptions!$B$59,0)</f>
        <v>0</v>
      </c>
      <c r="BG112" s="39" t="n">
        <f aca="false">IF(AND(MOD(57,3)=0,BG111&gt;0),BG111*Assumptions!$B$59,0)</f>
        <v>0</v>
      </c>
      <c r="BH112" s="39" t="n">
        <f aca="false">IF(AND(MOD(58,3)=0,BH111&gt;0),BH111*Assumptions!$B$59,0)</f>
        <v>0</v>
      </c>
      <c r="BI112" s="39" t="n">
        <f aca="false">IF(AND(MOD(59,3)=0,BI111&gt;0),BI111*Assumptions!$B$59,0)</f>
        <v>0</v>
      </c>
      <c r="BJ112" s="39" t="n">
        <f aca="false">IF(AND(MOD(60,3)=0,BJ111&gt;0),BJ111*Assumptions!$B$59,0)</f>
        <v>0</v>
      </c>
      <c r="BK112" s="39" t="n">
        <f aca="false">IF(AND(MOD(61,3)=0,BK111&gt;0),BK111*Assumptions!$B$59,0)</f>
        <v>0</v>
      </c>
      <c r="BL112" s="39" t="n">
        <f aca="false">IF(AND(MOD(62,3)=0,BL111&gt;0),BL111*Assumptions!$B$59,0)</f>
        <v>0</v>
      </c>
      <c r="BM112" s="39" t="n">
        <f aca="false">IF(AND(MOD(63,3)=0,BM111&gt;0),BM111*Assumptions!$B$59,0)</f>
        <v>0</v>
      </c>
      <c r="BN112" s="39" t="n">
        <f aca="false">IF(AND(MOD(64,3)=0,BN111&gt;0),BN111*Assumptions!$B$59,0)</f>
        <v>0</v>
      </c>
      <c r="BO112" s="39" t="n">
        <f aca="false">IF(AND(MOD(65,3)=0,BO111&gt;0),BO111*Assumptions!$B$59,0)</f>
        <v>0</v>
      </c>
      <c r="BP112" s="39" t="n">
        <f aca="false">IF(AND(MOD(66,3)=0,BP111&gt;0),BP111*Assumptions!$B$59,0)</f>
        <v>0</v>
      </c>
      <c r="BQ112" s="39" t="n">
        <f aca="false">IF(AND(MOD(67,3)=0,BQ111&gt;0),BQ111*Assumptions!$B$59,0)</f>
        <v>0</v>
      </c>
      <c r="BR112" s="39" t="n">
        <f aca="false">IF(AND(MOD(68,3)=0,BR111&gt;0),BR111*Assumptions!$B$59,0)</f>
        <v>0</v>
      </c>
      <c r="BS112" s="39" t="n">
        <f aca="false">IF(AND(MOD(69,3)=0,BS111&gt;0),BS111*Assumptions!$B$59,0)</f>
        <v>0</v>
      </c>
      <c r="BT112" s="39" t="n">
        <f aca="false">IF(AND(MOD(70,3)=0,BT111&gt;0),BT111*Assumptions!$B$59,0)</f>
        <v>0</v>
      </c>
      <c r="BU112" s="39" t="n">
        <f aca="false">IF(AND(MOD(71,3)=0,BU111&gt;0),BU111*Assumptions!$B$59,0)</f>
        <v>0</v>
      </c>
      <c r="BV112" s="39" t="n">
        <f aca="false">IF(AND(MOD(72,3)=0,BV111&gt;0),BV111*Assumptions!$B$59,0)</f>
        <v>0</v>
      </c>
      <c r="BW112" s="39" t="n">
        <f aca="false">IF(AND(MOD(73,3)=0,BW111&gt;0),BW111*Assumptions!$B$59,0)</f>
        <v>0</v>
      </c>
      <c r="BX112" s="39" t="n">
        <f aca="false">IF(AND(MOD(74,3)=0,BX111&gt;0),BX111*Assumptions!$B$59,0)</f>
        <v>0</v>
      </c>
      <c r="BY112" s="39" t="n">
        <f aca="false">IF(AND(MOD(75,3)=0,BY111&gt;0),BY111*Assumptions!$B$59,0)</f>
        <v>0</v>
      </c>
      <c r="BZ112" s="39" t="n">
        <f aca="false">IF(AND(MOD(76,3)=0,BZ111&gt;0),BZ111*Assumptions!$B$59,0)</f>
        <v>0</v>
      </c>
      <c r="CA112" s="39" t="n">
        <f aca="false">IF(AND(MOD(77,3)=0,CA111&gt;0),CA111*Assumptions!$B$59,0)</f>
        <v>0</v>
      </c>
      <c r="CB112" s="39" t="n">
        <f aca="false">IF(AND(MOD(78,3)=0,CB111&gt;0),CB111*Assumptions!$B$59,0)</f>
        <v>0</v>
      </c>
      <c r="CC112" s="39" t="n">
        <f aca="false">IF(AND(MOD(79,3)=0,CC111&gt;0),CC111*Assumptions!$B$59,0)</f>
        <v>0</v>
      </c>
      <c r="CD112" s="39" t="n">
        <f aca="false">IF(AND(MOD(80,3)=0,CD111&gt;0),CD111*Assumptions!$B$59,0)</f>
        <v>0</v>
      </c>
      <c r="CE112" s="39" t="n">
        <f aca="false">IF(AND(MOD(81,3)=0,CE111&gt;0),CE111*Assumptions!$B$59,0)</f>
        <v>0</v>
      </c>
      <c r="CF112" s="39" t="n">
        <f aca="false">IF(AND(MOD(82,3)=0,CF111&gt;0),CF111*Assumptions!$B$59,0)</f>
        <v>0</v>
      </c>
      <c r="CG112" s="39" t="n">
        <f aca="false">IF(AND(MOD(83,3)=0,CG111&gt;0),CG111*Assumptions!$B$59,0)</f>
        <v>0</v>
      </c>
      <c r="CH112" s="39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9" t="n">
        <v>0</v>
      </c>
      <c r="D113" s="39" t="n">
        <v>0</v>
      </c>
      <c r="E113" s="39" t="n">
        <v>0</v>
      </c>
      <c r="F113" s="39" t="n">
        <v>0</v>
      </c>
      <c r="G113" s="39" t="n">
        <v>0</v>
      </c>
      <c r="H113" s="39" t="n">
        <v>0</v>
      </c>
      <c r="I113" s="39" t="n">
        <v>0</v>
      </c>
      <c r="J113" s="39" t="n">
        <v>0</v>
      </c>
      <c r="K113" s="39" t="n">
        <v>0</v>
      </c>
      <c r="L113" s="39" t="n">
        <v>0</v>
      </c>
      <c r="M113" s="39" t="n">
        <v>0</v>
      </c>
      <c r="N113" s="39" t="n">
        <v>0</v>
      </c>
      <c r="O113" s="39" t="n">
        <v>0</v>
      </c>
      <c r="P113" s="39" t="n">
        <v>0</v>
      </c>
      <c r="Q113" s="39" t="n">
        <v>0</v>
      </c>
      <c r="R113" s="39" t="n">
        <v>0</v>
      </c>
      <c r="S113" s="39" t="n">
        <v>0</v>
      </c>
      <c r="T113" s="39" t="n">
        <v>0</v>
      </c>
      <c r="U113" s="39" t="n">
        <v>0</v>
      </c>
      <c r="V113" s="39" t="n">
        <v>0</v>
      </c>
      <c r="W113" s="39" t="n">
        <v>0</v>
      </c>
      <c r="X113" s="39" t="n">
        <v>0</v>
      </c>
      <c r="Y113" s="39" t="n">
        <v>0</v>
      </c>
      <c r="Z113" s="39" t="n">
        <v>0</v>
      </c>
      <c r="AA113" s="39" t="n">
        <v>0</v>
      </c>
      <c r="AB113" s="39" t="n">
        <v>0</v>
      </c>
      <c r="AC113" s="39" t="n">
        <v>0</v>
      </c>
      <c r="AD113" s="39" t="n">
        <v>0</v>
      </c>
      <c r="AE113" s="39" t="n">
        <v>0</v>
      </c>
      <c r="AF113" s="39" t="n">
        <v>0</v>
      </c>
      <c r="AG113" s="39" t="n">
        <v>0</v>
      </c>
      <c r="AH113" s="39" t="n">
        <v>0</v>
      </c>
      <c r="AI113" s="39" t="n">
        <v>0</v>
      </c>
      <c r="AJ113" s="39" t="n">
        <v>0</v>
      </c>
      <c r="AK113" s="39" t="n">
        <v>0</v>
      </c>
      <c r="AL113" s="39" t="n">
        <v>0</v>
      </c>
      <c r="AM113" s="39" t="n">
        <v>0</v>
      </c>
      <c r="AN113" s="39" t="n">
        <v>0</v>
      </c>
      <c r="AO113" s="39" t="n">
        <v>0</v>
      </c>
      <c r="AP113" s="39" t="n">
        <v>0</v>
      </c>
      <c r="AQ113" s="39" t="n">
        <v>0</v>
      </c>
      <c r="AR113" s="39" t="n">
        <v>0</v>
      </c>
      <c r="AS113" s="39" t="n">
        <v>0</v>
      </c>
      <c r="AT113" s="39" t="n">
        <v>0</v>
      </c>
      <c r="AU113" s="39" t="n">
        <v>0</v>
      </c>
      <c r="AV113" s="39" t="n">
        <v>0</v>
      </c>
      <c r="AW113" s="39" t="n">
        <v>0</v>
      </c>
      <c r="AX113" s="39" t="n">
        <v>0</v>
      </c>
      <c r="AY113" s="39" t="n">
        <v>0</v>
      </c>
      <c r="AZ113" s="39" t="n">
        <v>0</v>
      </c>
      <c r="BA113" s="39" t="n">
        <v>0</v>
      </c>
      <c r="BB113" s="39" t="n">
        <v>0</v>
      </c>
      <c r="BC113" s="39" t="n">
        <v>0</v>
      </c>
      <c r="BD113" s="39" t="n">
        <v>0</v>
      </c>
      <c r="BE113" s="39" t="n">
        <v>0</v>
      </c>
      <c r="BF113" s="39" t="n">
        <v>0</v>
      </c>
      <c r="BG113" s="39" t="n">
        <v>0</v>
      </c>
      <c r="BH113" s="39" t="n">
        <v>0</v>
      </c>
      <c r="BI113" s="39" t="n">
        <v>0</v>
      </c>
      <c r="BJ113" s="39" t="n">
        <v>0</v>
      </c>
      <c r="BK113" s="39" t="n">
        <v>0</v>
      </c>
      <c r="BL113" s="39" t="n">
        <v>0</v>
      </c>
      <c r="BM113" s="39" t="n">
        <v>0</v>
      </c>
      <c r="BN113" s="39" t="n">
        <v>0</v>
      </c>
      <c r="BO113" s="39" t="n">
        <v>0</v>
      </c>
      <c r="BP113" s="39" t="n">
        <v>0</v>
      </c>
      <c r="BQ113" s="39" t="n">
        <v>0</v>
      </c>
      <c r="BR113" s="39" t="n">
        <v>0</v>
      </c>
      <c r="BS113" s="39" t="n">
        <v>0</v>
      </c>
      <c r="BT113" s="39" t="n">
        <v>0</v>
      </c>
      <c r="BU113" s="39" t="n">
        <v>0</v>
      </c>
      <c r="BV113" s="39" t="n">
        <v>0</v>
      </c>
      <c r="BW113" s="39" t="n">
        <v>0</v>
      </c>
      <c r="BX113" s="39" t="n">
        <v>0</v>
      </c>
      <c r="BY113" s="39" t="n">
        <v>0</v>
      </c>
      <c r="BZ113" s="39" t="n">
        <v>0</v>
      </c>
      <c r="CA113" s="39" t="n">
        <v>0</v>
      </c>
      <c r="CB113" s="39" t="n">
        <v>0</v>
      </c>
      <c r="CC113" s="39" t="n">
        <v>0</v>
      </c>
      <c r="CD113" s="39" t="n">
        <v>0</v>
      </c>
      <c r="CE113" s="39" t="n">
        <v>0</v>
      </c>
      <c r="CF113" s="39" t="n">
        <v>0</v>
      </c>
      <c r="CG113" s="39" t="n">
        <v>0</v>
      </c>
      <c r="CH113" s="39" t="n">
        <v>0</v>
      </c>
      <c r="CI113" s="25"/>
    </row>
    <row r="114" customFormat="false" ht="15" hidden="false" customHeight="true" outlineLevel="0" collapsed="false">
      <c r="A114" s="40" t="s">
        <v>139</v>
      </c>
      <c r="B114" s="40"/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n">
        <v>0</v>
      </c>
      <c r="O114" s="41" t="n">
        <v>0</v>
      </c>
      <c r="P114" s="41" t="n">
        <v>0</v>
      </c>
      <c r="Q114" s="41" t="n">
        <v>0</v>
      </c>
      <c r="R114" s="41" t="n">
        <v>0</v>
      </c>
      <c r="S114" s="41" t="n">
        <v>0</v>
      </c>
      <c r="T114" s="41" t="n">
        <v>0</v>
      </c>
      <c r="U114" s="41" t="n">
        <v>0</v>
      </c>
      <c r="V114" s="41" t="n">
        <v>0</v>
      </c>
      <c r="W114" s="41" t="n">
        <v>0</v>
      </c>
      <c r="X114" s="41" t="n">
        <v>0</v>
      </c>
      <c r="Y114" s="41" t="n">
        <v>0</v>
      </c>
      <c r="Z114" s="41" t="n">
        <v>0</v>
      </c>
      <c r="AA114" s="41" t="n">
        <v>0</v>
      </c>
      <c r="AB114" s="41" t="n">
        <v>0</v>
      </c>
      <c r="AC114" s="41" t="n">
        <v>0</v>
      </c>
      <c r="AD114" s="41" t="n">
        <v>0</v>
      </c>
      <c r="AE114" s="41" t="n">
        <v>0</v>
      </c>
      <c r="AF114" s="41" t="n">
        <v>0</v>
      </c>
      <c r="AG114" s="41" t="n">
        <v>0</v>
      </c>
      <c r="AH114" s="41" t="n">
        <v>0</v>
      </c>
      <c r="AI114" s="41" t="n">
        <v>0</v>
      </c>
      <c r="AJ114" s="41" t="n">
        <v>0</v>
      </c>
      <c r="AK114" s="41" t="n">
        <v>0</v>
      </c>
      <c r="AL114" s="41" t="n">
        <v>0</v>
      </c>
      <c r="AM114" s="41" t="n">
        <v>0</v>
      </c>
      <c r="AN114" s="41" t="n">
        <v>0</v>
      </c>
      <c r="AO114" s="41" t="n">
        <v>0</v>
      </c>
      <c r="AP114" s="41" t="n">
        <v>0</v>
      </c>
      <c r="AQ114" s="41" t="n">
        <v>0</v>
      </c>
      <c r="AR114" s="41" t="n">
        <v>0</v>
      </c>
      <c r="AS114" s="41" t="n">
        <v>0</v>
      </c>
      <c r="AT114" s="41" t="n">
        <v>0</v>
      </c>
      <c r="AU114" s="41" t="n">
        <v>0</v>
      </c>
      <c r="AV114" s="41" t="n">
        <v>0</v>
      </c>
      <c r="AW114" s="41" t="n">
        <v>0</v>
      </c>
      <c r="AX114" s="41" t="n">
        <v>0</v>
      </c>
      <c r="AY114" s="41" t="n">
        <v>0</v>
      </c>
      <c r="AZ114" s="41" t="n">
        <v>0</v>
      </c>
      <c r="BA114" s="41" t="n">
        <v>0</v>
      </c>
      <c r="BB114" s="41" t="n">
        <v>0</v>
      </c>
      <c r="BC114" s="41" t="n">
        <v>0</v>
      </c>
      <c r="BD114" s="41" t="n">
        <v>0</v>
      </c>
      <c r="BE114" s="41" t="n">
        <v>0</v>
      </c>
      <c r="BF114" s="41" t="n">
        <v>0</v>
      </c>
      <c r="BG114" s="41" t="n">
        <v>0</v>
      </c>
      <c r="BH114" s="41" t="n">
        <v>0</v>
      </c>
      <c r="BI114" s="41" t="n">
        <v>0</v>
      </c>
      <c r="BJ114" s="41" t="n">
        <v>0</v>
      </c>
      <c r="BK114" s="41" t="n">
        <v>0</v>
      </c>
      <c r="BL114" s="41" t="n">
        <v>0</v>
      </c>
      <c r="BM114" s="41" t="n">
        <v>0</v>
      </c>
      <c r="BN114" s="41" t="n">
        <v>0</v>
      </c>
      <c r="BO114" s="41" t="n">
        <v>0</v>
      </c>
      <c r="BP114" s="41" t="n">
        <v>0</v>
      </c>
      <c r="BQ114" s="41" t="n">
        <v>0</v>
      </c>
      <c r="BR114" s="41" t="n">
        <v>0</v>
      </c>
      <c r="BS114" s="41" t="n">
        <v>0</v>
      </c>
      <c r="BT114" s="41" t="n">
        <v>0</v>
      </c>
      <c r="BU114" s="41" t="n">
        <v>0</v>
      </c>
      <c r="BV114" s="41" t="n">
        <v>0</v>
      </c>
      <c r="BW114" s="41" t="n">
        <v>0</v>
      </c>
      <c r="BX114" s="41" t="n">
        <v>0</v>
      </c>
      <c r="BY114" s="41" t="n">
        <v>0</v>
      </c>
      <c r="BZ114" s="41" t="n">
        <v>0</v>
      </c>
      <c r="CA114" s="41" t="n">
        <v>0</v>
      </c>
      <c r="CB114" s="41" t="n">
        <v>0</v>
      </c>
      <c r="CC114" s="41" t="n">
        <v>0</v>
      </c>
      <c r="CD114" s="41" t="n">
        <v>0</v>
      </c>
      <c r="CE114" s="41" t="n">
        <v>0</v>
      </c>
      <c r="CF114" s="41" t="n">
        <v>0</v>
      </c>
      <c r="CG114" s="41" t="n">
        <v>0</v>
      </c>
      <c r="CH114" s="41" t="n">
        <v>0</v>
      </c>
      <c r="CI114" s="25"/>
    </row>
    <row r="115" customFormat="false" ht="15" hidden="false" customHeight="true" outlineLevel="0" collapsed="false">
      <c r="A115" s="42" t="s">
        <v>140</v>
      </c>
      <c r="B115" s="43"/>
      <c r="C115" s="44" t="n">
        <f aca="false">MAX(0,C111+C112+C113+C114)</f>
        <v>0</v>
      </c>
      <c r="D115" s="44" t="n">
        <f aca="false">MAX(0,D111+D112+D113+D114)</f>
        <v>0</v>
      </c>
      <c r="E115" s="44" t="n">
        <f aca="false">MAX(0,E111+E112+E113+E114)</f>
        <v>0</v>
      </c>
      <c r="F115" s="44" t="n">
        <f aca="false">MAX(0,F111+F112+F113+F114)</f>
        <v>0</v>
      </c>
      <c r="G115" s="44" t="n">
        <f aca="false">MAX(0,G111+G112+G113+G114)</f>
        <v>0</v>
      </c>
      <c r="H115" s="44" t="n">
        <f aca="false">MAX(0,H111+H112+H113+H114)</f>
        <v>0</v>
      </c>
      <c r="I115" s="44" t="n">
        <f aca="false">MAX(0,I111+I112+I113+I114)</f>
        <v>0</v>
      </c>
      <c r="J115" s="44" t="n">
        <f aca="false">MAX(0,J111+J112+J113+J114)</f>
        <v>0</v>
      </c>
      <c r="K115" s="44" t="n">
        <f aca="false">MAX(0,K111+K112+K113+K114)</f>
        <v>0</v>
      </c>
      <c r="L115" s="44" t="n">
        <f aca="false">MAX(0,L111+L112+L113+L114)</f>
        <v>0</v>
      </c>
      <c r="M115" s="44" t="n">
        <f aca="false">MAX(0,M111+M112+M113+M114)</f>
        <v>0</v>
      </c>
      <c r="N115" s="44" t="n">
        <f aca="false">MAX(0,N111+N112+N113+N114)</f>
        <v>0</v>
      </c>
      <c r="O115" s="44" t="n">
        <f aca="false">MAX(0,O111+O112+O113+O114)</f>
        <v>0</v>
      </c>
      <c r="P115" s="44" t="n">
        <f aca="false">MAX(0,P111+P112+P113+P114)</f>
        <v>0</v>
      </c>
      <c r="Q115" s="44" t="n">
        <f aca="false">MAX(0,Q111+Q112+Q113+Q114)</f>
        <v>0</v>
      </c>
      <c r="R115" s="44" t="n">
        <f aca="false">MAX(0,R111+R112+R113+R114)</f>
        <v>0</v>
      </c>
      <c r="S115" s="44" t="n">
        <f aca="false">MAX(0,S111+S112+S113+S114)</f>
        <v>0</v>
      </c>
      <c r="T115" s="44" t="n">
        <f aca="false">MAX(0,T111+T112+T113+T114)</f>
        <v>0</v>
      </c>
      <c r="U115" s="44" t="n">
        <f aca="false">MAX(0,U111+U112+U113+U114)</f>
        <v>0</v>
      </c>
      <c r="V115" s="44" t="n">
        <f aca="false">MAX(0,V111+V112+V113+V114)</f>
        <v>0</v>
      </c>
      <c r="W115" s="44" t="n">
        <f aca="false">MAX(0,W111+W112+W113+W114)</f>
        <v>0</v>
      </c>
      <c r="X115" s="44" t="n">
        <f aca="false">MAX(0,X111+X112+X113+X114)</f>
        <v>0</v>
      </c>
      <c r="Y115" s="44" t="n">
        <f aca="false">MAX(0,Y111+Y112+Y113+Y114)</f>
        <v>0</v>
      </c>
      <c r="Z115" s="44" t="n">
        <f aca="false">MAX(0,Z111+Z112+Z113+Z114)</f>
        <v>0</v>
      </c>
      <c r="AA115" s="44" t="n">
        <f aca="false">MAX(0,AA111+AA112+AA113+AA114)</f>
        <v>0</v>
      </c>
      <c r="AB115" s="44" t="n">
        <f aca="false">MAX(0,AB111+AB112+AB113+AB114)</f>
        <v>0</v>
      </c>
      <c r="AC115" s="44" t="n">
        <f aca="false">MAX(0,AC111+AC112+AC113+AC114)</f>
        <v>0</v>
      </c>
      <c r="AD115" s="44" t="n">
        <f aca="false">MAX(0,AD111+AD112+AD113+AD114)</f>
        <v>0</v>
      </c>
      <c r="AE115" s="44" t="n">
        <f aca="false">MAX(0,AE111+AE112+AE113+AE114)</f>
        <v>0</v>
      </c>
      <c r="AF115" s="44" t="n">
        <f aca="false">MAX(0,AF111+AF112+AF113+AF114)</f>
        <v>0</v>
      </c>
      <c r="AG115" s="44" t="n">
        <f aca="false">MAX(0,AG111+AG112+AG113+AG114)</f>
        <v>0</v>
      </c>
      <c r="AH115" s="44" t="n">
        <f aca="false">MAX(0,AH111+AH112+AH113+AH114)</f>
        <v>0</v>
      </c>
      <c r="AI115" s="44" t="n">
        <f aca="false">MAX(0,AI111+AI112+AI113+AI114)</f>
        <v>0</v>
      </c>
      <c r="AJ115" s="44" t="n">
        <f aca="false">MAX(0,AJ111+AJ112+AJ113+AJ114)</f>
        <v>0</v>
      </c>
      <c r="AK115" s="44" t="n">
        <f aca="false">MAX(0,AK111+AK112+AK113+AK114)</f>
        <v>0</v>
      </c>
      <c r="AL115" s="44" t="n">
        <f aca="false">MAX(0,AL111+AL112+AL113+AL114)</f>
        <v>0</v>
      </c>
      <c r="AM115" s="44" t="n">
        <f aca="false">MAX(0,AM111+AM112+AM113+AM114)</f>
        <v>0</v>
      </c>
      <c r="AN115" s="44" t="n">
        <f aca="false">MAX(0,AN111+AN112+AN113+AN114)</f>
        <v>0</v>
      </c>
      <c r="AO115" s="44" t="n">
        <f aca="false">MAX(0,AO111+AO112+AO113+AO114)</f>
        <v>0</v>
      </c>
      <c r="AP115" s="44" t="n">
        <f aca="false">MAX(0,AP111+AP112+AP113+AP114)</f>
        <v>0</v>
      </c>
      <c r="AQ115" s="44" t="n">
        <f aca="false">MAX(0,AQ111+AQ112+AQ113+AQ114)</f>
        <v>0</v>
      </c>
      <c r="AR115" s="44" t="n">
        <f aca="false">MAX(0,AR111+AR112+AR113+AR114)</f>
        <v>0</v>
      </c>
      <c r="AS115" s="44" t="n">
        <f aca="false">MAX(0,AS111+AS112+AS113+AS114)</f>
        <v>0</v>
      </c>
      <c r="AT115" s="44" t="n">
        <f aca="false">MAX(0,AT111+AT112+AT113+AT114)</f>
        <v>0</v>
      </c>
      <c r="AU115" s="44" t="n">
        <f aca="false">MAX(0,AU111+AU112+AU113+AU114)</f>
        <v>0</v>
      </c>
      <c r="AV115" s="44" t="n">
        <f aca="false">MAX(0,AV111+AV112+AV113+AV114)</f>
        <v>0</v>
      </c>
      <c r="AW115" s="44" t="n">
        <f aca="false">MAX(0,AW111+AW112+AW113+AW114)</f>
        <v>0</v>
      </c>
      <c r="AX115" s="44" t="n">
        <f aca="false">MAX(0,AX111+AX112+AX113+AX114)</f>
        <v>0</v>
      </c>
      <c r="AY115" s="44" t="n">
        <f aca="false">MAX(0,AY111+AY112+AY113+AY114)</f>
        <v>0</v>
      </c>
      <c r="AZ115" s="44" t="n">
        <f aca="false">MAX(0,AZ111+AZ112+AZ113+AZ114)</f>
        <v>0</v>
      </c>
      <c r="BA115" s="44" t="n">
        <f aca="false">MAX(0,BA111+BA112+BA113+BA114)</f>
        <v>0</v>
      </c>
      <c r="BB115" s="44" t="n">
        <f aca="false">MAX(0,BB111+BB112+BB113+BB114)</f>
        <v>0</v>
      </c>
      <c r="BC115" s="44" t="n">
        <f aca="false">MAX(0,BC111+BC112+BC113+BC114)</f>
        <v>0</v>
      </c>
      <c r="BD115" s="44" t="n">
        <f aca="false">MAX(0,BD111+BD112+BD113+BD114)</f>
        <v>0</v>
      </c>
      <c r="BE115" s="44" t="n">
        <f aca="false">MAX(0,BE111+BE112+BE113+BE114)</f>
        <v>0</v>
      </c>
      <c r="BF115" s="44" t="n">
        <f aca="false">MAX(0,BF111+BF112+BF113+BF114)</f>
        <v>0</v>
      </c>
      <c r="BG115" s="44" t="n">
        <f aca="false">MAX(0,BG111+BG112+BG113+BG114)</f>
        <v>0</v>
      </c>
      <c r="BH115" s="44" t="n">
        <f aca="false">MAX(0,BH111+BH112+BH113+BH114)</f>
        <v>0</v>
      </c>
      <c r="BI115" s="44" t="n">
        <f aca="false">MAX(0,BI111+BI112+BI113+BI114)</f>
        <v>0</v>
      </c>
      <c r="BJ115" s="44" t="n">
        <f aca="false">MAX(0,BJ111+BJ112+BJ113+BJ114)</f>
        <v>0</v>
      </c>
      <c r="BK115" s="44" t="n">
        <f aca="false">MAX(0,BK111+BK112+BK113+BK114)</f>
        <v>0</v>
      </c>
      <c r="BL115" s="44" t="n">
        <f aca="false">MAX(0,BL111+BL112+BL113+BL114)</f>
        <v>0</v>
      </c>
      <c r="BM115" s="44" t="n">
        <f aca="false">MAX(0,BM111+BM112+BM113+BM114)</f>
        <v>0</v>
      </c>
      <c r="BN115" s="44" t="n">
        <f aca="false">MAX(0,BN111+BN112+BN113+BN114)</f>
        <v>0</v>
      </c>
      <c r="BO115" s="44" t="n">
        <f aca="false">MAX(0,BO111+BO112+BO113+BO114)</f>
        <v>0</v>
      </c>
      <c r="BP115" s="44" t="n">
        <f aca="false">MAX(0,BP111+BP112+BP113+BP114)</f>
        <v>0</v>
      </c>
      <c r="BQ115" s="44" t="n">
        <f aca="false">MAX(0,BQ111+BQ112+BQ113+BQ114)</f>
        <v>0</v>
      </c>
      <c r="BR115" s="44" t="n">
        <f aca="false">MAX(0,BR111+BR112+BR113+BR114)</f>
        <v>0</v>
      </c>
      <c r="BS115" s="44" t="n">
        <f aca="false">MAX(0,BS111+BS112+BS113+BS114)</f>
        <v>0</v>
      </c>
      <c r="BT115" s="44" t="n">
        <f aca="false">MAX(0,BT111+BT112+BT113+BT114)</f>
        <v>0</v>
      </c>
      <c r="BU115" s="44" t="n">
        <f aca="false">MAX(0,BU111+BU112+BU113+BU114)</f>
        <v>0</v>
      </c>
      <c r="BV115" s="44" t="n">
        <f aca="false">MAX(0,BV111+BV112+BV113+BV114)</f>
        <v>0</v>
      </c>
      <c r="BW115" s="44" t="n">
        <f aca="false">MAX(0,BW111+BW112+BW113+BW114)</f>
        <v>0</v>
      </c>
      <c r="BX115" s="44" t="n">
        <f aca="false">MAX(0,BX111+BX112+BX113+BX114)</f>
        <v>0</v>
      </c>
      <c r="BY115" s="44" t="n">
        <f aca="false">MAX(0,BY111+BY112+BY113+BY114)</f>
        <v>0</v>
      </c>
      <c r="BZ115" s="44" t="n">
        <f aca="false">MAX(0,BZ111+BZ112+BZ113+BZ114)</f>
        <v>0</v>
      </c>
      <c r="CA115" s="44" t="n">
        <f aca="false">MAX(0,CA111+CA112+CA113+CA114)</f>
        <v>0</v>
      </c>
      <c r="CB115" s="44" t="n">
        <f aca="false">MAX(0,CB111+CB112+CB113+CB114)</f>
        <v>0</v>
      </c>
      <c r="CC115" s="44" t="n">
        <f aca="false">MAX(0,CC111+CC112+CC113+CC114)</f>
        <v>0</v>
      </c>
      <c r="CD115" s="44" t="n">
        <f aca="false">MAX(0,CD111+CD112+CD113+CD114)</f>
        <v>0</v>
      </c>
      <c r="CE115" s="44" t="n">
        <f aca="false">MAX(0,CE111+CE112+CE113+CE114)</f>
        <v>0</v>
      </c>
      <c r="CF115" s="44" t="n">
        <f aca="false">MAX(0,CF111+CF112+CF113+CF114)</f>
        <v>0</v>
      </c>
      <c r="CG115" s="44" t="n">
        <f aca="false">MAX(0,CG111+CG112+CG113+CG114)</f>
        <v>0</v>
      </c>
      <c r="CH115" s="44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9" t="n">
        <f aca="false">IF(AND(Projects!$G$12="Yes",Projects!$C$12&lt;=1),Assumptions!$B$61,0)</f>
        <v>0</v>
      </c>
      <c r="D116" s="39" t="n">
        <f aca="false">IF(AND(Projects!$G$12="Yes",2=Projects!$C$12),Assumptions!$B$61,C120)</f>
        <v>0</v>
      </c>
      <c r="E116" s="39" t="n">
        <f aca="false">IF(AND(Projects!$G$12="Yes",3=Projects!$C$12),Assumptions!$B$61,D120)</f>
        <v>0</v>
      </c>
      <c r="F116" s="39" t="n">
        <f aca="false">IF(AND(Projects!$G$12="Yes",4=Projects!$C$12),Assumptions!$B$61,E120)</f>
        <v>0</v>
      </c>
      <c r="G116" s="39" t="n">
        <f aca="false">IF(AND(Projects!$G$12="Yes",5=Projects!$C$12),Assumptions!$B$61,F120)</f>
        <v>0</v>
      </c>
      <c r="H116" s="39" t="n">
        <f aca="false">IF(AND(Projects!$G$12="Yes",6=Projects!$C$12),Assumptions!$B$61,G120)</f>
        <v>0</v>
      </c>
      <c r="I116" s="39" t="n">
        <f aca="false">IF(AND(Projects!$G$12="Yes",7=Projects!$C$12),Assumptions!$B$61,H120)</f>
        <v>0</v>
      </c>
      <c r="J116" s="39" t="n">
        <f aca="false">IF(AND(Projects!$G$12="Yes",8=Projects!$C$12),Assumptions!$B$61,I120)</f>
        <v>0</v>
      </c>
      <c r="K116" s="39" t="n">
        <f aca="false">IF(AND(Projects!$G$12="Yes",9=Projects!$C$12),Assumptions!$B$61,J120)</f>
        <v>0</v>
      </c>
      <c r="L116" s="39" t="n">
        <f aca="false">IF(AND(Projects!$G$12="Yes",10=Projects!$C$12),Assumptions!$B$61,K120)</f>
        <v>0</v>
      </c>
      <c r="M116" s="39" t="n">
        <f aca="false">IF(AND(Projects!$G$12="Yes",11=Projects!$C$12),Assumptions!$B$61,L120)</f>
        <v>0</v>
      </c>
      <c r="N116" s="39" t="n">
        <f aca="false">IF(AND(Projects!$G$12="Yes",12=Projects!$C$12),Assumptions!$B$61,M120)</f>
        <v>0</v>
      </c>
      <c r="O116" s="39" t="n">
        <f aca="false">IF(AND(Projects!$G$12="Yes",13=Projects!$C$12),Assumptions!$B$61,N120)</f>
        <v>0</v>
      </c>
      <c r="P116" s="39" t="n">
        <f aca="false">IF(AND(Projects!$G$12="Yes",14=Projects!$C$12),Assumptions!$B$61,O120)</f>
        <v>0</v>
      </c>
      <c r="Q116" s="39" t="n">
        <f aca="false">IF(AND(Projects!$G$12="Yes",15=Projects!$C$12),Assumptions!$B$61,P120)</f>
        <v>0</v>
      </c>
      <c r="R116" s="39" t="n">
        <f aca="false">IF(AND(Projects!$G$12="Yes",16=Projects!$C$12),Assumptions!$B$61,Q120)</f>
        <v>0</v>
      </c>
      <c r="S116" s="39" t="n">
        <f aca="false">IF(AND(Projects!$G$12="Yes",17=Projects!$C$12),Assumptions!$B$61,R120)</f>
        <v>0</v>
      </c>
      <c r="T116" s="39" t="n">
        <f aca="false">IF(AND(Projects!$G$12="Yes",18=Projects!$C$12),Assumptions!$B$61,S120)</f>
        <v>0</v>
      </c>
      <c r="U116" s="39" t="n">
        <f aca="false">IF(AND(Projects!$G$12="Yes",19=Projects!$C$12),Assumptions!$B$61,T120)</f>
        <v>0</v>
      </c>
      <c r="V116" s="39" t="n">
        <f aca="false">IF(AND(Projects!$G$12="Yes",20=Projects!$C$12),Assumptions!$B$61,U120)</f>
        <v>0</v>
      </c>
      <c r="W116" s="39" t="n">
        <f aca="false">IF(AND(Projects!$G$12="Yes",21=Projects!$C$12),Assumptions!$B$61,V120)</f>
        <v>0</v>
      </c>
      <c r="X116" s="39" t="n">
        <f aca="false">IF(AND(Projects!$G$12="Yes",22=Projects!$C$12),Assumptions!$B$61,W120)</f>
        <v>0</v>
      </c>
      <c r="Y116" s="39" t="n">
        <f aca="false">IF(AND(Projects!$G$12="Yes",23=Projects!$C$12),Assumptions!$B$61,X120)</f>
        <v>0</v>
      </c>
      <c r="Z116" s="39" t="n">
        <f aca="false">IF(AND(Projects!$G$12="Yes",24=Projects!$C$12),Assumptions!$B$61,Y120)</f>
        <v>0</v>
      </c>
      <c r="AA116" s="39" t="n">
        <f aca="false">IF(AND(Projects!$G$12="Yes",25=Projects!$C$12),Assumptions!$B$61,Z120)</f>
        <v>0</v>
      </c>
      <c r="AB116" s="39" t="n">
        <f aca="false">IF(AND(Projects!$G$12="Yes",26=Projects!$C$12),Assumptions!$B$61,AA120)</f>
        <v>0</v>
      </c>
      <c r="AC116" s="39" t="n">
        <f aca="false">IF(AND(Projects!$G$12="Yes",27=Projects!$C$12),Assumptions!$B$61,AB120)</f>
        <v>0</v>
      </c>
      <c r="AD116" s="39" t="n">
        <f aca="false">IF(AND(Projects!$G$12="Yes",28=Projects!$C$12),Assumptions!$B$61,AC120)</f>
        <v>0</v>
      </c>
      <c r="AE116" s="39" t="n">
        <f aca="false">IF(AND(Projects!$G$12="Yes",29=Projects!$C$12),Assumptions!$B$61,AD120)</f>
        <v>0</v>
      </c>
      <c r="AF116" s="39" t="n">
        <f aca="false">IF(AND(Projects!$G$12="Yes",30=Projects!$C$12),Assumptions!$B$61,AE120)</f>
        <v>0</v>
      </c>
      <c r="AG116" s="39" t="n">
        <f aca="false">IF(AND(Projects!$G$12="Yes",31=Projects!$C$12),Assumptions!$B$61,AF120)</f>
        <v>0</v>
      </c>
      <c r="AH116" s="39" t="n">
        <f aca="false">IF(AND(Projects!$G$12="Yes",32=Projects!$C$12),Assumptions!$B$61,AG120)</f>
        <v>0</v>
      </c>
      <c r="AI116" s="39" t="n">
        <f aca="false">IF(AND(Projects!$G$12="Yes",33=Projects!$C$12),Assumptions!$B$61,AH120)</f>
        <v>0</v>
      </c>
      <c r="AJ116" s="39" t="n">
        <f aca="false">IF(AND(Projects!$G$12="Yes",34=Projects!$C$12),Assumptions!$B$61,AI120)</f>
        <v>0</v>
      </c>
      <c r="AK116" s="39" t="n">
        <f aca="false">IF(AND(Projects!$G$12="Yes",35=Projects!$C$12),Assumptions!$B$61,AJ120)</f>
        <v>0</v>
      </c>
      <c r="AL116" s="39" t="n">
        <f aca="false">IF(AND(Projects!$G$12="Yes",36=Projects!$C$12),Assumptions!$B$61,AK120)</f>
        <v>0</v>
      </c>
      <c r="AM116" s="39" t="n">
        <f aca="false">IF(AND(Projects!$G$12="Yes",37=Projects!$C$12),Assumptions!$B$61,AL120)</f>
        <v>0</v>
      </c>
      <c r="AN116" s="39" t="n">
        <f aca="false">IF(AND(Projects!$G$12="Yes",38=Projects!$C$12),Assumptions!$B$61,AM120)</f>
        <v>0</v>
      </c>
      <c r="AO116" s="39" t="n">
        <f aca="false">IF(AND(Projects!$G$12="Yes",39=Projects!$C$12),Assumptions!$B$61,AN120)</f>
        <v>0</v>
      </c>
      <c r="AP116" s="39" t="n">
        <f aca="false">IF(AND(Projects!$G$12="Yes",40=Projects!$C$12),Assumptions!$B$61,AO120)</f>
        <v>0</v>
      </c>
      <c r="AQ116" s="39" t="n">
        <f aca="false">IF(AND(Projects!$G$12="Yes",41=Projects!$C$12),Assumptions!$B$61,AP120)</f>
        <v>0</v>
      </c>
      <c r="AR116" s="39" t="n">
        <f aca="false">IF(AND(Projects!$G$12="Yes",42=Projects!$C$12),Assumptions!$B$61,AQ120)</f>
        <v>0</v>
      </c>
      <c r="AS116" s="39" t="n">
        <f aca="false">IF(AND(Projects!$G$12="Yes",43=Projects!$C$12),Assumptions!$B$61,AR120)</f>
        <v>0</v>
      </c>
      <c r="AT116" s="39" t="n">
        <f aca="false">IF(AND(Projects!$G$12="Yes",44=Projects!$C$12),Assumptions!$B$61,AS120)</f>
        <v>0</v>
      </c>
      <c r="AU116" s="39" t="n">
        <f aca="false">IF(AND(Projects!$G$12="Yes",45=Projects!$C$12),Assumptions!$B$61,AT120)</f>
        <v>0</v>
      </c>
      <c r="AV116" s="39" t="n">
        <f aca="false">IF(AND(Projects!$G$12="Yes",46=Projects!$C$12),Assumptions!$B$61,AU120)</f>
        <v>0</v>
      </c>
      <c r="AW116" s="39" t="n">
        <f aca="false">IF(AND(Projects!$G$12="Yes",47=Projects!$C$12),Assumptions!$B$61,AV120)</f>
        <v>0</v>
      </c>
      <c r="AX116" s="39" t="n">
        <f aca="false">IF(AND(Projects!$G$12="Yes",48=Projects!$C$12),Assumptions!$B$61,AW120)</f>
        <v>0</v>
      </c>
      <c r="AY116" s="39" t="n">
        <f aca="false">IF(AND(Projects!$G$12="Yes",49=Projects!$C$12),Assumptions!$B$61,AX120)</f>
        <v>0</v>
      </c>
      <c r="AZ116" s="39" t="n">
        <f aca="false">IF(AND(Projects!$G$12="Yes",50=Projects!$C$12),Assumptions!$B$61,AY120)</f>
        <v>0</v>
      </c>
      <c r="BA116" s="39" t="n">
        <f aca="false">IF(AND(Projects!$G$12="Yes",51=Projects!$C$12),Assumptions!$B$61,AZ120)</f>
        <v>0</v>
      </c>
      <c r="BB116" s="39" t="n">
        <f aca="false">IF(AND(Projects!$G$12="Yes",52=Projects!$C$12),Assumptions!$B$61,BA120)</f>
        <v>0</v>
      </c>
      <c r="BC116" s="39" t="n">
        <f aca="false">IF(AND(Projects!$G$12="Yes",53=Projects!$C$12),Assumptions!$B$61,BB120)</f>
        <v>0</v>
      </c>
      <c r="BD116" s="39" t="n">
        <f aca="false">IF(AND(Projects!$G$12="Yes",54=Projects!$C$12),Assumptions!$B$61,BC120)</f>
        <v>0</v>
      </c>
      <c r="BE116" s="39" t="n">
        <f aca="false">IF(AND(Projects!$G$12="Yes",55=Projects!$C$12),Assumptions!$B$61,BD120)</f>
        <v>0</v>
      </c>
      <c r="BF116" s="39" t="n">
        <f aca="false">IF(AND(Projects!$G$12="Yes",56=Projects!$C$12),Assumptions!$B$61,BE120)</f>
        <v>0</v>
      </c>
      <c r="BG116" s="39" t="n">
        <f aca="false">IF(AND(Projects!$G$12="Yes",57=Projects!$C$12),Assumptions!$B$61,BF120)</f>
        <v>0</v>
      </c>
      <c r="BH116" s="39" t="n">
        <f aca="false">IF(AND(Projects!$G$12="Yes",58=Projects!$C$12),Assumptions!$B$61,BG120)</f>
        <v>0</v>
      </c>
      <c r="BI116" s="39" t="n">
        <f aca="false">IF(AND(Projects!$G$12="Yes",59=Projects!$C$12),Assumptions!$B$61,BH120)</f>
        <v>0</v>
      </c>
      <c r="BJ116" s="39" t="n">
        <f aca="false">IF(AND(Projects!$G$12="Yes",60=Projects!$C$12),Assumptions!$B$61,BI120)</f>
        <v>0</v>
      </c>
      <c r="BK116" s="39" t="n">
        <f aca="false">IF(AND(Projects!$G$12="Yes",61=Projects!$C$12),Assumptions!$B$61,BJ120)</f>
        <v>0</v>
      </c>
      <c r="BL116" s="39" t="n">
        <f aca="false">IF(AND(Projects!$G$12="Yes",62=Projects!$C$12),Assumptions!$B$61,BK120)</f>
        <v>0</v>
      </c>
      <c r="BM116" s="39" t="n">
        <f aca="false">IF(AND(Projects!$G$12="Yes",63=Projects!$C$12),Assumptions!$B$61,BL120)</f>
        <v>0</v>
      </c>
      <c r="BN116" s="39" t="n">
        <f aca="false">IF(AND(Projects!$G$12="Yes",64=Projects!$C$12),Assumptions!$B$61,BM120)</f>
        <v>0</v>
      </c>
      <c r="BO116" s="39" t="n">
        <f aca="false">IF(AND(Projects!$G$12="Yes",65=Projects!$C$12),Assumptions!$B$61,BN120)</f>
        <v>0</v>
      </c>
      <c r="BP116" s="39" t="n">
        <f aca="false">IF(AND(Projects!$G$12="Yes",66=Projects!$C$12),Assumptions!$B$61,BO120)</f>
        <v>0</v>
      </c>
      <c r="BQ116" s="39" t="n">
        <f aca="false">IF(AND(Projects!$G$12="Yes",67=Projects!$C$12),Assumptions!$B$61,BP120)</f>
        <v>0</v>
      </c>
      <c r="BR116" s="39" t="n">
        <f aca="false">IF(AND(Projects!$G$12="Yes",68=Projects!$C$12),Assumptions!$B$61,BQ120)</f>
        <v>0</v>
      </c>
      <c r="BS116" s="39" t="n">
        <f aca="false">IF(AND(Projects!$G$12="Yes",69=Projects!$C$12),Assumptions!$B$61,BR120)</f>
        <v>0</v>
      </c>
      <c r="BT116" s="39" t="n">
        <f aca="false">IF(AND(Projects!$G$12="Yes",70=Projects!$C$12),Assumptions!$B$61,BS120)</f>
        <v>0</v>
      </c>
      <c r="BU116" s="39" t="n">
        <f aca="false">IF(AND(Projects!$G$12="Yes",71=Projects!$C$12),Assumptions!$B$61,BT120)</f>
        <v>0</v>
      </c>
      <c r="BV116" s="39" t="n">
        <f aca="false">IF(AND(Projects!$G$12="Yes",72=Projects!$C$12),Assumptions!$B$61,BU120)</f>
        <v>0</v>
      </c>
      <c r="BW116" s="39" t="n">
        <f aca="false">IF(AND(Projects!$G$12="Yes",73=Projects!$C$12),Assumptions!$B$61,BV120)</f>
        <v>0</v>
      </c>
      <c r="BX116" s="39" t="n">
        <f aca="false">IF(AND(Projects!$G$12="Yes",74=Projects!$C$12),Assumptions!$B$61,BW120)</f>
        <v>0</v>
      </c>
      <c r="BY116" s="39" t="n">
        <f aca="false">IF(AND(Projects!$G$12="Yes",75=Projects!$C$12),Assumptions!$B$61,BX120)</f>
        <v>0</v>
      </c>
      <c r="BZ116" s="39" t="n">
        <f aca="false">IF(AND(Projects!$G$12="Yes",76=Projects!$C$12),Assumptions!$B$61,BY120)</f>
        <v>0</v>
      </c>
      <c r="CA116" s="39" t="n">
        <f aca="false">IF(AND(Projects!$G$12="Yes",77=Projects!$C$12),Assumptions!$B$61,BZ120)</f>
        <v>0</v>
      </c>
      <c r="CB116" s="39" t="n">
        <f aca="false">IF(AND(Projects!$G$12="Yes",78=Projects!$C$12),Assumptions!$B$61,CA120)</f>
        <v>0</v>
      </c>
      <c r="CC116" s="39" t="n">
        <f aca="false">IF(AND(Projects!$G$12="Yes",79=Projects!$C$12),Assumptions!$B$61,CB120)</f>
        <v>0</v>
      </c>
      <c r="CD116" s="39" t="n">
        <f aca="false">IF(AND(Projects!$G$12="Yes",80=Projects!$C$12),Assumptions!$B$61,CC120)</f>
        <v>0</v>
      </c>
      <c r="CE116" s="39" t="n">
        <f aca="false">IF(AND(Projects!$G$12="Yes",81=Projects!$C$12),Assumptions!$B$61,CD120)</f>
        <v>0</v>
      </c>
      <c r="CF116" s="39" t="n">
        <f aca="false">IF(AND(Projects!$G$12="Yes",82=Projects!$C$12),Assumptions!$B$61,CE120)</f>
        <v>0</v>
      </c>
      <c r="CG116" s="39" t="n">
        <f aca="false">IF(AND(Projects!$G$12="Yes",83=Projects!$C$12),Assumptions!$B$61,CF120)</f>
        <v>0</v>
      </c>
      <c r="CH116" s="39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9" t="n">
        <f aca="false">IF(AND(MOD(1,3)=0,C116&gt;0),C116*Assumptions!$B$59,0)</f>
        <v>0</v>
      </c>
      <c r="D117" s="39" t="n">
        <f aca="false">IF(AND(MOD(2,3)=0,D116&gt;0),D116*Assumptions!$B$59,0)</f>
        <v>0</v>
      </c>
      <c r="E117" s="39" t="n">
        <f aca="false">IF(AND(MOD(3,3)=0,E116&gt;0),E116*Assumptions!$B$59,0)</f>
        <v>0</v>
      </c>
      <c r="F117" s="39" t="n">
        <f aca="false">IF(AND(MOD(4,3)=0,F116&gt;0),F116*Assumptions!$B$59,0)</f>
        <v>0</v>
      </c>
      <c r="G117" s="39" t="n">
        <f aca="false">IF(AND(MOD(5,3)=0,G116&gt;0),G116*Assumptions!$B$59,0)</f>
        <v>0</v>
      </c>
      <c r="H117" s="39" t="n">
        <f aca="false">IF(AND(MOD(6,3)=0,H116&gt;0),H116*Assumptions!$B$59,0)</f>
        <v>0</v>
      </c>
      <c r="I117" s="39" t="n">
        <f aca="false">IF(AND(MOD(7,3)=0,I116&gt;0),I116*Assumptions!$B$59,0)</f>
        <v>0</v>
      </c>
      <c r="J117" s="39" t="n">
        <f aca="false">IF(AND(MOD(8,3)=0,J116&gt;0),J116*Assumptions!$B$59,0)</f>
        <v>0</v>
      </c>
      <c r="K117" s="39" t="n">
        <f aca="false">IF(AND(MOD(9,3)=0,K116&gt;0),K116*Assumptions!$B$59,0)</f>
        <v>0</v>
      </c>
      <c r="L117" s="39" t="n">
        <f aca="false">IF(AND(MOD(10,3)=0,L116&gt;0),L116*Assumptions!$B$59,0)</f>
        <v>0</v>
      </c>
      <c r="M117" s="39" t="n">
        <f aca="false">IF(AND(MOD(11,3)=0,M116&gt;0),M116*Assumptions!$B$59,0)</f>
        <v>0</v>
      </c>
      <c r="N117" s="39" t="n">
        <f aca="false">IF(AND(MOD(12,3)=0,N116&gt;0),N116*Assumptions!$B$59,0)</f>
        <v>0</v>
      </c>
      <c r="O117" s="39" t="n">
        <f aca="false">IF(AND(MOD(13,3)=0,O116&gt;0),O116*Assumptions!$B$59,0)</f>
        <v>0</v>
      </c>
      <c r="P117" s="39" t="n">
        <f aca="false">IF(AND(MOD(14,3)=0,P116&gt;0),P116*Assumptions!$B$59,0)</f>
        <v>0</v>
      </c>
      <c r="Q117" s="39" t="n">
        <f aca="false">IF(AND(MOD(15,3)=0,Q116&gt;0),Q116*Assumptions!$B$59,0)</f>
        <v>0</v>
      </c>
      <c r="R117" s="39" t="n">
        <f aca="false">IF(AND(MOD(16,3)=0,R116&gt;0),R116*Assumptions!$B$59,0)</f>
        <v>0</v>
      </c>
      <c r="S117" s="39" t="n">
        <f aca="false">IF(AND(MOD(17,3)=0,S116&gt;0),S116*Assumptions!$B$59,0)</f>
        <v>0</v>
      </c>
      <c r="T117" s="39" t="n">
        <f aca="false">IF(AND(MOD(18,3)=0,T116&gt;0),T116*Assumptions!$B$59,0)</f>
        <v>0</v>
      </c>
      <c r="U117" s="39" t="n">
        <f aca="false">IF(AND(MOD(19,3)=0,U116&gt;0),U116*Assumptions!$B$59,0)</f>
        <v>0</v>
      </c>
      <c r="V117" s="39" t="n">
        <f aca="false">IF(AND(MOD(20,3)=0,V116&gt;0),V116*Assumptions!$B$59,0)</f>
        <v>0</v>
      </c>
      <c r="W117" s="39" t="n">
        <f aca="false">IF(AND(MOD(21,3)=0,W116&gt;0),W116*Assumptions!$B$59,0)</f>
        <v>0</v>
      </c>
      <c r="X117" s="39" t="n">
        <f aca="false">IF(AND(MOD(22,3)=0,X116&gt;0),X116*Assumptions!$B$59,0)</f>
        <v>0</v>
      </c>
      <c r="Y117" s="39" t="n">
        <f aca="false">IF(AND(MOD(23,3)=0,Y116&gt;0),Y116*Assumptions!$B$59,0)</f>
        <v>0</v>
      </c>
      <c r="Z117" s="39" t="n">
        <f aca="false">IF(AND(MOD(24,3)=0,Z116&gt;0),Z116*Assumptions!$B$59,0)</f>
        <v>0</v>
      </c>
      <c r="AA117" s="39" t="n">
        <f aca="false">IF(AND(MOD(25,3)=0,AA116&gt;0),AA116*Assumptions!$B$59,0)</f>
        <v>0</v>
      </c>
      <c r="AB117" s="39" t="n">
        <f aca="false">IF(AND(MOD(26,3)=0,AB116&gt;0),AB116*Assumptions!$B$59,0)</f>
        <v>0</v>
      </c>
      <c r="AC117" s="39" t="n">
        <f aca="false">IF(AND(MOD(27,3)=0,AC116&gt;0),AC116*Assumptions!$B$59,0)</f>
        <v>0</v>
      </c>
      <c r="AD117" s="39" t="n">
        <f aca="false">IF(AND(MOD(28,3)=0,AD116&gt;0),AD116*Assumptions!$B$59,0)</f>
        <v>0</v>
      </c>
      <c r="AE117" s="39" t="n">
        <f aca="false">IF(AND(MOD(29,3)=0,AE116&gt;0),AE116*Assumptions!$B$59,0)</f>
        <v>0</v>
      </c>
      <c r="AF117" s="39" t="n">
        <f aca="false">IF(AND(MOD(30,3)=0,AF116&gt;0),AF116*Assumptions!$B$59,0)</f>
        <v>0</v>
      </c>
      <c r="AG117" s="39" t="n">
        <f aca="false">IF(AND(MOD(31,3)=0,AG116&gt;0),AG116*Assumptions!$B$59,0)</f>
        <v>0</v>
      </c>
      <c r="AH117" s="39" t="n">
        <f aca="false">IF(AND(MOD(32,3)=0,AH116&gt;0),AH116*Assumptions!$B$59,0)</f>
        <v>0</v>
      </c>
      <c r="AI117" s="39" t="n">
        <f aca="false">IF(AND(MOD(33,3)=0,AI116&gt;0),AI116*Assumptions!$B$59,0)</f>
        <v>0</v>
      </c>
      <c r="AJ117" s="39" t="n">
        <f aca="false">IF(AND(MOD(34,3)=0,AJ116&gt;0),AJ116*Assumptions!$B$59,0)</f>
        <v>0</v>
      </c>
      <c r="AK117" s="39" t="n">
        <f aca="false">IF(AND(MOD(35,3)=0,AK116&gt;0),AK116*Assumptions!$B$59,0)</f>
        <v>0</v>
      </c>
      <c r="AL117" s="39" t="n">
        <f aca="false">IF(AND(MOD(36,3)=0,AL116&gt;0),AL116*Assumptions!$B$59,0)</f>
        <v>0</v>
      </c>
      <c r="AM117" s="39" t="n">
        <f aca="false">IF(AND(MOD(37,3)=0,AM116&gt;0),AM116*Assumptions!$B$59,0)</f>
        <v>0</v>
      </c>
      <c r="AN117" s="39" t="n">
        <f aca="false">IF(AND(MOD(38,3)=0,AN116&gt;0),AN116*Assumptions!$B$59,0)</f>
        <v>0</v>
      </c>
      <c r="AO117" s="39" t="n">
        <f aca="false">IF(AND(MOD(39,3)=0,AO116&gt;0),AO116*Assumptions!$B$59,0)</f>
        <v>0</v>
      </c>
      <c r="AP117" s="39" t="n">
        <f aca="false">IF(AND(MOD(40,3)=0,AP116&gt;0),AP116*Assumptions!$B$59,0)</f>
        <v>0</v>
      </c>
      <c r="AQ117" s="39" t="n">
        <f aca="false">IF(AND(MOD(41,3)=0,AQ116&gt;0),AQ116*Assumptions!$B$59,0)</f>
        <v>0</v>
      </c>
      <c r="AR117" s="39" t="n">
        <f aca="false">IF(AND(MOD(42,3)=0,AR116&gt;0),AR116*Assumptions!$B$59,0)</f>
        <v>0</v>
      </c>
      <c r="AS117" s="39" t="n">
        <f aca="false">IF(AND(MOD(43,3)=0,AS116&gt;0),AS116*Assumptions!$B$59,0)</f>
        <v>0</v>
      </c>
      <c r="AT117" s="39" t="n">
        <f aca="false">IF(AND(MOD(44,3)=0,AT116&gt;0),AT116*Assumptions!$B$59,0)</f>
        <v>0</v>
      </c>
      <c r="AU117" s="39" t="n">
        <f aca="false">IF(AND(MOD(45,3)=0,AU116&gt;0),AU116*Assumptions!$B$59,0)</f>
        <v>0</v>
      </c>
      <c r="AV117" s="39" t="n">
        <f aca="false">IF(AND(MOD(46,3)=0,AV116&gt;0),AV116*Assumptions!$B$59,0)</f>
        <v>0</v>
      </c>
      <c r="AW117" s="39" t="n">
        <f aca="false">IF(AND(MOD(47,3)=0,AW116&gt;0),AW116*Assumptions!$B$59,0)</f>
        <v>0</v>
      </c>
      <c r="AX117" s="39" t="n">
        <f aca="false">IF(AND(MOD(48,3)=0,AX116&gt;0),AX116*Assumptions!$B$59,0)</f>
        <v>0</v>
      </c>
      <c r="AY117" s="39" t="n">
        <f aca="false">IF(AND(MOD(49,3)=0,AY116&gt;0),AY116*Assumptions!$B$59,0)</f>
        <v>0</v>
      </c>
      <c r="AZ117" s="39" t="n">
        <f aca="false">IF(AND(MOD(50,3)=0,AZ116&gt;0),AZ116*Assumptions!$B$59,0)</f>
        <v>0</v>
      </c>
      <c r="BA117" s="39" t="n">
        <f aca="false">IF(AND(MOD(51,3)=0,BA116&gt;0),BA116*Assumptions!$B$59,0)</f>
        <v>0</v>
      </c>
      <c r="BB117" s="39" t="n">
        <f aca="false">IF(AND(MOD(52,3)=0,BB116&gt;0),BB116*Assumptions!$B$59,0)</f>
        <v>0</v>
      </c>
      <c r="BC117" s="39" t="n">
        <f aca="false">IF(AND(MOD(53,3)=0,BC116&gt;0),BC116*Assumptions!$B$59,0)</f>
        <v>0</v>
      </c>
      <c r="BD117" s="39" t="n">
        <f aca="false">IF(AND(MOD(54,3)=0,BD116&gt;0),BD116*Assumptions!$B$59,0)</f>
        <v>0</v>
      </c>
      <c r="BE117" s="39" t="n">
        <f aca="false">IF(AND(MOD(55,3)=0,BE116&gt;0),BE116*Assumptions!$B$59,0)</f>
        <v>0</v>
      </c>
      <c r="BF117" s="39" t="n">
        <f aca="false">IF(AND(MOD(56,3)=0,BF116&gt;0),BF116*Assumptions!$B$59,0)</f>
        <v>0</v>
      </c>
      <c r="BG117" s="39" t="n">
        <f aca="false">IF(AND(MOD(57,3)=0,BG116&gt;0),BG116*Assumptions!$B$59,0)</f>
        <v>0</v>
      </c>
      <c r="BH117" s="39" t="n">
        <f aca="false">IF(AND(MOD(58,3)=0,BH116&gt;0),BH116*Assumptions!$B$59,0)</f>
        <v>0</v>
      </c>
      <c r="BI117" s="39" t="n">
        <f aca="false">IF(AND(MOD(59,3)=0,BI116&gt;0),BI116*Assumptions!$B$59,0)</f>
        <v>0</v>
      </c>
      <c r="BJ117" s="39" t="n">
        <f aca="false">IF(AND(MOD(60,3)=0,BJ116&gt;0),BJ116*Assumptions!$B$59,0)</f>
        <v>0</v>
      </c>
      <c r="BK117" s="39" t="n">
        <f aca="false">IF(AND(MOD(61,3)=0,BK116&gt;0),BK116*Assumptions!$B$59,0)</f>
        <v>0</v>
      </c>
      <c r="BL117" s="39" t="n">
        <f aca="false">IF(AND(MOD(62,3)=0,BL116&gt;0),BL116*Assumptions!$B$59,0)</f>
        <v>0</v>
      </c>
      <c r="BM117" s="39" t="n">
        <f aca="false">IF(AND(MOD(63,3)=0,BM116&gt;0),BM116*Assumptions!$B$59,0)</f>
        <v>0</v>
      </c>
      <c r="BN117" s="39" t="n">
        <f aca="false">IF(AND(MOD(64,3)=0,BN116&gt;0),BN116*Assumptions!$B$59,0)</f>
        <v>0</v>
      </c>
      <c r="BO117" s="39" t="n">
        <f aca="false">IF(AND(MOD(65,3)=0,BO116&gt;0),BO116*Assumptions!$B$59,0)</f>
        <v>0</v>
      </c>
      <c r="BP117" s="39" t="n">
        <f aca="false">IF(AND(MOD(66,3)=0,BP116&gt;0),BP116*Assumptions!$B$59,0)</f>
        <v>0</v>
      </c>
      <c r="BQ117" s="39" t="n">
        <f aca="false">IF(AND(MOD(67,3)=0,BQ116&gt;0),BQ116*Assumptions!$B$59,0)</f>
        <v>0</v>
      </c>
      <c r="BR117" s="39" t="n">
        <f aca="false">IF(AND(MOD(68,3)=0,BR116&gt;0),BR116*Assumptions!$B$59,0)</f>
        <v>0</v>
      </c>
      <c r="BS117" s="39" t="n">
        <f aca="false">IF(AND(MOD(69,3)=0,BS116&gt;0),BS116*Assumptions!$B$59,0)</f>
        <v>0</v>
      </c>
      <c r="BT117" s="39" t="n">
        <f aca="false">IF(AND(MOD(70,3)=0,BT116&gt;0),BT116*Assumptions!$B$59,0)</f>
        <v>0</v>
      </c>
      <c r="BU117" s="39" t="n">
        <f aca="false">IF(AND(MOD(71,3)=0,BU116&gt;0),BU116*Assumptions!$B$59,0)</f>
        <v>0</v>
      </c>
      <c r="BV117" s="39" t="n">
        <f aca="false">IF(AND(MOD(72,3)=0,BV116&gt;0),BV116*Assumptions!$B$59,0)</f>
        <v>0</v>
      </c>
      <c r="BW117" s="39" t="n">
        <f aca="false">IF(AND(MOD(73,3)=0,BW116&gt;0),BW116*Assumptions!$B$59,0)</f>
        <v>0</v>
      </c>
      <c r="BX117" s="39" t="n">
        <f aca="false">IF(AND(MOD(74,3)=0,BX116&gt;0),BX116*Assumptions!$B$59,0)</f>
        <v>0</v>
      </c>
      <c r="BY117" s="39" t="n">
        <f aca="false">IF(AND(MOD(75,3)=0,BY116&gt;0),BY116*Assumptions!$B$59,0)</f>
        <v>0</v>
      </c>
      <c r="BZ117" s="39" t="n">
        <f aca="false">IF(AND(MOD(76,3)=0,BZ116&gt;0),BZ116*Assumptions!$B$59,0)</f>
        <v>0</v>
      </c>
      <c r="CA117" s="39" t="n">
        <f aca="false">IF(AND(MOD(77,3)=0,CA116&gt;0),CA116*Assumptions!$B$59,0)</f>
        <v>0</v>
      </c>
      <c r="CB117" s="39" t="n">
        <f aca="false">IF(AND(MOD(78,3)=0,CB116&gt;0),CB116*Assumptions!$B$59,0)</f>
        <v>0</v>
      </c>
      <c r="CC117" s="39" t="n">
        <f aca="false">IF(AND(MOD(79,3)=0,CC116&gt;0),CC116*Assumptions!$B$59,0)</f>
        <v>0</v>
      </c>
      <c r="CD117" s="39" t="n">
        <f aca="false">IF(AND(MOD(80,3)=0,CD116&gt;0),CD116*Assumptions!$B$59,0)</f>
        <v>0</v>
      </c>
      <c r="CE117" s="39" t="n">
        <f aca="false">IF(AND(MOD(81,3)=0,CE116&gt;0),CE116*Assumptions!$B$59,0)</f>
        <v>0</v>
      </c>
      <c r="CF117" s="39" t="n">
        <f aca="false">IF(AND(MOD(82,3)=0,CF116&gt;0),CF116*Assumptions!$B$59,0)</f>
        <v>0</v>
      </c>
      <c r="CG117" s="39" t="n">
        <f aca="false">IF(AND(MOD(83,3)=0,CG116&gt;0),CG116*Assumptions!$B$59,0)</f>
        <v>0</v>
      </c>
      <c r="CH117" s="39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9" t="n">
        <v>0</v>
      </c>
      <c r="D118" s="39" t="n">
        <v>0</v>
      </c>
      <c r="E118" s="39" t="n">
        <v>0</v>
      </c>
      <c r="F118" s="39" t="n">
        <v>0</v>
      </c>
      <c r="G118" s="39" t="n">
        <v>0</v>
      </c>
      <c r="H118" s="39" t="n">
        <v>0</v>
      </c>
      <c r="I118" s="39" t="n">
        <v>0</v>
      </c>
      <c r="J118" s="39" t="n">
        <v>0</v>
      </c>
      <c r="K118" s="39" t="n">
        <v>0</v>
      </c>
      <c r="L118" s="39" t="n">
        <v>0</v>
      </c>
      <c r="M118" s="39" t="n">
        <v>0</v>
      </c>
      <c r="N118" s="39" t="n">
        <v>0</v>
      </c>
      <c r="O118" s="39" t="n">
        <v>0</v>
      </c>
      <c r="P118" s="39" t="n">
        <v>0</v>
      </c>
      <c r="Q118" s="39" t="n">
        <v>0</v>
      </c>
      <c r="R118" s="39" t="n">
        <v>0</v>
      </c>
      <c r="S118" s="39" t="n">
        <v>0</v>
      </c>
      <c r="T118" s="39" t="n">
        <v>0</v>
      </c>
      <c r="U118" s="39" t="n">
        <v>0</v>
      </c>
      <c r="V118" s="39" t="n">
        <v>0</v>
      </c>
      <c r="W118" s="39" t="n">
        <v>0</v>
      </c>
      <c r="X118" s="39" t="n">
        <v>0</v>
      </c>
      <c r="Y118" s="39" t="n">
        <v>0</v>
      </c>
      <c r="Z118" s="39" t="n">
        <v>0</v>
      </c>
      <c r="AA118" s="39" t="n">
        <v>0</v>
      </c>
      <c r="AB118" s="39" t="n">
        <v>0</v>
      </c>
      <c r="AC118" s="39" t="n">
        <v>0</v>
      </c>
      <c r="AD118" s="39" t="n">
        <v>0</v>
      </c>
      <c r="AE118" s="39" t="n">
        <v>0</v>
      </c>
      <c r="AF118" s="39" t="n">
        <v>0</v>
      </c>
      <c r="AG118" s="39" t="n">
        <v>0</v>
      </c>
      <c r="AH118" s="39" t="n">
        <v>0</v>
      </c>
      <c r="AI118" s="39" t="n">
        <v>0</v>
      </c>
      <c r="AJ118" s="39" t="n">
        <v>0</v>
      </c>
      <c r="AK118" s="39" t="n">
        <v>0</v>
      </c>
      <c r="AL118" s="39" t="n">
        <v>0</v>
      </c>
      <c r="AM118" s="39" t="n">
        <v>0</v>
      </c>
      <c r="AN118" s="39" t="n">
        <v>0</v>
      </c>
      <c r="AO118" s="39" t="n">
        <v>0</v>
      </c>
      <c r="AP118" s="39" t="n">
        <v>0</v>
      </c>
      <c r="AQ118" s="39" t="n">
        <v>0</v>
      </c>
      <c r="AR118" s="39" t="n">
        <v>0</v>
      </c>
      <c r="AS118" s="39" t="n">
        <v>0</v>
      </c>
      <c r="AT118" s="39" t="n">
        <v>0</v>
      </c>
      <c r="AU118" s="39" t="n">
        <v>0</v>
      </c>
      <c r="AV118" s="39" t="n">
        <v>0</v>
      </c>
      <c r="AW118" s="39" t="n">
        <v>0</v>
      </c>
      <c r="AX118" s="39" t="n">
        <v>0</v>
      </c>
      <c r="AY118" s="39" t="n">
        <v>0</v>
      </c>
      <c r="AZ118" s="39" t="n">
        <v>0</v>
      </c>
      <c r="BA118" s="39" t="n">
        <v>0</v>
      </c>
      <c r="BB118" s="39" t="n">
        <v>0</v>
      </c>
      <c r="BC118" s="39" t="n">
        <v>0</v>
      </c>
      <c r="BD118" s="39" t="n">
        <v>0</v>
      </c>
      <c r="BE118" s="39" t="n">
        <v>0</v>
      </c>
      <c r="BF118" s="39" t="n">
        <v>0</v>
      </c>
      <c r="BG118" s="39" t="n">
        <v>0</v>
      </c>
      <c r="BH118" s="39" t="n">
        <v>0</v>
      </c>
      <c r="BI118" s="39" t="n">
        <v>0</v>
      </c>
      <c r="BJ118" s="39" t="n">
        <v>0</v>
      </c>
      <c r="BK118" s="39" t="n">
        <v>0</v>
      </c>
      <c r="BL118" s="39" t="n">
        <v>0</v>
      </c>
      <c r="BM118" s="39" t="n">
        <v>0</v>
      </c>
      <c r="BN118" s="39" t="n">
        <v>0</v>
      </c>
      <c r="BO118" s="39" t="n">
        <v>0</v>
      </c>
      <c r="BP118" s="39" t="n">
        <v>0</v>
      </c>
      <c r="BQ118" s="39" t="n">
        <v>0</v>
      </c>
      <c r="BR118" s="39" t="n">
        <v>0</v>
      </c>
      <c r="BS118" s="39" t="n">
        <v>0</v>
      </c>
      <c r="BT118" s="39" t="n">
        <v>0</v>
      </c>
      <c r="BU118" s="39" t="n">
        <v>0</v>
      </c>
      <c r="BV118" s="39" t="n">
        <v>0</v>
      </c>
      <c r="BW118" s="39" t="n">
        <v>0</v>
      </c>
      <c r="BX118" s="39" t="n">
        <v>0</v>
      </c>
      <c r="BY118" s="39" t="n">
        <v>0</v>
      </c>
      <c r="BZ118" s="39" t="n">
        <v>0</v>
      </c>
      <c r="CA118" s="39" t="n">
        <v>0</v>
      </c>
      <c r="CB118" s="39" t="n">
        <v>0</v>
      </c>
      <c r="CC118" s="39" t="n">
        <v>0</v>
      </c>
      <c r="CD118" s="39" t="n">
        <v>0</v>
      </c>
      <c r="CE118" s="39" t="n">
        <v>0</v>
      </c>
      <c r="CF118" s="39" t="n">
        <v>0</v>
      </c>
      <c r="CG118" s="39" t="n">
        <v>0</v>
      </c>
      <c r="CH118" s="39" t="n">
        <v>0</v>
      </c>
      <c r="CI118" s="25"/>
    </row>
    <row r="119" customFormat="false" ht="15" hidden="false" customHeight="true" outlineLevel="0" collapsed="false">
      <c r="A119" s="40" t="s">
        <v>144</v>
      </c>
      <c r="B119" s="40"/>
      <c r="C119" s="41" t="n">
        <v>0</v>
      </c>
      <c r="D119" s="41" t="n">
        <v>0</v>
      </c>
      <c r="E119" s="41" t="n">
        <v>0</v>
      </c>
      <c r="F119" s="41" t="n">
        <v>0</v>
      </c>
      <c r="G119" s="41" t="n">
        <v>0</v>
      </c>
      <c r="H119" s="41" t="n">
        <v>0</v>
      </c>
      <c r="I119" s="41" t="n">
        <v>0</v>
      </c>
      <c r="J119" s="41" t="n">
        <v>0</v>
      </c>
      <c r="K119" s="41" t="n">
        <v>0</v>
      </c>
      <c r="L119" s="41" t="n">
        <v>0</v>
      </c>
      <c r="M119" s="41" t="n">
        <v>0</v>
      </c>
      <c r="N119" s="41" t="n">
        <v>0</v>
      </c>
      <c r="O119" s="41" t="n">
        <v>0</v>
      </c>
      <c r="P119" s="41" t="n">
        <v>0</v>
      </c>
      <c r="Q119" s="41" t="n">
        <v>0</v>
      </c>
      <c r="R119" s="41" t="n">
        <v>0</v>
      </c>
      <c r="S119" s="41" t="n">
        <v>0</v>
      </c>
      <c r="T119" s="41" t="n">
        <v>0</v>
      </c>
      <c r="U119" s="41" t="n">
        <v>0</v>
      </c>
      <c r="V119" s="41" t="n">
        <v>0</v>
      </c>
      <c r="W119" s="41" t="n">
        <v>0</v>
      </c>
      <c r="X119" s="41" t="n">
        <v>0</v>
      </c>
      <c r="Y119" s="41" t="n">
        <v>0</v>
      </c>
      <c r="Z119" s="41" t="n">
        <v>0</v>
      </c>
      <c r="AA119" s="41" t="n">
        <v>0</v>
      </c>
      <c r="AB119" s="41" t="n">
        <v>0</v>
      </c>
      <c r="AC119" s="41" t="n">
        <v>0</v>
      </c>
      <c r="AD119" s="41" t="n">
        <v>0</v>
      </c>
      <c r="AE119" s="41" t="n">
        <v>0</v>
      </c>
      <c r="AF119" s="41" t="n">
        <v>0</v>
      </c>
      <c r="AG119" s="41" t="n">
        <v>0</v>
      </c>
      <c r="AH119" s="41" t="n">
        <v>0</v>
      </c>
      <c r="AI119" s="41" t="n">
        <v>0</v>
      </c>
      <c r="AJ119" s="41" t="n">
        <v>0</v>
      </c>
      <c r="AK119" s="41" t="n">
        <v>0</v>
      </c>
      <c r="AL119" s="41" t="n">
        <v>0</v>
      </c>
      <c r="AM119" s="41" t="n">
        <v>0</v>
      </c>
      <c r="AN119" s="41" t="n">
        <v>0</v>
      </c>
      <c r="AO119" s="41" t="n">
        <v>0</v>
      </c>
      <c r="AP119" s="41" t="n">
        <v>0</v>
      </c>
      <c r="AQ119" s="41" t="n">
        <v>0</v>
      </c>
      <c r="AR119" s="41" t="n">
        <v>0</v>
      </c>
      <c r="AS119" s="41" t="n">
        <v>0</v>
      </c>
      <c r="AT119" s="41" t="n">
        <v>0</v>
      </c>
      <c r="AU119" s="41" t="n">
        <v>0</v>
      </c>
      <c r="AV119" s="41" t="n">
        <v>0</v>
      </c>
      <c r="AW119" s="41" t="n">
        <v>0</v>
      </c>
      <c r="AX119" s="41" t="n">
        <v>0</v>
      </c>
      <c r="AY119" s="41" t="n">
        <v>0</v>
      </c>
      <c r="AZ119" s="41" t="n">
        <v>0</v>
      </c>
      <c r="BA119" s="41" t="n">
        <v>0</v>
      </c>
      <c r="BB119" s="41" t="n">
        <v>0</v>
      </c>
      <c r="BC119" s="41" t="n">
        <v>0</v>
      </c>
      <c r="BD119" s="41" t="n">
        <v>0</v>
      </c>
      <c r="BE119" s="41" t="n">
        <v>0</v>
      </c>
      <c r="BF119" s="41" t="n">
        <v>0</v>
      </c>
      <c r="BG119" s="41" t="n">
        <v>0</v>
      </c>
      <c r="BH119" s="41" t="n">
        <v>0</v>
      </c>
      <c r="BI119" s="41" t="n">
        <v>0</v>
      </c>
      <c r="BJ119" s="41" t="n">
        <v>0</v>
      </c>
      <c r="BK119" s="41" t="n">
        <v>0</v>
      </c>
      <c r="BL119" s="41" t="n">
        <v>0</v>
      </c>
      <c r="BM119" s="41" t="n">
        <v>0</v>
      </c>
      <c r="BN119" s="41" t="n">
        <v>0</v>
      </c>
      <c r="BO119" s="41" t="n">
        <v>0</v>
      </c>
      <c r="BP119" s="41" t="n">
        <v>0</v>
      </c>
      <c r="BQ119" s="41" t="n">
        <v>0</v>
      </c>
      <c r="BR119" s="41" t="n">
        <v>0</v>
      </c>
      <c r="BS119" s="41" t="n">
        <v>0</v>
      </c>
      <c r="BT119" s="41" t="n">
        <v>0</v>
      </c>
      <c r="BU119" s="41" t="n">
        <v>0</v>
      </c>
      <c r="BV119" s="41" t="n">
        <v>0</v>
      </c>
      <c r="BW119" s="41" t="n">
        <v>0</v>
      </c>
      <c r="BX119" s="41" t="n">
        <v>0</v>
      </c>
      <c r="BY119" s="41" t="n">
        <v>0</v>
      </c>
      <c r="BZ119" s="41" t="n">
        <v>0</v>
      </c>
      <c r="CA119" s="41" t="n">
        <v>0</v>
      </c>
      <c r="CB119" s="41" t="n">
        <v>0</v>
      </c>
      <c r="CC119" s="41" t="n">
        <v>0</v>
      </c>
      <c r="CD119" s="41" t="n">
        <v>0</v>
      </c>
      <c r="CE119" s="41" t="n">
        <v>0</v>
      </c>
      <c r="CF119" s="41" t="n">
        <v>0</v>
      </c>
      <c r="CG119" s="41" t="n">
        <v>0</v>
      </c>
      <c r="CH119" s="41" t="n">
        <v>0</v>
      </c>
      <c r="CI119" s="25"/>
    </row>
    <row r="120" customFormat="false" ht="15" hidden="false" customHeight="true" outlineLevel="0" collapsed="false">
      <c r="A120" s="42" t="s">
        <v>145</v>
      </c>
      <c r="B120" s="43"/>
      <c r="C120" s="44" t="n">
        <f aca="false">MAX(0,C116+C117+C118+C119)</f>
        <v>0</v>
      </c>
      <c r="D120" s="44" t="n">
        <f aca="false">MAX(0,D116+D117+D118+D119)</f>
        <v>0</v>
      </c>
      <c r="E120" s="44" t="n">
        <f aca="false">MAX(0,E116+E117+E118+E119)</f>
        <v>0</v>
      </c>
      <c r="F120" s="44" t="n">
        <f aca="false">MAX(0,F116+F117+F118+F119)</f>
        <v>0</v>
      </c>
      <c r="G120" s="44" t="n">
        <f aca="false">MAX(0,G116+G117+G118+G119)</f>
        <v>0</v>
      </c>
      <c r="H120" s="44" t="n">
        <f aca="false">MAX(0,H116+H117+H118+H119)</f>
        <v>0</v>
      </c>
      <c r="I120" s="44" t="n">
        <f aca="false">MAX(0,I116+I117+I118+I119)</f>
        <v>0</v>
      </c>
      <c r="J120" s="44" t="n">
        <f aca="false">MAX(0,J116+J117+J118+J119)</f>
        <v>0</v>
      </c>
      <c r="K120" s="44" t="n">
        <f aca="false">MAX(0,K116+K117+K118+K119)</f>
        <v>0</v>
      </c>
      <c r="L120" s="44" t="n">
        <f aca="false">MAX(0,L116+L117+L118+L119)</f>
        <v>0</v>
      </c>
      <c r="M120" s="44" t="n">
        <f aca="false">MAX(0,M116+M117+M118+M119)</f>
        <v>0</v>
      </c>
      <c r="N120" s="44" t="n">
        <f aca="false">MAX(0,N116+N117+N118+N119)</f>
        <v>0</v>
      </c>
      <c r="O120" s="44" t="n">
        <f aca="false">MAX(0,O116+O117+O118+O119)</f>
        <v>0</v>
      </c>
      <c r="P120" s="44" t="n">
        <f aca="false">MAX(0,P116+P117+P118+P119)</f>
        <v>0</v>
      </c>
      <c r="Q120" s="44" t="n">
        <f aca="false">MAX(0,Q116+Q117+Q118+Q119)</f>
        <v>0</v>
      </c>
      <c r="R120" s="44" t="n">
        <f aca="false">MAX(0,R116+R117+R118+R119)</f>
        <v>0</v>
      </c>
      <c r="S120" s="44" t="n">
        <f aca="false">MAX(0,S116+S117+S118+S119)</f>
        <v>0</v>
      </c>
      <c r="T120" s="44" t="n">
        <f aca="false">MAX(0,T116+T117+T118+T119)</f>
        <v>0</v>
      </c>
      <c r="U120" s="44" t="n">
        <f aca="false">MAX(0,U116+U117+U118+U119)</f>
        <v>0</v>
      </c>
      <c r="V120" s="44" t="n">
        <f aca="false">MAX(0,V116+V117+V118+V119)</f>
        <v>0</v>
      </c>
      <c r="W120" s="44" t="n">
        <f aca="false">MAX(0,W116+W117+W118+W119)</f>
        <v>0</v>
      </c>
      <c r="X120" s="44" t="n">
        <f aca="false">MAX(0,X116+X117+X118+X119)</f>
        <v>0</v>
      </c>
      <c r="Y120" s="44" t="n">
        <f aca="false">MAX(0,Y116+Y117+Y118+Y119)</f>
        <v>0</v>
      </c>
      <c r="Z120" s="44" t="n">
        <f aca="false">MAX(0,Z116+Z117+Z118+Z119)</f>
        <v>0</v>
      </c>
      <c r="AA120" s="44" t="n">
        <f aca="false">MAX(0,AA116+AA117+AA118+AA119)</f>
        <v>0</v>
      </c>
      <c r="AB120" s="44" t="n">
        <f aca="false">MAX(0,AB116+AB117+AB118+AB119)</f>
        <v>0</v>
      </c>
      <c r="AC120" s="44" t="n">
        <f aca="false">MAX(0,AC116+AC117+AC118+AC119)</f>
        <v>0</v>
      </c>
      <c r="AD120" s="44" t="n">
        <f aca="false">MAX(0,AD116+AD117+AD118+AD119)</f>
        <v>0</v>
      </c>
      <c r="AE120" s="44" t="n">
        <f aca="false">MAX(0,AE116+AE117+AE118+AE119)</f>
        <v>0</v>
      </c>
      <c r="AF120" s="44" t="n">
        <f aca="false">MAX(0,AF116+AF117+AF118+AF119)</f>
        <v>0</v>
      </c>
      <c r="AG120" s="44" t="n">
        <f aca="false">MAX(0,AG116+AG117+AG118+AG119)</f>
        <v>0</v>
      </c>
      <c r="AH120" s="44" t="n">
        <f aca="false">MAX(0,AH116+AH117+AH118+AH119)</f>
        <v>0</v>
      </c>
      <c r="AI120" s="44" t="n">
        <f aca="false">MAX(0,AI116+AI117+AI118+AI119)</f>
        <v>0</v>
      </c>
      <c r="AJ120" s="44" t="n">
        <f aca="false">MAX(0,AJ116+AJ117+AJ118+AJ119)</f>
        <v>0</v>
      </c>
      <c r="AK120" s="44" t="n">
        <f aca="false">MAX(0,AK116+AK117+AK118+AK119)</f>
        <v>0</v>
      </c>
      <c r="AL120" s="44" t="n">
        <f aca="false">MAX(0,AL116+AL117+AL118+AL119)</f>
        <v>0</v>
      </c>
      <c r="AM120" s="44" t="n">
        <f aca="false">MAX(0,AM116+AM117+AM118+AM119)</f>
        <v>0</v>
      </c>
      <c r="AN120" s="44" t="n">
        <f aca="false">MAX(0,AN116+AN117+AN118+AN119)</f>
        <v>0</v>
      </c>
      <c r="AO120" s="44" t="n">
        <f aca="false">MAX(0,AO116+AO117+AO118+AO119)</f>
        <v>0</v>
      </c>
      <c r="AP120" s="44" t="n">
        <f aca="false">MAX(0,AP116+AP117+AP118+AP119)</f>
        <v>0</v>
      </c>
      <c r="AQ120" s="44" t="n">
        <f aca="false">MAX(0,AQ116+AQ117+AQ118+AQ119)</f>
        <v>0</v>
      </c>
      <c r="AR120" s="44" t="n">
        <f aca="false">MAX(0,AR116+AR117+AR118+AR119)</f>
        <v>0</v>
      </c>
      <c r="AS120" s="44" t="n">
        <f aca="false">MAX(0,AS116+AS117+AS118+AS119)</f>
        <v>0</v>
      </c>
      <c r="AT120" s="44" t="n">
        <f aca="false">MAX(0,AT116+AT117+AT118+AT119)</f>
        <v>0</v>
      </c>
      <c r="AU120" s="44" t="n">
        <f aca="false">MAX(0,AU116+AU117+AU118+AU119)</f>
        <v>0</v>
      </c>
      <c r="AV120" s="44" t="n">
        <f aca="false">MAX(0,AV116+AV117+AV118+AV119)</f>
        <v>0</v>
      </c>
      <c r="AW120" s="44" t="n">
        <f aca="false">MAX(0,AW116+AW117+AW118+AW119)</f>
        <v>0</v>
      </c>
      <c r="AX120" s="44" t="n">
        <f aca="false">MAX(0,AX116+AX117+AX118+AX119)</f>
        <v>0</v>
      </c>
      <c r="AY120" s="44" t="n">
        <f aca="false">MAX(0,AY116+AY117+AY118+AY119)</f>
        <v>0</v>
      </c>
      <c r="AZ120" s="44" t="n">
        <f aca="false">MAX(0,AZ116+AZ117+AZ118+AZ119)</f>
        <v>0</v>
      </c>
      <c r="BA120" s="44" t="n">
        <f aca="false">MAX(0,BA116+BA117+BA118+BA119)</f>
        <v>0</v>
      </c>
      <c r="BB120" s="44" t="n">
        <f aca="false">MAX(0,BB116+BB117+BB118+BB119)</f>
        <v>0</v>
      </c>
      <c r="BC120" s="44" t="n">
        <f aca="false">MAX(0,BC116+BC117+BC118+BC119)</f>
        <v>0</v>
      </c>
      <c r="BD120" s="44" t="n">
        <f aca="false">MAX(0,BD116+BD117+BD118+BD119)</f>
        <v>0</v>
      </c>
      <c r="BE120" s="44" t="n">
        <f aca="false">MAX(0,BE116+BE117+BE118+BE119)</f>
        <v>0</v>
      </c>
      <c r="BF120" s="44" t="n">
        <f aca="false">MAX(0,BF116+BF117+BF118+BF119)</f>
        <v>0</v>
      </c>
      <c r="BG120" s="44" t="n">
        <f aca="false">MAX(0,BG116+BG117+BG118+BG119)</f>
        <v>0</v>
      </c>
      <c r="BH120" s="44" t="n">
        <f aca="false">MAX(0,BH116+BH117+BH118+BH119)</f>
        <v>0</v>
      </c>
      <c r="BI120" s="44" t="n">
        <f aca="false">MAX(0,BI116+BI117+BI118+BI119)</f>
        <v>0</v>
      </c>
      <c r="BJ120" s="44" t="n">
        <f aca="false">MAX(0,BJ116+BJ117+BJ118+BJ119)</f>
        <v>0</v>
      </c>
      <c r="BK120" s="44" t="n">
        <f aca="false">MAX(0,BK116+BK117+BK118+BK119)</f>
        <v>0</v>
      </c>
      <c r="BL120" s="44" t="n">
        <f aca="false">MAX(0,BL116+BL117+BL118+BL119)</f>
        <v>0</v>
      </c>
      <c r="BM120" s="44" t="n">
        <f aca="false">MAX(0,BM116+BM117+BM118+BM119)</f>
        <v>0</v>
      </c>
      <c r="BN120" s="44" t="n">
        <f aca="false">MAX(0,BN116+BN117+BN118+BN119)</f>
        <v>0</v>
      </c>
      <c r="BO120" s="44" t="n">
        <f aca="false">MAX(0,BO116+BO117+BO118+BO119)</f>
        <v>0</v>
      </c>
      <c r="BP120" s="44" t="n">
        <f aca="false">MAX(0,BP116+BP117+BP118+BP119)</f>
        <v>0</v>
      </c>
      <c r="BQ120" s="44" t="n">
        <f aca="false">MAX(0,BQ116+BQ117+BQ118+BQ119)</f>
        <v>0</v>
      </c>
      <c r="BR120" s="44" t="n">
        <f aca="false">MAX(0,BR116+BR117+BR118+BR119)</f>
        <v>0</v>
      </c>
      <c r="BS120" s="44" t="n">
        <f aca="false">MAX(0,BS116+BS117+BS118+BS119)</f>
        <v>0</v>
      </c>
      <c r="BT120" s="44" t="n">
        <f aca="false">MAX(0,BT116+BT117+BT118+BT119)</f>
        <v>0</v>
      </c>
      <c r="BU120" s="44" t="n">
        <f aca="false">MAX(0,BU116+BU117+BU118+BU119)</f>
        <v>0</v>
      </c>
      <c r="BV120" s="44" t="n">
        <f aca="false">MAX(0,BV116+BV117+BV118+BV119)</f>
        <v>0</v>
      </c>
      <c r="BW120" s="44" t="n">
        <f aca="false">MAX(0,BW116+BW117+BW118+BW119)</f>
        <v>0</v>
      </c>
      <c r="BX120" s="44" t="n">
        <f aca="false">MAX(0,BX116+BX117+BX118+BX119)</f>
        <v>0</v>
      </c>
      <c r="BY120" s="44" t="n">
        <f aca="false">MAX(0,BY116+BY117+BY118+BY119)</f>
        <v>0</v>
      </c>
      <c r="BZ120" s="44" t="n">
        <f aca="false">MAX(0,BZ116+BZ117+BZ118+BZ119)</f>
        <v>0</v>
      </c>
      <c r="CA120" s="44" t="n">
        <f aca="false">MAX(0,CA116+CA117+CA118+CA119)</f>
        <v>0</v>
      </c>
      <c r="CB120" s="44" t="n">
        <f aca="false">MAX(0,CB116+CB117+CB118+CB119)</f>
        <v>0</v>
      </c>
      <c r="CC120" s="44" t="n">
        <f aca="false">MAX(0,CC116+CC117+CC118+CC119)</f>
        <v>0</v>
      </c>
      <c r="CD120" s="44" t="n">
        <f aca="false">MAX(0,CD116+CD117+CD118+CD119)</f>
        <v>0</v>
      </c>
      <c r="CE120" s="44" t="n">
        <f aca="false">MAX(0,CE116+CE117+CE118+CE119)</f>
        <v>0</v>
      </c>
      <c r="CF120" s="44" t="n">
        <f aca="false">MAX(0,CF116+CF117+CF118+CF119)</f>
        <v>0</v>
      </c>
      <c r="CG120" s="44" t="n">
        <f aca="false">MAX(0,CG116+CG117+CG118+CG119)</f>
        <v>0</v>
      </c>
      <c r="CH120" s="44" t="n">
        <f aca="false">MAX(0,CH116+CH117+CH118+CH119)</f>
        <v>0</v>
      </c>
      <c r="CI120" s="25"/>
    </row>
    <row r="121" customFormat="false" ht="15" hidden="false" customHeight="true" outlineLevel="0" collapsed="false">
      <c r="A121" s="45" t="s">
        <v>146</v>
      </c>
      <c r="B121" s="45"/>
      <c r="C121" s="46" t="n">
        <f aca="false">IF(Projects!$G$14="Yes",Assumptions!$B$75,0)</f>
        <v>264927.15</v>
      </c>
      <c r="D121" s="46" t="n">
        <f aca="false">C125</f>
        <v>264927.15</v>
      </c>
      <c r="E121" s="46" t="n">
        <f aca="false">IF(Projects!$G$14="Yes",D125+176618.1,D125)</f>
        <v>441545.25</v>
      </c>
      <c r="F121" s="46" t="n">
        <f aca="false">E125</f>
        <v>458103.196875</v>
      </c>
      <c r="G121" s="46" t="n">
        <f aca="false">F125</f>
        <v>458103.196875</v>
      </c>
      <c r="H121" s="46" t="n">
        <f aca="false">IF(Projects!$G$14="Yes",G125+176618.1,G125)</f>
        <v>634721.296875</v>
      </c>
      <c r="I121" s="46" t="n">
        <f aca="false">H125</f>
        <v>658523.345507813</v>
      </c>
      <c r="J121" s="46" t="n">
        <f aca="false">I125</f>
        <v>658523.345507813</v>
      </c>
      <c r="K121" s="46" t="n">
        <f aca="false">J125</f>
        <v>658523.345507813</v>
      </c>
      <c r="L121" s="46" t="n">
        <f aca="false">IF(Projects!$G$14="Yes",K125+88309.05,K125)</f>
        <v>771527.020964355</v>
      </c>
      <c r="M121" s="46" t="n">
        <f aca="false">L125</f>
        <v>771527.020964355</v>
      </c>
      <c r="N121" s="46" t="n">
        <f aca="false">M125</f>
        <v>771527.020964355</v>
      </c>
      <c r="O121" s="46" t="n">
        <f aca="false">N125</f>
        <v>800459.284250519</v>
      </c>
      <c r="P121" s="46" t="n">
        <f aca="false">O125</f>
        <v>800459.284250519</v>
      </c>
      <c r="Q121" s="46" t="n">
        <f aca="false">IF(Projects!$G$14="Yes",P125+88309.05,P125)</f>
        <v>888768.334250519</v>
      </c>
      <c r="R121" s="46" t="n">
        <f aca="false">Q125</f>
        <v>922097.146784913</v>
      </c>
      <c r="S121" s="46" t="n">
        <f aca="false">R125</f>
        <v>922097.146784913</v>
      </c>
      <c r="T121" s="46" t="n">
        <f aca="false">S125</f>
        <v>922097.146784913</v>
      </c>
      <c r="U121" s="46" t="n">
        <f aca="false">T125</f>
        <v>956675.789789348</v>
      </c>
      <c r="V121" s="46" t="n">
        <f aca="false">U125</f>
        <v>956675.789789348</v>
      </c>
      <c r="W121" s="46" t="n">
        <f aca="false">IF(Projects!$G$14="Yes",V125+88309.05,V125)</f>
        <v>1044984.83978935</v>
      </c>
      <c r="X121" s="46" t="n">
        <f aca="false">W125</f>
        <v>1084171.77128145</v>
      </c>
      <c r="Y121" s="46" t="n">
        <f aca="false">X125</f>
        <v>1084171.77128145</v>
      </c>
      <c r="Z121" s="46" t="n">
        <f aca="false">Y125</f>
        <v>1084171.77128145</v>
      </c>
      <c r="AA121" s="46" t="n">
        <f aca="false">Z125</f>
        <v>1124828.2127045</v>
      </c>
      <c r="AB121" s="46" t="n">
        <f aca="false">AA125</f>
        <v>1124828.2127045</v>
      </c>
      <c r="AC121" s="46" t="n">
        <f aca="false">IF(Projects!$G$14="Yes",AB125+Assumptions!$B$76,AB125)</f>
        <v>2007918.7127045</v>
      </c>
      <c r="AD121" s="46" t="n">
        <f aca="false">AC125</f>
        <v>283215.664430921</v>
      </c>
      <c r="AE121" s="46" t="n">
        <f aca="false">AD125</f>
        <v>283215.664430921</v>
      </c>
      <c r="AF121" s="46" t="n">
        <f aca="false">AE125</f>
        <v>283215.664430921</v>
      </c>
      <c r="AG121" s="46" t="n">
        <f aca="false">AF125</f>
        <v>293836.251847081</v>
      </c>
      <c r="AH121" s="46" t="n">
        <f aca="false">AG125</f>
        <v>293836.251847081</v>
      </c>
      <c r="AI121" s="46" t="n">
        <f aca="false">AH125</f>
        <v>293836.251847081</v>
      </c>
      <c r="AJ121" s="46" t="n">
        <f aca="false">AI125</f>
        <v>304855.111291347</v>
      </c>
      <c r="AK121" s="46" t="n">
        <f aca="false">AJ125</f>
        <v>304855.111291347</v>
      </c>
      <c r="AL121" s="46" t="n">
        <f aca="false">AK125</f>
        <v>304855.111291347</v>
      </c>
      <c r="AM121" s="46" t="n">
        <f aca="false">AL125</f>
        <v>316287.177964772</v>
      </c>
      <c r="AN121" s="46" t="n">
        <f aca="false">AM125</f>
        <v>316287.177964772</v>
      </c>
      <c r="AO121" s="46" t="n">
        <f aca="false">AN125</f>
        <v>316287.177964772</v>
      </c>
      <c r="AP121" s="46" t="n">
        <f aca="false">AO125</f>
        <v>328147.947138451</v>
      </c>
      <c r="AQ121" s="46" t="n">
        <f aca="false">AP125</f>
        <v>328147.947138451</v>
      </c>
      <c r="AR121" s="46" t="n">
        <f aca="false">AQ125</f>
        <v>328147.947138451</v>
      </c>
      <c r="AS121" s="46" t="n">
        <f aca="false">AR125</f>
        <v>340453.495156143</v>
      </c>
      <c r="AT121" s="46" t="n">
        <f aca="false">AS125</f>
        <v>340453.495156143</v>
      </c>
      <c r="AU121" s="46" t="n">
        <f aca="false">AT125</f>
        <v>340453.495156143</v>
      </c>
      <c r="AV121" s="46" t="n">
        <f aca="false">AU125</f>
        <v>353220.501224498</v>
      </c>
      <c r="AW121" s="46" t="n">
        <f aca="false">AV125</f>
        <v>353220.501224498</v>
      </c>
      <c r="AX121" s="46" t="n">
        <f aca="false">AW125</f>
        <v>353220.501224498</v>
      </c>
      <c r="AY121" s="46" t="n">
        <f aca="false">AX125</f>
        <v>366466.270020417</v>
      </c>
      <c r="AZ121" s="46" t="n">
        <f aca="false">AY125</f>
        <v>366466.270020417</v>
      </c>
      <c r="BA121" s="46" t="n">
        <f aca="false">AZ125</f>
        <v>366466.270020417</v>
      </c>
      <c r="BB121" s="46" t="n">
        <f aca="false">BA125</f>
        <v>380208.755146183</v>
      </c>
      <c r="BC121" s="46" t="n">
        <f aca="false">BB125</f>
        <v>380208.755146183</v>
      </c>
      <c r="BD121" s="46" t="n">
        <f aca="false">BC125</f>
        <v>380208.755146183</v>
      </c>
      <c r="BE121" s="46" t="n">
        <f aca="false">BD125</f>
        <v>394466.583464164</v>
      </c>
      <c r="BF121" s="46" t="n">
        <f aca="false">BE125</f>
        <v>394466.583464164</v>
      </c>
      <c r="BG121" s="46" t="n">
        <f aca="false">BF125</f>
        <v>394466.583464164</v>
      </c>
      <c r="BH121" s="46" t="n">
        <f aca="false">BG125</f>
        <v>409259.080344071</v>
      </c>
      <c r="BI121" s="46" t="n">
        <f aca="false">BH125</f>
        <v>409259.080344071</v>
      </c>
      <c r="BJ121" s="46" t="n">
        <f aca="false">BI125</f>
        <v>409259.080344071</v>
      </c>
      <c r="BK121" s="46" t="n">
        <f aca="false">BJ125</f>
        <v>424606.295856973</v>
      </c>
      <c r="BL121" s="46" t="n">
        <f aca="false">BK125</f>
        <v>424606.295856973</v>
      </c>
      <c r="BM121" s="46" t="n">
        <f aca="false">BL125</f>
        <v>424606.295856973</v>
      </c>
      <c r="BN121" s="46" t="n">
        <f aca="false">BM125</f>
        <v>440529.03195161</v>
      </c>
      <c r="BO121" s="46" t="n">
        <f aca="false">BN125</f>
        <v>440529.03195161</v>
      </c>
      <c r="BP121" s="46" t="n">
        <f aca="false">BO125</f>
        <v>440529.03195161</v>
      </c>
      <c r="BQ121" s="46" t="n">
        <f aca="false">BP125</f>
        <v>457048.870649795</v>
      </c>
      <c r="BR121" s="46" t="n">
        <f aca="false">BQ125</f>
        <v>457048.870649795</v>
      </c>
      <c r="BS121" s="46" t="n">
        <f aca="false">BR125</f>
        <v>457048.870649795</v>
      </c>
      <c r="BT121" s="46" t="n">
        <f aca="false">BS125</f>
        <v>474188.203299162</v>
      </c>
      <c r="BU121" s="46" t="n">
        <f aca="false">BT125</f>
        <v>474188.203299162</v>
      </c>
      <c r="BV121" s="46" t="n">
        <f aca="false">BU125</f>
        <v>474188.203299162</v>
      </c>
      <c r="BW121" s="46" t="n">
        <f aca="false">BV125</f>
        <v>491970.260922881</v>
      </c>
      <c r="BX121" s="46" t="n">
        <f aca="false">BW125</f>
        <v>491970.260922881</v>
      </c>
      <c r="BY121" s="46" t="n">
        <f aca="false">BX125</f>
        <v>491970.260922881</v>
      </c>
      <c r="BZ121" s="46" t="n">
        <f aca="false">BY125</f>
        <v>510419.145707489</v>
      </c>
      <c r="CA121" s="46" t="n">
        <f aca="false">BZ125</f>
        <v>510419.145707489</v>
      </c>
      <c r="CB121" s="46" t="n">
        <f aca="false">CA125</f>
        <v>510419.145707489</v>
      </c>
      <c r="CC121" s="46" t="n">
        <f aca="false">CB125</f>
        <v>529559.86367152</v>
      </c>
      <c r="CD121" s="46" t="n">
        <f aca="false">CC125</f>
        <v>529559.86367152</v>
      </c>
      <c r="CE121" s="46" t="n">
        <f aca="false">CD125</f>
        <v>529559.86367152</v>
      </c>
      <c r="CF121" s="46" t="n">
        <f aca="false">CE125</f>
        <v>549418.358559202</v>
      </c>
      <c r="CG121" s="46" t="n">
        <f aca="false">CF125</f>
        <v>549418.358559202</v>
      </c>
      <c r="CH121" s="46" t="n">
        <f aca="false">CG125</f>
        <v>549418.358559202</v>
      </c>
      <c r="CI121" s="25"/>
    </row>
    <row r="122" customFormat="false" ht="15" hidden="false" customHeight="true" outlineLevel="0" collapsed="false">
      <c r="A122" s="45" t="s">
        <v>147</v>
      </c>
      <c r="B122" s="45"/>
      <c r="C122" s="46" t="n">
        <f aca="false">IF(AND(MOD(1,3)=0,C121&gt;0),C121*Assumptions!$B$59,0)</f>
        <v>0</v>
      </c>
      <c r="D122" s="46" t="n">
        <f aca="false">IF(AND(MOD(2,3)=0,D121&gt;0),D121*Assumptions!$B$59,0)</f>
        <v>0</v>
      </c>
      <c r="E122" s="46" t="n">
        <f aca="false">IF(AND(MOD(3,3)=0,E121&gt;0),E121*Assumptions!$B$59,0)</f>
        <v>16557.946875</v>
      </c>
      <c r="F122" s="46" t="n">
        <f aca="false">IF(AND(MOD(4,3)=0,F121&gt;0),F121*Assumptions!$B$59,0)</f>
        <v>0</v>
      </c>
      <c r="G122" s="46" t="n">
        <f aca="false">IF(AND(MOD(5,3)=0,G121&gt;0),G121*Assumptions!$B$59,0)</f>
        <v>0</v>
      </c>
      <c r="H122" s="46" t="n">
        <f aca="false">IF(AND(MOD(6,3)=0,H121&gt;0),H121*Assumptions!$B$59,0)</f>
        <v>23802.0486328125</v>
      </c>
      <c r="I122" s="46" t="n">
        <f aca="false">IF(AND(MOD(7,3)=0,I121&gt;0),I121*Assumptions!$B$59,0)</f>
        <v>0</v>
      </c>
      <c r="J122" s="46" t="n">
        <f aca="false">IF(AND(MOD(8,3)=0,J121&gt;0),J121*Assumptions!$B$59,0)</f>
        <v>0</v>
      </c>
      <c r="K122" s="46" t="n">
        <f aca="false">IF(AND(MOD(9,3)=0,K121&gt;0),K121*Assumptions!$B$59,0)</f>
        <v>24694.625456543</v>
      </c>
      <c r="L122" s="46" t="n">
        <f aca="false">IF(AND(MOD(10,3)=0,L121&gt;0),L121*Assumptions!$B$59,0)</f>
        <v>0</v>
      </c>
      <c r="M122" s="46" t="n">
        <f aca="false">IF(AND(MOD(11,3)=0,M121&gt;0),M121*Assumptions!$B$59,0)</f>
        <v>0</v>
      </c>
      <c r="N122" s="46" t="n">
        <f aca="false">IF(AND(MOD(12,3)=0,N121&gt;0),N121*Assumptions!$B$59,0)</f>
        <v>28932.2632861633</v>
      </c>
      <c r="O122" s="46" t="n">
        <f aca="false">IF(AND(MOD(13,3)=0,O121&gt;0),O121*Assumptions!$B$59,0)</f>
        <v>0</v>
      </c>
      <c r="P122" s="46" t="n">
        <f aca="false">IF(AND(MOD(14,3)=0,P121&gt;0),P121*Assumptions!$B$59,0)</f>
        <v>0</v>
      </c>
      <c r="Q122" s="46" t="n">
        <f aca="false">IF(AND(MOD(15,3)=0,Q121&gt;0),Q121*Assumptions!$B$59,0)</f>
        <v>33328.8125343945</v>
      </c>
      <c r="R122" s="46" t="n">
        <f aca="false">IF(AND(MOD(16,3)=0,R121&gt;0),R121*Assumptions!$B$59,0)</f>
        <v>0</v>
      </c>
      <c r="S122" s="46" t="n">
        <f aca="false">IF(AND(MOD(17,3)=0,S121&gt;0),S121*Assumptions!$B$59,0)</f>
        <v>0</v>
      </c>
      <c r="T122" s="46" t="n">
        <f aca="false">IF(AND(MOD(18,3)=0,T121&gt;0),T121*Assumptions!$B$59,0)</f>
        <v>34578.6430044343</v>
      </c>
      <c r="U122" s="46" t="n">
        <f aca="false">IF(AND(MOD(19,3)=0,U121&gt;0),U121*Assumptions!$B$59,0)</f>
        <v>0</v>
      </c>
      <c r="V122" s="46" t="n">
        <f aca="false">IF(AND(MOD(20,3)=0,V121&gt;0),V121*Assumptions!$B$59,0)</f>
        <v>0</v>
      </c>
      <c r="W122" s="46" t="n">
        <f aca="false">IF(AND(MOD(21,3)=0,W121&gt;0),W121*Assumptions!$B$59,0)</f>
        <v>39186.9314921005</v>
      </c>
      <c r="X122" s="46" t="n">
        <f aca="false">IF(AND(MOD(22,3)=0,X121&gt;0),X121*Assumptions!$B$59,0)</f>
        <v>0</v>
      </c>
      <c r="Y122" s="46" t="n">
        <f aca="false">IF(AND(MOD(23,3)=0,Y121&gt;0),Y121*Assumptions!$B$59,0)</f>
        <v>0</v>
      </c>
      <c r="Z122" s="46" t="n">
        <f aca="false">IF(AND(MOD(24,3)=0,Z121&gt;0),Z121*Assumptions!$B$59,0)</f>
        <v>40656.4414230543</v>
      </c>
      <c r="AA122" s="46" t="n">
        <f aca="false">IF(AND(MOD(25,3)=0,AA121&gt;0),AA121*Assumptions!$B$59,0)</f>
        <v>0</v>
      </c>
      <c r="AB122" s="46" t="n">
        <f aca="false">IF(AND(MOD(26,3)=0,AB121&gt;0),AB121*Assumptions!$B$59,0)</f>
        <v>0</v>
      </c>
      <c r="AC122" s="46" t="n">
        <f aca="false">IF(AND(MOD(27,3)=0,AC121&gt;0),AC121*Assumptions!$B$59,0)</f>
        <v>75296.9517264189</v>
      </c>
      <c r="AD122" s="46" t="n">
        <f aca="false">IF(AND(MOD(28,3)=0,AD121&gt;0),AD121*Assumptions!$B$59,0)</f>
        <v>0</v>
      </c>
      <c r="AE122" s="46" t="n">
        <f aca="false">IF(AND(MOD(29,3)=0,AE121&gt;0),AE121*Assumptions!$B$59,0)</f>
        <v>0</v>
      </c>
      <c r="AF122" s="46" t="n">
        <f aca="false">IF(AND(MOD(30,3)=0,AF121&gt;0),AF121*Assumptions!$B$59,0)</f>
        <v>10620.5874161596</v>
      </c>
      <c r="AG122" s="46" t="n">
        <f aca="false">IF(AND(MOD(31,3)=0,AG121&gt;0),AG121*Assumptions!$B$59,0)</f>
        <v>0</v>
      </c>
      <c r="AH122" s="46" t="n">
        <f aca="false">IF(AND(MOD(32,3)=0,AH121&gt;0),AH121*Assumptions!$B$59,0)</f>
        <v>0</v>
      </c>
      <c r="AI122" s="46" t="n">
        <f aca="false">IF(AND(MOD(33,3)=0,AI121&gt;0),AI121*Assumptions!$B$59,0)</f>
        <v>11018.8594442655</v>
      </c>
      <c r="AJ122" s="46" t="n">
        <f aca="false">IF(AND(MOD(34,3)=0,AJ121&gt;0),AJ121*Assumptions!$B$59,0)</f>
        <v>0</v>
      </c>
      <c r="AK122" s="46" t="n">
        <f aca="false">IF(AND(MOD(35,3)=0,AK121&gt;0),AK121*Assumptions!$B$59,0)</f>
        <v>0</v>
      </c>
      <c r="AL122" s="46" t="n">
        <f aca="false">IF(AND(MOD(36,3)=0,AL121&gt;0),AL121*Assumptions!$B$59,0)</f>
        <v>11432.0666734255</v>
      </c>
      <c r="AM122" s="46" t="n">
        <f aca="false">IF(AND(MOD(37,3)=0,AM121&gt;0),AM121*Assumptions!$B$59,0)</f>
        <v>0</v>
      </c>
      <c r="AN122" s="46" t="n">
        <f aca="false">IF(AND(MOD(38,3)=0,AN121&gt;0),AN121*Assumptions!$B$59,0)</f>
        <v>0</v>
      </c>
      <c r="AO122" s="46" t="n">
        <f aca="false">IF(AND(MOD(39,3)=0,AO121&gt;0),AO121*Assumptions!$B$59,0)</f>
        <v>11860.769173679</v>
      </c>
      <c r="AP122" s="46" t="n">
        <f aca="false">IF(AND(MOD(40,3)=0,AP121&gt;0),AP121*Assumptions!$B$59,0)</f>
        <v>0</v>
      </c>
      <c r="AQ122" s="46" t="n">
        <f aca="false">IF(AND(MOD(41,3)=0,AQ121&gt;0),AQ121*Assumptions!$B$59,0)</f>
        <v>0</v>
      </c>
      <c r="AR122" s="46" t="n">
        <f aca="false">IF(AND(MOD(42,3)=0,AR121&gt;0),AR121*Assumptions!$B$59,0)</f>
        <v>12305.5480176919</v>
      </c>
      <c r="AS122" s="46" t="n">
        <f aca="false">IF(AND(MOD(43,3)=0,AS121&gt;0),AS121*Assumptions!$B$59,0)</f>
        <v>0</v>
      </c>
      <c r="AT122" s="46" t="n">
        <f aca="false">IF(AND(MOD(44,3)=0,AT121&gt;0),AT121*Assumptions!$B$59,0)</f>
        <v>0</v>
      </c>
      <c r="AU122" s="46" t="n">
        <f aca="false">IF(AND(MOD(45,3)=0,AU121&gt;0),AU121*Assumptions!$B$59,0)</f>
        <v>12767.0060683554</v>
      </c>
      <c r="AV122" s="46" t="n">
        <f aca="false">IF(AND(MOD(46,3)=0,AV121&gt;0),AV121*Assumptions!$B$59,0)</f>
        <v>0</v>
      </c>
      <c r="AW122" s="46" t="n">
        <f aca="false">IF(AND(MOD(47,3)=0,AW121&gt;0),AW121*Assumptions!$B$59,0)</f>
        <v>0</v>
      </c>
      <c r="AX122" s="46" t="n">
        <f aca="false">IF(AND(MOD(48,3)=0,AX121&gt;0),AX121*Assumptions!$B$59,0)</f>
        <v>13245.7687959187</v>
      </c>
      <c r="AY122" s="46" t="n">
        <f aca="false">IF(AND(MOD(49,3)=0,AY121&gt;0),AY121*Assumptions!$B$59,0)</f>
        <v>0</v>
      </c>
      <c r="AZ122" s="46" t="n">
        <f aca="false">IF(AND(MOD(50,3)=0,AZ121&gt;0),AZ121*Assumptions!$B$59,0)</f>
        <v>0</v>
      </c>
      <c r="BA122" s="46" t="n">
        <f aca="false">IF(AND(MOD(51,3)=0,BA121&gt;0),BA121*Assumptions!$B$59,0)</f>
        <v>13742.4851257656</v>
      </c>
      <c r="BB122" s="46" t="n">
        <f aca="false">IF(AND(MOD(52,3)=0,BB121&gt;0),BB121*Assumptions!$B$59,0)</f>
        <v>0</v>
      </c>
      <c r="BC122" s="46" t="n">
        <f aca="false">IF(AND(MOD(53,3)=0,BC121&gt;0),BC121*Assumptions!$B$59,0)</f>
        <v>0</v>
      </c>
      <c r="BD122" s="46" t="n">
        <f aca="false">IF(AND(MOD(54,3)=0,BD121&gt;0),BD121*Assumptions!$B$59,0)</f>
        <v>14257.8283179818</v>
      </c>
      <c r="BE122" s="46" t="n">
        <f aca="false">IF(AND(MOD(55,3)=0,BE121&gt;0),BE121*Assumptions!$B$59,0)</f>
        <v>0</v>
      </c>
      <c r="BF122" s="46" t="n">
        <f aca="false">IF(AND(MOD(56,3)=0,BF121&gt;0),BF121*Assumptions!$B$59,0)</f>
        <v>0</v>
      </c>
      <c r="BG122" s="46" t="n">
        <f aca="false">IF(AND(MOD(57,3)=0,BG121&gt;0),BG121*Assumptions!$B$59,0)</f>
        <v>14792.4968799062</v>
      </c>
      <c r="BH122" s="46" t="n">
        <f aca="false">IF(AND(MOD(58,3)=0,BH121&gt;0),BH121*Assumptions!$B$59,0)</f>
        <v>0</v>
      </c>
      <c r="BI122" s="46" t="n">
        <f aca="false">IF(AND(MOD(59,3)=0,BI121&gt;0),BI121*Assumptions!$B$59,0)</f>
        <v>0</v>
      </c>
      <c r="BJ122" s="46" t="n">
        <f aca="false">IF(AND(MOD(60,3)=0,BJ121&gt;0),BJ121*Assumptions!$B$59,0)</f>
        <v>15347.2155129026</v>
      </c>
      <c r="BK122" s="46" t="n">
        <f aca="false">IF(AND(MOD(61,3)=0,BK121&gt;0),BK121*Assumptions!$B$59,0)</f>
        <v>0</v>
      </c>
      <c r="BL122" s="46" t="n">
        <f aca="false">IF(AND(MOD(62,3)=0,BL121&gt;0),BL121*Assumptions!$B$59,0)</f>
        <v>0</v>
      </c>
      <c r="BM122" s="46" t="n">
        <f aca="false">IF(AND(MOD(63,3)=0,BM121&gt;0),BM121*Assumptions!$B$59,0)</f>
        <v>15922.7360946365</v>
      </c>
      <c r="BN122" s="46" t="n">
        <f aca="false">IF(AND(MOD(64,3)=0,BN121&gt;0),BN121*Assumptions!$B$59,0)</f>
        <v>0</v>
      </c>
      <c r="BO122" s="46" t="n">
        <f aca="false">IF(AND(MOD(65,3)=0,BO121&gt;0),BO121*Assumptions!$B$59,0)</f>
        <v>0</v>
      </c>
      <c r="BP122" s="46" t="n">
        <f aca="false">IF(AND(MOD(66,3)=0,BP121&gt;0),BP121*Assumptions!$B$59,0)</f>
        <v>16519.8386981854</v>
      </c>
      <c r="BQ122" s="46" t="n">
        <f aca="false">IF(AND(MOD(67,3)=0,BQ121&gt;0),BQ121*Assumptions!$B$59,0)</f>
        <v>0</v>
      </c>
      <c r="BR122" s="46" t="n">
        <f aca="false">IF(AND(MOD(68,3)=0,BR121&gt;0),BR121*Assumptions!$B$59,0)</f>
        <v>0</v>
      </c>
      <c r="BS122" s="46" t="n">
        <f aca="false">IF(AND(MOD(69,3)=0,BS121&gt;0),BS121*Assumptions!$B$59,0)</f>
        <v>17139.3326493673</v>
      </c>
      <c r="BT122" s="46" t="n">
        <f aca="false">IF(AND(MOD(70,3)=0,BT121&gt;0),BT121*Assumptions!$B$59,0)</f>
        <v>0</v>
      </c>
      <c r="BU122" s="46" t="n">
        <f aca="false">IF(AND(MOD(71,3)=0,BU121&gt;0),BU121*Assumptions!$B$59,0)</f>
        <v>0</v>
      </c>
      <c r="BV122" s="46" t="n">
        <f aca="false">IF(AND(MOD(72,3)=0,BV121&gt;0),BV121*Assumptions!$B$59,0)</f>
        <v>17782.0576237186</v>
      </c>
      <c r="BW122" s="46" t="n">
        <f aca="false">IF(AND(MOD(73,3)=0,BW121&gt;0),BW121*Assumptions!$B$59,0)</f>
        <v>0</v>
      </c>
      <c r="BX122" s="46" t="n">
        <f aca="false">IF(AND(MOD(74,3)=0,BX121&gt;0),BX121*Assumptions!$B$59,0)</f>
        <v>0</v>
      </c>
      <c r="BY122" s="46" t="n">
        <f aca="false">IF(AND(MOD(75,3)=0,BY121&gt;0),BY121*Assumptions!$B$59,0)</f>
        <v>18448.884784608</v>
      </c>
      <c r="BZ122" s="46" t="n">
        <f aca="false">IF(AND(MOD(76,3)=0,BZ121&gt;0),BZ121*Assumptions!$B$59,0)</f>
        <v>0</v>
      </c>
      <c r="CA122" s="46" t="n">
        <f aca="false">IF(AND(MOD(77,3)=0,CA121&gt;0),CA121*Assumptions!$B$59,0)</f>
        <v>0</v>
      </c>
      <c r="CB122" s="46" t="n">
        <f aca="false">IF(AND(MOD(78,3)=0,CB121&gt;0),CB121*Assumptions!$B$59,0)</f>
        <v>19140.7179640308</v>
      </c>
      <c r="CC122" s="46" t="n">
        <f aca="false">IF(AND(MOD(79,3)=0,CC121&gt;0),CC121*Assumptions!$B$59,0)</f>
        <v>0</v>
      </c>
      <c r="CD122" s="46" t="n">
        <f aca="false">IF(AND(MOD(80,3)=0,CD121&gt;0),CD121*Assumptions!$B$59,0)</f>
        <v>0</v>
      </c>
      <c r="CE122" s="46" t="n">
        <f aca="false">IF(AND(MOD(81,3)=0,CE121&gt;0),CE121*Assumptions!$B$59,0)</f>
        <v>19858.494887682</v>
      </c>
      <c r="CF122" s="46" t="n">
        <f aca="false">IF(AND(MOD(82,3)=0,CF121&gt;0),CF121*Assumptions!$B$59,0)</f>
        <v>0</v>
      </c>
      <c r="CG122" s="46" t="n">
        <f aca="false">IF(AND(MOD(83,3)=0,CG121&gt;0),CG121*Assumptions!$B$59,0)</f>
        <v>0</v>
      </c>
      <c r="CH122" s="46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5" t="s">
        <v>148</v>
      </c>
      <c r="B123" s="45"/>
      <c r="C123" s="46" t="n">
        <v>0</v>
      </c>
      <c r="D123" s="46" t="n">
        <v>0</v>
      </c>
      <c r="E123" s="46" t="n">
        <v>0</v>
      </c>
      <c r="F123" s="46" t="n">
        <v>0</v>
      </c>
      <c r="G123" s="46" t="n">
        <v>0</v>
      </c>
      <c r="H123" s="46" t="n">
        <v>0</v>
      </c>
      <c r="I123" s="46" t="n">
        <v>0</v>
      </c>
      <c r="J123" s="46" t="n">
        <v>0</v>
      </c>
      <c r="K123" s="46" t="n">
        <v>0</v>
      </c>
      <c r="L123" s="46" t="n">
        <v>0</v>
      </c>
      <c r="M123" s="46" t="n">
        <v>0</v>
      </c>
      <c r="N123" s="46" t="n">
        <v>0</v>
      </c>
      <c r="O123" s="46" t="n">
        <v>0</v>
      </c>
      <c r="P123" s="46" t="n">
        <v>0</v>
      </c>
      <c r="Q123" s="46" t="n">
        <v>0</v>
      </c>
      <c r="R123" s="46" t="n">
        <v>0</v>
      </c>
      <c r="S123" s="46" t="n">
        <v>0</v>
      </c>
      <c r="T123" s="46" t="n">
        <v>0</v>
      </c>
      <c r="U123" s="46" t="n">
        <v>0</v>
      </c>
      <c r="V123" s="46" t="n">
        <v>0</v>
      </c>
      <c r="W123" s="46" t="n">
        <v>0</v>
      </c>
      <c r="X123" s="46" t="n">
        <v>0</v>
      </c>
      <c r="Y123" s="46" t="n">
        <v>0</v>
      </c>
      <c r="Z123" s="46" t="n">
        <v>0</v>
      </c>
      <c r="AA123" s="46" t="n">
        <v>0</v>
      </c>
      <c r="AB123" s="46" t="n">
        <v>0</v>
      </c>
      <c r="AC123" s="46" t="n">
        <f aca="false">IF(Projects!$G$14="Yes",Assumptions!$B$77,0)</f>
        <v>-1800000</v>
      </c>
      <c r="AD123" s="46" t="n">
        <v>0</v>
      </c>
      <c r="AE123" s="46" t="n">
        <v>0</v>
      </c>
      <c r="AF123" s="46" t="n">
        <v>0</v>
      </c>
      <c r="AG123" s="46" t="n">
        <v>0</v>
      </c>
      <c r="AH123" s="46" t="n">
        <v>0</v>
      </c>
      <c r="AI123" s="46" t="n">
        <v>0</v>
      </c>
      <c r="AJ123" s="46" t="n">
        <v>0</v>
      </c>
      <c r="AK123" s="46" t="n">
        <v>0</v>
      </c>
      <c r="AL123" s="46" t="n">
        <v>0</v>
      </c>
      <c r="AM123" s="46" t="n">
        <v>0</v>
      </c>
      <c r="AN123" s="46" t="n">
        <v>0</v>
      </c>
      <c r="AO123" s="46" t="n">
        <v>0</v>
      </c>
      <c r="AP123" s="46" t="n">
        <v>0</v>
      </c>
      <c r="AQ123" s="46" t="n">
        <v>0</v>
      </c>
      <c r="AR123" s="46" t="n">
        <v>0</v>
      </c>
      <c r="AS123" s="46" t="n">
        <v>0</v>
      </c>
      <c r="AT123" s="46" t="n">
        <v>0</v>
      </c>
      <c r="AU123" s="46" t="n">
        <v>0</v>
      </c>
      <c r="AV123" s="46" t="n">
        <v>0</v>
      </c>
      <c r="AW123" s="46" t="n">
        <v>0</v>
      </c>
      <c r="AX123" s="46" t="n">
        <v>0</v>
      </c>
      <c r="AY123" s="46" t="n">
        <v>0</v>
      </c>
      <c r="AZ123" s="46" t="n">
        <v>0</v>
      </c>
      <c r="BA123" s="46" t="n">
        <v>0</v>
      </c>
      <c r="BB123" s="46" t="n">
        <v>0</v>
      </c>
      <c r="BC123" s="46" t="n">
        <v>0</v>
      </c>
      <c r="BD123" s="46" t="n">
        <v>0</v>
      </c>
      <c r="BE123" s="46" t="n">
        <v>0</v>
      </c>
      <c r="BF123" s="46" t="n">
        <v>0</v>
      </c>
      <c r="BG123" s="46" t="n">
        <v>0</v>
      </c>
      <c r="BH123" s="46" t="n">
        <v>0</v>
      </c>
      <c r="BI123" s="46" t="n">
        <v>0</v>
      </c>
      <c r="BJ123" s="46" t="n">
        <v>0</v>
      </c>
      <c r="BK123" s="46" t="n">
        <v>0</v>
      </c>
      <c r="BL123" s="46" t="n">
        <v>0</v>
      </c>
      <c r="BM123" s="46" t="n">
        <v>0</v>
      </c>
      <c r="BN123" s="46" t="n">
        <v>0</v>
      </c>
      <c r="BO123" s="46" t="n">
        <v>0</v>
      </c>
      <c r="BP123" s="46" t="n">
        <v>0</v>
      </c>
      <c r="BQ123" s="46" t="n">
        <v>0</v>
      </c>
      <c r="BR123" s="46" t="n">
        <v>0</v>
      </c>
      <c r="BS123" s="46" t="n">
        <v>0</v>
      </c>
      <c r="BT123" s="46" t="n">
        <v>0</v>
      </c>
      <c r="BU123" s="46" t="n">
        <v>0</v>
      </c>
      <c r="BV123" s="46" t="n">
        <v>0</v>
      </c>
      <c r="BW123" s="46" t="n">
        <v>0</v>
      </c>
      <c r="BX123" s="46" t="n">
        <v>0</v>
      </c>
      <c r="BY123" s="46" t="n">
        <v>0</v>
      </c>
      <c r="BZ123" s="46" t="n">
        <v>0</v>
      </c>
      <c r="CA123" s="46" t="n">
        <v>0</v>
      </c>
      <c r="CB123" s="46" t="n">
        <v>0</v>
      </c>
      <c r="CC123" s="46" t="n">
        <v>0</v>
      </c>
      <c r="CD123" s="46" t="n">
        <v>0</v>
      </c>
      <c r="CE123" s="46" t="n">
        <v>0</v>
      </c>
      <c r="CF123" s="46" t="n">
        <v>0</v>
      </c>
      <c r="CG123" s="46" t="n">
        <v>0</v>
      </c>
      <c r="CH123" s="46" t="n">
        <v>0</v>
      </c>
      <c r="CI123" s="25"/>
    </row>
    <row r="124" customFormat="false" ht="15" hidden="false" customHeight="true" outlineLevel="0" collapsed="false">
      <c r="A124" s="47" t="s">
        <v>149</v>
      </c>
      <c r="B124" s="47"/>
      <c r="C124" s="48" t="n">
        <f aca="false">-MIN(C121+C122+C123,MAX(0,C62-Helpers!C26))</f>
        <v>-0</v>
      </c>
      <c r="D124" s="48" t="n">
        <f aca="false">-MIN(D121+D122+D123,MAX(0,D62-Helpers!D26))</f>
        <v>-0</v>
      </c>
      <c r="E124" s="48" t="n">
        <f aca="false">-MIN(E121+E122+E123,MAX(0,E62-Helpers!E26))</f>
        <v>-0</v>
      </c>
      <c r="F124" s="48" t="n">
        <f aca="false">-MIN(F121+F122+F123,MAX(0,F62-Helpers!F26))</f>
        <v>-0</v>
      </c>
      <c r="G124" s="48" t="n">
        <f aca="false">-MIN(G121+G122+G123,MAX(0,G62-Helpers!G26))</f>
        <v>-0</v>
      </c>
      <c r="H124" s="48" t="n">
        <f aca="false">-MIN(H121+H122+H123,MAX(0,H62-Helpers!H26))</f>
        <v>-0</v>
      </c>
      <c r="I124" s="48" t="n">
        <f aca="false">-MIN(I121+I122+I123,MAX(0,I62-Helpers!I26))</f>
        <v>-0</v>
      </c>
      <c r="J124" s="48" t="n">
        <f aca="false">-MIN(J121+J122+J123,MAX(0,J62-Helpers!J26))</f>
        <v>-0</v>
      </c>
      <c r="K124" s="48" t="n">
        <f aca="false">-MIN(K121+K122+K123,MAX(0,K62-Helpers!K26))</f>
        <v>-0</v>
      </c>
      <c r="L124" s="48" t="n">
        <f aca="false">-MIN(L121+L122+L123,MAX(0,L62-Helpers!L26))</f>
        <v>-0</v>
      </c>
      <c r="M124" s="48" t="n">
        <f aca="false">-MIN(M121+M122+M123,MAX(0,M62-Helpers!M26))</f>
        <v>-0</v>
      </c>
      <c r="N124" s="48" t="n">
        <f aca="false">-MIN(N121+N122+N123,MAX(0,N62-Helpers!N26))</f>
        <v>-0</v>
      </c>
      <c r="O124" s="48" t="n">
        <f aca="false">-MIN(O121+O122+O123,MAX(0,O62-Helpers!O26))</f>
        <v>-0</v>
      </c>
      <c r="P124" s="48" t="n">
        <f aca="false">-MIN(P121+P122+P123,MAX(0,P62-Helpers!P26))</f>
        <v>-0</v>
      </c>
      <c r="Q124" s="48" t="n">
        <f aca="false">-MIN(Q121+Q122+Q123,MAX(0,Q62-Helpers!Q26))</f>
        <v>-0</v>
      </c>
      <c r="R124" s="48" t="n">
        <f aca="false">-MIN(R121+R122+R123,MAX(0,R62-Helpers!R26))</f>
        <v>-0</v>
      </c>
      <c r="S124" s="48" t="n">
        <f aca="false">-MIN(S121+S122+S123,MAX(0,S62-Helpers!S26))</f>
        <v>-0</v>
      </c>
      <c r="T124" s="48" t="n">
        <f aca="false">-MIN(T121+T122+T123,MAX(0,T62-Helpers!T26))</f>
        <v>-0</v>
      </c>
      <c r="U124" s="48" t="n">
        <f aca="false">-MIN(U121+U122+U123,MAX(0,U62-Helpers!U26))</f>
        <v>-0</v>
      </c>
      <c r="V124" s="48" t="n">
        <f aca="false">-MIN(V121+V122+V123,MAX(0,V62-Helpers!V26))</f>
        <v>-0</v>
      </c>
      <c r="W124" s="48" t="n">
        <f aca="false">-MIN(W121+W122+W123,MAX(0,W62-Helpers!W26))</f>
        <v>-0</v>
      </c>
      <c r="X124" s="48" t="n">
        <f aca="false">-MIN(X121+X122+X123,MAX(0,X62-Helpers!X26))</f>
        <v>-0</v>
      </c>
      <c r="Y124" s="48" t="n">
        <f aca="false">-MIN(Y121+Y122+Y123,MAX(0,Y62-Helpers!Y26))</f>
        <v>-0</v>
      </c>
      <c r="Z124" s="48" t="n">
        <f aca="false">-MIN(Z121+Z122+Z123,MAX(0,Z62-Helpers!Z26))</f>
        <v>-0</v>
      </c>
      <c r="AA124" s="48" t="n">
        <f aca="false">-MIN(AA121+AA122+AA123,MAX(0,AA62-Helpers!AA26))</f>
        <v>-0</v>
      </c>
      <c r="AB124" s="48" t="n">
        <f aca="false">-MIN(AB121+AB122+AB123,MAX(0,AB62-Helpers!AB26))</f>
        <v>-0</v>
      </c>
      <c r="AC124" s="48" t="n">
        <f aca="false">-MIN(AC121+AC122+AC123,MAX(0,AC62-Helpers!AC26))</f>
        <v>-0</v>
      </c>
      <c r="AD124" s="48" t="n">
        <f aca="false">-MIN(AD121+AD122+AD123,MAX(0,AD62-Helpers!AD26))</f>
        <v>-0</v>
      </c>
      <c r="AE124" s="48" t="n">
        <f aca="false">-MIN(AE121+AE122+AE123,MAX(0,AE62-Helpers!AE26))</f>
        <v>-0</v>
      </c>
      <c r="AF124" s="48" t="n">
        <f aca="false">-MIN(AF121+AF122+AF123,MAX(0,AF62-Helpers!AF26))</f>
        <v>-0</v>
      </c>
      <c r="AG124" s="48" t="n">
        <f aca="false">-MIN(AG121+AG122+AG123,MAX(0,AG62-Helpers!AG26))</f>
        <v>-0</v>
      </c>
      <c r="AH124" s="48" t="n">
        <f aca="false">-MIN(AH121+AH122+AH123,MAX(0,AH62-Helpers!AH26))</f>
        <v>-0</v>
      </c>
      <c r="AI124" s="48" t="n">
        <f aca="false">-MIN(AI121+AI122+AI123,MAX(0,AI62-Helpers!AI26))</f>
        <v>-0</v>
      </c>
      <c r="AJ124" s="48" t="n">
        <f aca="false">-MIN(AJ121+AJ122+AJ123,MAX(0,AJ62-Helpers!AJ26))</f>
        <v>-0</v>
      </c>
      <c r="AK124" s="48" t="n">
        <f aca="false">-MIN(AK121+AK122+AK123,MAX(0,AK62-Helpers!AK26))</f>
        <v>-0</v>
      </c>
      <c r="AL124" s="48" t="n">
        <f aca="false">-MIN(AL121+AL122+AL123,MAX(0,AL62-Helpers!AL26))</f>
        <v>-0</v>
      </c>
      <c r="AM124" s="48" t="n">
        <f aca="false">-MIN(AM121+AM122+AM123,MAX(0,AM62-Helpers!AM26))</f>
        <v>-0</v>
      </c>
      <c r="AN124" s="48" t="n">
        <f aca="false">-MIN(AN121+AN122+AN123,MAX(0,AN62-Helpers!AN26))</f>
        <v>-0</v>
      </c>
      <c r="AO124" s="48" t="n">
        <f aca="false">-MIN(AO121+AO122+AO123,MAX(0,AO62-Helpers!AO26))</f>
        <v>-0</v>
      </c>
      <c r="AP124" s="48" t="n">
        <f aca="false">-MIN(AP121+AP122+AP123,MAX(0,AP62-Helpers!AP26))</f>
        <v>-0</v>
      </c>
      <c r="AQ124" s="48" t="n">
        <f aca="false">-MIN(AQ121+AQ122+AQ123,MAX(0,AQ62-Helpers!AQ26))</f>
        <v>-0</v>
      </c>
      <c r="AR124" s="48" t="n">
        <f aca="false">-MIN(AR121+AR122+AR123,MAX(0,AR62-Helpers!AR26))</f>
        <v>-0</v>
      </c>
      <c r="AS124" s="48" t="n">
        <f aca="false">-MIN(AS121+AS122+AS123,MAX(0,AS62-Helpers!AS26))</f>
        <v>-0</v>
      </c>
      <c r="AT124" s="48" t="n">
        <f aca="false">-MIN(AT121+AT122+AT123,MAX(0,AT62-Helpers!AT26))</f>
        <v>-0</v>
      </c>
      <c r="AU124" s="48" t="n">
        <f aca="false">-MIN(AU121+AU122+AU123,MAX(0,AU62-Helpers!AU26))</f>
        <v>-0</v>
      </c>
      <c r="AV124" s="48" t="n">
        <f aca="false">-MIN(AV121+AV122+AV123,MAX(0,AV62-Helpers!AV26))</f>
        <v>-0</v>
      </c>
      <c r="AW124" s="48" t="n">
        <f aca="false">-MIN(AW121+AW122+AW123,MAX(0,AW62-Helpers!AW26))</f>
        <v>-0</v>
      </c>
      <c r="AX124" s="48" t="n">
        <f aca="false">-MIN(AX121+AX122+AX123,MAX(0,AX62-Helpers!AX26))</f>
        <v>-0</v>
      </c>
      <c r="AY124" s="48" t="n">
        <f aca="false">-MIN(AY121+AY122+AY123,MAX(0,AY62-Helpers!AY26))</f>
        <v>-0</v>
      </c>
      <c r="AZ124" s="48" t="n">
        <f aca="false">-MIN(AZ121+AZ122+AZ123,MAX(0,AZ62-Helpers!AZ26))</f>
        <v>-0</v>
      </c>
      <c r="BA124" s="48" t="n">
        <f aca="false">-MIN(BA121+BA122+BA123,MAX(0,BA62-Helpers!BA26))</f>
        <v>-0</v>
      </c>
      <c r="BB124" s="48" t="n">
        <f aca="false">-MIN(BB121+BB122+BB123,MAX(0,BB62-Helpers!BB26))</f>
        <v>-0</v>
      </c>
      <c r="BC124" s="48" t="n">
        <f aca="false">-MIN(BC121+BC122+BC123,MAX(0,BC62-Helpers!BC26))</f>
        <v>-0</v>
      </c>
      <c r="BD124" s="48" t="n">
        <f aca="false">-MIN(BD121+BD122+BD123,MAX(0,BD62-Helpers!BD26))</f>
        <v>-0</v>
      </c>
      <c r="BE124" s="48" t="n">
        <f aca="false">-MIN(BE121+BE122+BE123,MAX(0,BE62-Helpers!BE26))</f>
        <v>-0</v>
      </c>
      <c r="BF124" s="48" t="n">
        <f aca="false">-MIN(BF121+BF122+BF123,MAX(0,BF62-Helpers!BF26))</f>
        <v>-0</v>
      </c>
      <c r="BG124" s="48" t="n">
        <f aca="false">-MIN(BG121+BG122+BG123,MAX(0,BG62-Helpers!BG26))</f>
        <v>-0</v>
      </c>
      <c r="BH124" s="48" t="n">
        <f aca="false">-MIN(BH121+BH122+BH123,MAX(0,BH62-Helpers!BH26))</f>
        <v>-0</v>
      </c>
      <c r="BI124" s="48" t="n">
        <f aca="false">-MIN(BI121+BI122+BI123,MAX(0,BI62-Helpers!BI26))</f>
        <v>-0</v>
      </c>
      <c r="BJ124" s="48" t="n">
        <f aca="false">-MIN(BJ121+BJ122+BJ123,MAX(0,BJ62-Helpers!BJ26))</f>
        <v>-0</v>
      </c>
      <c r="BK124" s="48" t="n">
        <f aca="false">-MIN(BK121+BK122+BK123,MAX(0,BK62-Helpers!BK26))</f>
        <v>-0</v>
      </c>
      <c r="BL124" s="48" t="n">
        <f aca="false">-MIN(BL121+BL122+BL123,MAX(0,BL62-Helpers!BL26))</f>
        <v>-0</v>
      </c>
      <c r="BM124" s="48" t="n">
        <f aca="false">-MIN(BM121+BM122+BM123,MAX(0,BM62-Helpers!BM26))</f>
        <v>-0</v>
      </c>
      <c r="BN124" s="48" t="n">
        <f aca="false">-MIN(BN121+BN122+BN123,MAX(0,BN62-Helpers!BN26))</f>
        <v>-0</v>
      </c>
      <c r="BO124" s="48" t="n">
        <f aca="false">-MIN(BO121+BO122+BO123,MAX(0,BO62-Helpers!BO26))</f>
        <v>-0</v>
      </c>
      <c r="BP124" s="48" t="n">
        <f aca="false">-MIN(BP121+BP122+BP123,MAX(0,BP62-Helpers!BP26))</f>
        <v>-0</v>
      </c>
      <c r="BQ124" s="48" t="n">
        <f aca="false">-MIN(BQ121+BQ122+BQ123,MAX(0,BQ62-Helpers!BQ26))</f>
        <v>-0</v>
      </c>
      <c r="BR124" s="48" t="n">
        <f aca="false">-MIN(BR121+BR122+BR123,MAX(0,BR62-Helpers!BR26))</f>
        <v>-0</v>
      </c>
      <c r="BS124" s="48" t="n">
        <f aca="false">-MIN(BS121+BS122+BS123,MAX(0,BS62-Helpers!BS26))</f>
        <v>-0</v>
      </c>
      <c r="BT124" s="48" t="n">
        <f aca="false">-MIN(BT121+BT122+BT123,MAX(0,BT62-Helpers!BT26))</f>
        <v>-0</v>
      </c>
      <c r="BU124" s="48" t="n">
        <f aca="false">-MIN(BU121+BU122+BU123,MAX(0,BU62-Helpers!BU26))</f>
        <v>-0</v>
      </c>
      <c r="BV124" s="48" t="n">
        <f aca="false">-MIN(BV121+BV122+BV123,MAX(0,BV62-Helpers!BV26))</f>
        <v>-0</v>
      </c>
      <c r="BW124" s="48" t="n">
        <f aca="false">-MIN(BW121+BW122+BW123,MAX(0,BW62-Helpers!BW26))</f>
        <v>-0</v>
      </c>
      <c r="BX124" s="48" t="n">
        <f aca="false">-MIN(BX121+BX122+BX123,MAX(0,BX62-Helpers!BX26))</f>
        <v>-0</v>
      </c>
      <c r="BY124" s="48" t="n">
        <f aca="false">-MIN(BY121+BY122+BY123,MAX(0,BY62-Helpers!BY26))</f>
        <v>-0</v>
      </c>
      <c r="BZ124" s="48" t="n">
        <f aca="false">-MIN(BZ121+BZ122+BZ123,MAX(0,BZ62-Helpers!BZ26))</f>
        <v>-0</v>
      </c>
      <c r="CA124" s="48" t="n">
        <f aca="false">-MIN(CA121+CA122+CA123,MAX(0,CA62-Helpers!CA26))</f>
        <v>-0</v>
      </c>
      <c r="CB124" s="48" t="n">
        <f aca="false">-MIN(CB121+CB122+CB123,MAX(0,CB62-Helpers!CB26))</f>
        <v>-0</v>
      </c>
      <c r="CC124" s="48" t="n">
        <f aca="false">-MIN(CC121+CC122+CC123,MAX(0,CC62-Helpers!CC26))</f>
        <v>-0</v>
      </c>
      <c r="CD124" s="48" t="n">
        <f aca="false">-MIN(CD121+CD122+CD123,MAX(0,CD62-Helpers!CD26))</f>
        <v>-0</v>
      </c>
      <c r="CE124" s="48" t="n">
        <f aca="false">-MIN(CE121+CE122+CE123,MAX(0,CE62-Helpers!CE26))</f>
        <v>-0</v>
      </c>
      <c r="CF124" s="48" t="n">
        <f aca="false">-MIN(CF121+CF122+CF123,MAX(0,CF62-Helpers!CF26))</f>
        <v>-0</v>
      </c>
      <c r="CG124" s="48" t="n">
        <f aca="false">-MIN(CG121+CG122+CG123,MAX(0,CG62-Helpers!CG26))</f>
        <v>-0</v>
      </c>
      <c r="CH124" s="48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2" t="s">
        <v>150</v>
      </c>
      <c r="B125" s="43"/>
      <c r="C125" s="44" t="n">
        <f aca="false">MAX(0,C121+C122+C123+C124)</f>
        <v>264927.15</v>
      </c>
      <c r="D125" s="44" t="n">
        <f aca="false">MAX(0,D121+D122+D123+D124)</f>
        <v>264927.15</v>
      </c>
      <c r="E125" s="44" t="n">
        <f aca="false">MAX(0,E121+E122+E123+E124)</f>
        <v>458103.196875</v>
      </c>
      <c r="F125" s="44" t="n">
        <f aca="false">MAX(0,F121+F122+F123+F124)</f>
        <v>458103.196875</v>
      </c>
      <c r="G125" s="44" t="n">
        <f aca="false">MAX(0,G121+G122+G123+G124)</f>
        <v>458103.196875</v>
      </c>
      <c r="H125" s="44" t="n">
        <f aca="false">MAX(0,H121+H122+H123+H124)</f>
        <v>658523.345507813</v>
      </c>
      <c r="I125" s="44" t="n">
        <f aca="false">MAX(0,I121+I122+I123+I124)</f>
        <v>658523.345507813</v>
      </c>
      <c r="J125" s="44" t="n">
        <f aca="false">MAX(0,J121+J122+J123+J124)</f>
        <v>658523.345507813</v>
      </c>
      <c r="K125" s="44" t="n">
        <f aca="false">MAX(0,K121+K122+K123+K124)</f>
        <v>683217.970964355</v>
      </c>
      <c r="L125" s="44" t="n">
        <f aca="false">MAX(0,L121+L122+L123+L124)</f>
        <v>771527.020964355</v>
      </c>
      <c r="M125" s="44" t="n">
        <f aca="false">MAX(0,M121+M122+M123+M124)</f>
        <v>771527.020964355</v>
      </c>
      <c r="N125" s="44" t="n">
        <f aca="false">MAX(0,N121+N122+N123+N124)</f>
        <v>800459.284250519</v>
      </c>
      <c r="O125" s="44" t="n">
        <f aca="false">MAX(0,O121+O122+O123+O124)</f>
        <v>800459.284250519</v>
      </c>
      <c r="P125" s="44" t="n">
        <f aca="false">MAX(0,P121+P122+P123+P124)</f>
        <v>800459.284250519</v>
      </c>
      <c r="Q125" s="44" t="n">
        <f aca="false">MAX(0,Q121+Q122+Q123+Q124)</f>
        <v>922097.146784913</v>
      </c>
      <c r="R125" s="44" t="n">
        <f aca="false">MAX(0,R121+R122+R123+R124)</f>
        <v>922097.146784913</v>
      </c>
      <c r="S125" s="44" t="n">
        <f aca="false">MAX(0,S121+S122+S123+S124)</f>
        <v>922097.146784913</v>
      </c>
      <c r="T125" s="44" t="n">
        <f aca="false">MAX(0,T121+T122+T123+T124)</f>
        <v>956675.789789348</v>
      </c>
      <c r="U125" s="44" t="n">
        <f aca="false">MAX(0,U121+U122+U123+U124)</f>
        <v>956675.789789348</v>
      </c>
      <c r="V125" s="44" t="n">
        <f aca="false">MAX(0,V121+V122+V123+V124)</f>
        <v>956675.789789348</v>
      </c>
      <c r="W125" s="44" t="n">
        <f aca="false">MAX(0,W121+W122+W123+W124)</f>
        <v>1084171.77128145</v>
      </c>
      <c r="X125" s="44" t="n">
        <f aca="false">MAX(0,X121+X122+X123+X124)</f>
        <v>1084171.77128145</v>
      </c>
      <c r="Y125" s="44" t="n">
        <f aca="false">MAX(0,Y121+Y122+Y123+Y124)</f>
        <v>1084171.77128145</v>
      </c>
      <c r="Z125" s="44" t="n">
        <f aca="false">MAX(0,Z121+Z122+Z123+Z124)</f>
        <v>1124828.2127045</v>
      </c>
      <c r="AA125" s="44" t="n">
        <f aca="false">MAX(0,AA121+AA122+AA123+AA124)</f>
        <v>1124828.2127045</v>
      </c>
      <c r="AB125" s="44" t="n">
        <f aca="false">MAX(0,AB121+AB122+AB123+AB124)</f>
        <v>1124828.2127045</v>
      </c>
      <c r="AC125" s="44" t="n">
        <f aca="false">MAX(0,AC121+AC122+AC123+AC124)</f>
        <v>283215.664430921</v>
      </c>
      <c r="AD125" s="44" t="n">
        <f aca="false">MAX(0,AD121+AD122+AD123+AD124)</f>
        <v>283215.664430921</v>
      </c>
      <c r="AE125" s="44" t="n">
        <f aca="false">MAX(0,AE121+AE122+AE123+AE124)</f>
        <v>283215.664430921</v>
      </c>
      <c r="AF125" s="44" t="n">
        <f aca="false">MAX(0,AF121+AF122+AF123+AF124)</f>
        <v>293836.251847081</v>
      </c>
      <c r="AG125" s="44" t="n">
        <f aca="false">MAX(0,AG121+AG122+AG123+AG124)</f>
        <v>293836.251847081</v>
      </c>
      <c r="AH125" s="44" t="n">
        <f aca="false">MAX(0,AH121+AH122+AH123+AH124)</f>
        <v>293836.251847081</v>
      </c>
      <c r="AI125" s="44" t="n">
        <f aca="false">MAX(0,AI121+AI122+AI123+AI124)</f>
        <v>304855.111291347</v>
      </c>
      <c r="AJ125" s="44" t="n">
        <f aca="false">MAX(0,AJ121+AJ122+AJ123+AJ124)</f>
        <v>304855.111291347</v>
      </c>
      <c r="AK125" s="44" t="n">
        <f aca="false">MAX(0,AK121+AK122+AK123+AK124)</f>
        <v>304855.111291347</v>
      </c>
      <c r="AL125" s="44" t="n">
        <f aca="false">MAX(0,AL121+AL122+AL123+AL124)</f>
        <v>316287.177964772</v>
      </c>
      <c r="AM125" s="44" t="n">
        <f aca="false">MAX(0,AM121+AM122+AM123+AM124)</f>
        <v>316287.177964772</v>
      </c>
      <c r="AN125" s="44" t="n">
        <f aca="false">MAX(0,AN121+AN122+AN123+AN124)</f>
        <v>316287.177964772</v>
      </c>
      <c r="AO125" s="44" t="n">
        <f aca="false">MAX(0,AO121+AO122+AO123+AO124)</f>
        <v>328147.947138451</v>
      </c>
      <c r="AP125" s="44" t="n">
        <f aca="false">MAX(0,AP121+AP122+AP123+AP124)</f>
        <v>328147.947138451</v>
      </c>
      <c r="AQ125" s="44" t="n">
        <f aca="false">MAX(0,AQ121+AQ122+AQ123+AQ124)</f>
        <v>328147.947138451</v>
      </c>
      <c r="AR125" s="44" t="n">
        <f aca="false">MAX(0,AR121+AR122+AR123+AR124)</f>
        <v>340453.495156143</v>
      </c>
      <c r="AS125" s="44" t="n">
        <f aca="false">MAX(0,AS121+AS122+AS123+AS124)</f>
        <v>340453.495156143</v>
      </c>
      <c r="AT125" s="44" t="n">
        <f aca="false">MAX(0,AT121+AT122+AT123+AT124)</f>
        <v>340453.495156143</v>
      </c>
      <c r="AU125" s="44" t="n">
        <f aca="false">MAX(0,AU121+AU122+AU123+AU124)</f>
        <v>353220.501224498</v>
      </c>
      <c r="AV125" s="44" t="n">
        <f aca="false">MAX(0,AV121+AV122+AV123+AV124)</f>
        <v>353220.501224498</v>
      </c>
      <c r="AW125" s="44" t="n">
        <f aca="false">MAX(0,AW121+AW122+AW123+AW124)</f>
        <v>353220.501224498</v>
      </c>
      <c r="AX125" s="44" t="n">
        <f aca="false">MAX(0,AX121+AX122+AX123+AX124)</f>
        <v>366466.270020417</v>
      </c>
      <c r="AY125" s="44" t="n">
        <f aca="false">MAX(0,AY121+AY122+AY123+AY124)</f>
        <v>366466.270020417</v>
      </c>
      <c r="AZ125" s="44" t="n">
        <f aca="false">MAX(0,AZ121+AZ122+AZ123+AZ124)</f>
        <v>366466.270020417</v>
      </c>
      <c r="BA125" s="44" t="n">
        <f aca="false">MAX(0,BA121+BA122+BA123+BA124)</f>
        <v>380208.755146183</v>
      </c>
      <c r="BB125" s="44" t="n">
        <f aca="false">MAX(0,BB121+BB122+BB123+BB124)</f>
        <v>380208.755146183</v>
      </c>
      <c r="BC125" s="44" t="n">
        <f aca="false">MAX(0,BC121+BC122+BC123+BC124)</f>
        <v>380208.755146183</v>
      </c>
      <c r="BD125" s="44" t="n">
        <f aca="false">MAX(0,BD121+BD122+BD123+BD124)</f>
        <v>394466.583464164</v>
      </c>
      <c r="BE125" s="44" t="n">
        <f aca="false">MAX(0,BE121+BE122+BE123+BE124)</f>
        <v>394466.583464164</v>
      </c>
      <c r="BF125" s="44" t="n">
        <f aca="false">MAX(0,BF121+BF122+BF123+BF124)</f>
        <v>394466.583464164</v>
      </c>
      <c r="BG125" s="44" t="n">
        <f aca="false">MAX(0,BG121+BG122+BG123+BG124)</f>
        <v>409259.080344071</v>
      </c>
      <c r="BH125" s="44" t="n">
        <f aca="false">MAX(0,BH121+BH122+BH123+BH124)</f>
        <v>409259.080344071</v>
      </c>
      <c r="BI125" s="44" t="n">
        <f aca="false">MAX(0,BI121+BI122+BI123+BI124)</f>
        <v>409259.080344071</v>
      </c>
      <c r="BJ125" s="44" t="n">
        <f aca="false">MAX(0,BJ121+BJ122+BJ123+BJ124)</f>
        <v>424606.295856973</v>
      </c>
      <c r="BK125" s="44" t="n">
        <f aca="false">MAX(0,BK121+BK122+BK123+BK124)</f>
        <v>424606.295856973</v>
      </c>
      <c r="BL125" s="44" t="n">
        <f aca="false">MAX(0,BL121+BL122+BL123+BL124)</f>
        <v>424606.295856973</v>
      </c>
      <c r="BM125" s="44" t="n">
        <f aca="false">MAX(0,BM121+BM122+BM123+BM124)</f>
        <v>440529.03195161</v>
      </c>
      <c r="BN125" s="44" t="n">
        <f aca="false">MAX(0,BN121+BN122+BN123+BN124)</f>
        <v>440529.03195161</v>
      </c>
      <c r="BO125" s="44" t="n">
        <f aca="false">MAX(0,BO121+BO122+BO123+BO124)</f>
        <v>440529.03195161</v>
      </c>
      <c r="BP125" s="44" t="n">
        <f aca="false">MAX(0,BP121+BP122+BP123+BP124)</f>
        <v>457048.870649795</v>
      </c>
      <c r="BQ125" s="44" t="n">
        <f aca="false">MAX(0,BQ121+BQ122+BQ123+BQ124)</f>
        <v>457048.870649795</v>
      </c>
      <c r="BR125" s="44" t="n">
        <f aca="false">MAX(0,BR121+BR122+BR123+BR124)</f>
        <v>457048.870649795</v>
      </c>
      <c r="BS125" s="44" t="n">
        <f aca="false">MAX(0,BS121+BS122+BS123+BS124)</f>
        <v>474188.203299162</v>
      </c>
      <c r="BT125" s="44" t="n">
        <f aca="false">MAX(0,BT121+BT122+BT123+BT124)</f>
        <v>474188.203299162</v>
      </c>
      <c r="BU125" s="44" t="n">
        <f aca="false">MAX(0,BU121+BU122+BU123+BU124)</f>
        <v>474188.203299162</v>
      </c>
      <c r="BV125" s="44" t="n">
        <f aca="false">MAX(0,BV121+BV122+BV123+BV124)</f>
        <v>491970.260922881</v>
      </c>
      <c r="BW125" s="44" t="n">
        <f aca="false">MAX(0,BW121+BW122+BW123+BW124)</f>
        <v>491970.260922881</v>
      </c>
      <c r="BX125" s="44" t="n">
        <f aca="false">MAX(0,BX121+BX122+BX123+BX124)</f>
        <v>491970.260922881</v>
      </c>
      <c r="BY125" s="44" t="n">
        <f aca="false">MAX(0,BY121+BY122+BY123+BY124)</f>
        <v>510419.145707489</v>
      </c>
      <c r="BZ125" s="44" t="n">
        <f aca="false">MAX(0,BZ121+BZ122+BZ123+BZ124)</f>
        <v>510419.145707489</v>
      </c>
      <c r="CA125" s="44" t="n">
        <f aca="false">MAX(0,CA121+CA122+CA123+CA124)</f>
        <v>510419.145707489</v>
      </c>
      <c r="CB125" s="44" t="n">
        <f aca="false">MAX(0,CB121+CB122+CB123+CB124)</f>
        <v>529559.86367152</v>
      </c>
      <c r="CC125" s="44" t="n">
        <f aca="false">MAX(0,CC121+CC122+CC123+CC124)</f>
        <v>529559.86367152</v>
      </c>
      <c r="CD125" s="44" t="n">
        <f aca="false">MAX(0,CD121+CD122+CD123+CD124)</f>
        <v>529559.86367152</v>
      </c>
      <c r="CE125" s="44" t="n">
        <f aca="false">MAX(0,CE121+CE122+CE123+CE124)</f>
        <v>549418.358559202</v>
      </c>
      <c r="CF125" s="44" t="n">
        <f aca="false">MAX(0,CF121+CF122+CF123+CF124)</f>
        <v>549418.358559202</v>
      </c>
      <c r="CG125" s="44" t="n">
        <f aca="false">MAX(0,CG121+CG122+CG123+CG124)</f>
        <v>549418.358559202</v>
      </c>
      <c r="CH125" s="44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5" t="s">
        <v>151</v>
      </c>
      <c r="B126" s="45"/>
      <c r="C126" s="46" t="n">
        <f aca="false">IF(Projects!$G$13="Yes",Assumptions!$B$71,0)</f>
        <v>1134000</v>
      </c>
      <c r="D126" s="46" t="n">
        <f aca="false">C130+IF(AND(Projects!$G$13="Yes",2&lt;=Assumptions!$B$73),Assumptions!$B$72,0)</f>
        <v>1184000</v>
      </c>
      <c r="E126" s="46" t="n">
        <f aca="false">D130+IF(AND(Projects!$G$13="Yes",3&lt;=Assumptions!$B$73),Assumptions!$B$72,0)</f>
        <v>1234000</v>
      </c>
      <c r="F126" s="46" t="n">
        <f aca="false">E130+IF(AND(Projects!$G$13="Yes",4&lt;=Assumptions!$B$73),Assumptions!$B$72,0)</f>
        <v>1330275</v>
      </c>
      <c r="G126" s="46" t="n">
        <f aca="false">F130+IF(AND(Projects!$G$13="Yes",5&lt;=Assumptions!$B$73),Assumptions!$B$72,0)</f>
        <v>1380275</v>
      </c>
      <c r="H126" s="46" t="n">
        <f aca="false">G130+IF(AND(Projects!$G$13="Yes",6&lt;=Assumptions!$B$73),Assumptions!$B$72,0)</f>
        <v>1430275</v>
      </c>
      <c r="I126" s="46" t="n">
        <f aca="false">H130+IF(AND(Projects!$G$13="Yes",7&lt;=Assumptions!$B$73),Assumptions!$B$72,0)</f>
        <v>1533910.3125</v>
      </c>
      <c r="J126" s="46" t="n">
        <f aca="false">I130+IF(AND(Projects!$G$13="Yes",8&lt;=Assumptions!$B$73),Assumptions!$B$72,0)</f>
        <v>1583910.3125</v>
      </c>
      <c r="K126" s="46" t="n">
        <f aca="false">J130+IF(AND(Projects!$G$13="Yes",9&lt;=Assumptions!$B$73),Assumptions!$B$72,0)</f>
        <v>1633910.3125</v>
      </c>
      <c r="L126" s="46" t="n">
        <f aca="false">K130+IF(AND(Projects!$G$13="Yes",10&lt;=Assumptions!$B$73),Assumptions!$B$72,0)</f>
        <v>1745181.94921875</v>
      </c>
      <c r="M126" s="46" t="n">
        <f aca="false">L130+IF(AND(Projects!$G$13="Yes",11&lt;=Assumptions!$B$73),Assumptions!$B$72,0)</f>
        <v>1795181.94921875</v>
      </c>
      <c r="N126" s="46" t="n">
        <f aca="false">M130+IF(AND(Projects!$G$13="Yes",12&lt;=Assumptions!$B$73),Assumptions!$B$72,0)</f>
        <v>1845181.94921875</v>
      </c>
      <c r="O126" s="46" t="n">
        <f aca="false">N130+IF(AND(Projects!$G$13="Yes",13&lt;=Assumptions!$B$73),Assumptions!$B$72,0)</f>
        <v>1964376.27231445</v>
      </c>
      <c r="P126" s="46" t="n">
        <f aca="false">O130+IF(AND(Projects!$G$13="Yes",14&lt;=Assumptions!$B$73),Assumptions!$B$72,0)</f>
        <v>564376.272314453</v>
      </c>
      <c r="Q126" s="46" t="n">
        <f aca="false">P130+IF(AND(Projects!$G$13="Yes",15&lt;=Assumptions!$B$73),Assumptions!$B$72,0)</f>
        <v>564376.272314453</v>
      </c>
      <c r="R126" s="46" t="n">
        <f aca="false">Q130+IF(AND(Projects!$G$13="Yes",16&lt;=Assumptions!$B$73),Assumptions!$B$72,0)</f>
        <v>585540.382526245</v>
      </c>
      <c r="S126" s="46" t="n">
        <f aca="false">R130+IF(AND(Projects!$G$13="Yes",17&lt;=Assumptions!$B$73),Assumptions!$B$72,0)</f>
        <v>585540.382526245</v>
      </c>
      <c r="T126" s="46" t="n">
        <f aca="false">S130+IF(AND(Projects!$G$13="Yes",18&lt;=Assumptions!$B$73),Assumptions!$B$72,0)</f>
        <v>585540.382526245</v>
      </c>
      <c r="U126" s="46" t="n">
        <f aca="false">T130+IF(AND(Projects!$G$13="Yes",19&lt;=Assumptions!$B$73),Assumptions!$B$72,0)</f>
        <v>607498.146870979</v>
      </c>
      <c r="V126" s="46" t="n">
        <f aca="false">U130+IF(AND(Projects!$G$13="Yes",20&lt;=Assumptions!$B$73),Assumptions!$B$72,0)</f>
        <v>607498.146870979</v>
      </c>
      <c r="W126" s="46" t="n">
        <f aca="false">V130+IF(AND(Projects!$G$13="Yes",21&lt;=Assumptions!$B$73),Assumptions!$B$72,0)</f>
        <v>607498.146870979</v>
      </c>
      <c r="X126" s="46" t="n">
        <f aca="false">W130+IF(AND(Projects!$G$13="Yes",22&lt;=Assumptions!$B$73),Assumptions!$B$72,0)</f>
        <v>630279.327378641</v>
      </c>
      <c r="Y126" s="46" t="n">
        <f aca="false">X130+IF(AND(Projects!$G$13="Yes",23&lt;=Assumptions!$B$73),Assumptions!$B$72,0)</f>
        <v>630279.327378641</v>
      </c>
      <c r="Z126" s="46" t="n">
        <f aca="false">Y130+IF(AND(Projects!$G$13="Yes",24&lt;=Assumptions!$B$73),Assumptions!$B$72,0)</f>
        <v>630279.327378641</v>
      </c>
      <c r="AA126" s="46" t="n">
        <f aca="false">Z130+IF(AND(Projects!$G$13="Yes",25&lt;=Assumptions!$B$73),Assumptions!$B$72,0)</f>
        <v>653914.80215534</v>
      </c>
      <c r="AB126" s="46" t="n">
        <f aca="false">AA130+IF(AND(Projects!$G$13="Yes",26&lt;=Assumptions!$B$73),Assumptions!$B$72,0)</f>
        <v>653914.80215534</v>
      </c>
      <c r="AC126" s="46" t="n">
        <f aca="false">AB130+IF(AND(Projects!$G$13="Yes",27&lt;=Assumptions!$B$73),Assumptions!$B$72,0)</f>
        <v>653914.80215534</v>
      </c>
      <c r="AD126" s="46" t="n">
        <f aca="false">AC130+IF(AND(Projects!$G$13="Yes",28&lt;=Assumptions!$B$73),Assumptions!$B$72,0)</f>
        <v>678436.607236165</v>
      </c>
      <c r="AE126" s="46" t="n">
        <f aca="false">AD130+IF(AND(Projects!$G$13="Yes",29&lt;=Assumptions!$B$73),Assumptions!$B$72,0)</f>
        <v>678436.607236165</v>
      </c>
      <c r="AF126" s="46" t="n">
        <f aca="false">AE130+IF(AND(Projects!$G$13="Yes",30&lt;=Assumptions!$B$73),Assumptions!$B$72,0)</f>
        <v>678436.607236165</v>
      </c>
      <c r="AG126" s="46" t="n">
        <f aca="false">AF130+IF(AND(Projects!$G$13="Yes",31&lt;=Assumptions!$B$73),Assumptions!$B$72,0)</f>
        <v>703877.980007521</v>
      </c>
      <c r="AH126" s="46" t="n">
        <f aca="false">AG130+IF(AND(Projects!$G$13="Yes",32&lt;=Assumptions!$B$73),Assumptions!$B$72,0)</f>
        <v>703877.980007521</v>
      </c>
      <c r="AI126" s="46" t="n">
        <f aca="false">AH130+IF(AND(Projects!$G$13="Yes",33&lt;=Assumptions!$B$73),Assumptions!$B$72,0)</f>
        <v>703877.980007521</v>
      </c>
      <c r="AJ126" s="46" t="n">
        <f aca="false">AI130+IF(AND(Projects!$G$13="Yes",34&lt;=Assumptions!$B$73),Assumptions!$B$72,0)</f>
        <v>730273.404257803</v>
      </c>
      <c r="AK126" s="46" t="n">
        <f aca="false">AJ130+IF(AND(Projects!$G$13="Yes",35&lt;=Assumptions!$B$73),Assumptions!$B$72,0)</f>
        <v>730273.404257803</v>
      </c>
      <c r="AL126" s="46" t="n">
        <f aca="false">AK130+IF(AND(Projects!$G$13="Yes",36&lt;=Assumptions!$B$73),Assumptions!$B$72,0)</f>
        <v>730273.404257803</v>
      </c>
      <c r="AM126" s="46" t="n">
        <f aca="false">AL130+IF(AND(Projects!$G$13="Yes",37&lt;=Assumptions!$B$73),Assumptions!$B$72,0)</f>
        <v>757658.656917471</v>
      </c>
      <c r="AN126" s="46" t="n">
        <f aca="false">AM130+IF(AND(Projects!$G$13="Yes",38&lt;=Assumptions!$B$73),Assumptions!$B$72,0)</f>
        <v>757658.656917471</v>
      </c>
      <c r="AO126" s="46" t="n">
        <f aca="false">AN130+IF(AND(Projects!$G$13="Yes",39&lt;=Assumptions!$B$73),Assumptions!$B$72,0)</f>
        <v>757658.656917471</v>
      </c>
      <c r="AP126" s="46" t="n">
        <f aca="false">AO130+IF(AND(Projects!$G$13="Yes",40&lt;=Assumptions!$B$73),Assumptions!$B$72,0)</f>
        <v>786070.856551876</v>
      </c>
      <c r="AQ126" s="46" t="n">
        <f aca="false">AP130+IF(AND(Projects!$G$13="Yes",41&lt;=Assumptions!$B$73),Assumptions!$B$72,0)</f>
        <v>786070.856551876</v>
      </c>
      <c r="AR126" s="46" t="n">
        <f aca="false">AQ130+IF(AND(Projects!$G$13="Yes",42&lt;=Assumptions!$B$73),Assumptions!$B$72,0)</f>
        <v>786070.856551876</v>
      </c>
      <c r="AS126" s="46" t="n">
        <f aca="false">AR130+IF(AND(Projects!$G$13="Yes",43&lt;=Assumptions!$B$73),Assumptions!$B$72,0)</f>
        <v>815548.513672571</v>
      </c>
      <c r="AT126" s="46" t="n">
        <f aca="false">AS130+IF(AND(Projects!$G$13="Yes",44&lt;=Assumptions!$B$73),Assumptions!$B$72,0)</f>
        <v>815548.513672571</v>
      </c>
      <c r="AU126" s="46" t="n">
        <f aca="false">AT130+IF(AND(Projects!$G$13="Yes",45&lt;=Assumptions!$B$73),Assumptions!$B$72,0)</f>
        <v>815548.513672571</v>
      </c>
      <c r="AV126" s="46" t="n">
        <f aca="false">AU130+IF(AND(Projects!$G$13="Yes",46&lt;=Assumptions!$B$73),Assumptions!$B$72,0)</f>
        <v>846131.582935293</v>
      </c>
      <c r="AW126" s="46" t="n">
        <f aca="false">AV130+IF(AND(Projects!$G$13="Yes",47&lt;=Assumptions!$B$73),Assumptions!$B$72,0)</f>
        <v>846131.582935293</v>
      </c>
      <c r="AX126" s="46" t="n">
        <f aca="false">AW130+IF(AND(Projects!$G$13="Yes",48&lt;=Assumptions!$B$73),Assumptions!$B$72,0)</f>
        <v>846131.582935293</v>
      </c>
      <c r="AY126" s="46" t="n">
        <f aca="false">AX130+IF(AND(Projects!$G$13="Yes",49&lt;=Assumptions!$B$73),Assumptions!$B$72,0)</f>
        <v>877861.517295366</v>
      </c>
      <c r="AZ126" s="46" t="n">
        <f aca="false">AY130+IF(AND(Projects!$G$13="Yes",50&lt;=Assumptions!$B$73),Assumptions!$B$72,0)</f>
        <v>877861.517295366</v>
      </c>
      <c r="BA126" s="46" t="n">
        <f aca="false">AZ130+IF(AND(Projects!$G$13="Yes",51&lt;=Assumptions!$B$73),Assumptions!$B$72,0)</f>
        <v>877861.517295366</v>
      </c>
      <c r="BB126" s="46" t="n">
        <f aca="false">BA130+IF(AND(Projects!$G$13="Yes",52&lt;=Assumptions!$B$73),Assumptions!$B$72,0)</f>
        <v>661610.024193943</v>
      </c>
      <c r="BC126" s="46" t="n">
        <f aca="false">BB130+IF(AND(Projects!$G$13="Yes",53&lt;=Assumptions!$B$73),Assumptions!$B$72,0)</f>
        <v>661610.024193943</v>
      </c>
      <c r="BD126" s="46" t="n">
        <f aca="false">BC130+IF(AND(Projects!$G$13="Yes",54&lt;=Assumptions!$B$73),Assumptions!$B$72,0)</f>
        <v>661610.024193943</v>
      </c>
      <c r="BE126" s="46" t="n">
        <f aca="false">BD130+IF(AND(Projects!$G$13="Yes",55&lt;=Assumptions!$B$73),Assumptions!$B$72,0)</f>
        <v>614720.400101215</v>
      </c>
      <c r="BF126" s="46" t="n">
        <f aca="false">BE130+IF(AND(Projects!$G$13="Yes",56&lt;=Assumptions!$B$73),Assumptions!$B$72,0)</f>
        <v>614720.400101215</v>
      </c>
      <c r="BG126" s="46" t="n">
        <f aca="false">BF130+IF(AND(Projects!$G$13="Yes",57&lt;=Assumptions!$B$73),Assumptions!$B$72,0)</f>
        <v>614720.400101215</v>
      </c>
      <c r="BH126" s="46" t="n">
        <f aca="false">BG130+IF(AND(Projects!$G$13="Yes",58&lt;=Assumptions!$B$73),Assumptions!$B$72,0)</f>
        <v>566072.415105011</v>
      </c>
      <c r="BI126" s="46" t="n">
        <f aca="false">BH130+IF(AND(Projects!$G$13="Yes",59&lt;=Assumptions!$B$73),Assumptions!$B$72,0)</f>
        <v>566072.415105011</v>
      </c>
      <c r="BJ126" s="46" t="n">
        <f aca="false">BI130+IF(AND(Projects!$G$13="Yes",60&lt;=Assumptions!$B$73),Assumptions!$B$72,0)</f>
        <v>566072.415105011</v>
      </c>
      <c r="BK126" s="46" t="n">
        <f aca="false">BJ130+IF(AND(Projects!$G$13="Yes",61&lt;=Assumptions!$B$73),Assumptions!$B$72,0)</f>
        <v>515600.130671449</v>
      </c>
      <c r="BL126" s="46" t="n">
        <f aca="false">BK130+IF(AND(Projects!$G$13="Yes",62&lt;=Assumptions!$B$73),Assumptions!$B$72,0)</f>
        <v>515600.130671449</v>
      </c>
      <c r="BM126" s="46" t="n">
        <f aca="false">BL130+IF(AND(Projects!$G$13="Yes",63&lt;=Assumptions!$B$73),Assumptions!$B$72,0)</f>
        <v>515600.130671449</v>
      </c>
      <c r="BN126" s="46" t="n">
        <f aca="false">BM130+IF(AND(Projects!$G$13="Yes",64&lt;=Assumptions!$B$73),Assumptions!$B$72,0)</f>
        <v>463235.135571628</v>
      </c>
      <c r="BO126" s="46" t="n">
        <f aca="false">BN130+IF(AND(Projects!$G$13="Yes",65&lt;=Assumptions!$B$73),Assumptions!$B$72,0)</f>
        <v>463235.135571628</v>
      </c>
      <c r="BP126" s="46" t="n">
        <f aca="false">BO130+IF(AND(Projects!$G$13="Yes",66&lt;=Assumptions!$B$73),Assumptions!$B$72,0)</f>
        <v>463235.135571628</v>
      </c>
      <c r="BQ126" s="46" t="n">
        <f aca="false">BP130+IF(AND(Projects!$G$13="Yes",67&lt;=Assumptions!$B$73),Assumptions!$B$72,0)</f>
        <v>405963.453155564</v>
      </c>
      <c r="BR126" s="46" t="n">
        <f aca="false">BQ130+IF(AND(Projects!$G$13="Yes",68&lt;=Assumptions!$B$73),Assumptions!$B$72,0)</f>
        <v>405963.453155564</v>
      </c>
      <c r="BS126" s="46" t="n">
        <f aca="false">BR130+IF(AND(Projects!$G$13="Yes",69&lt;=Assumptions!$B$73),Assumptions!$B$72,0)</f>
        <v>405963.453155564</v>
      </c>
      <c r="BT126" s="46" t="n">
        <f aca="false">BS130+IF(AND(Projects!$G$13="Yes",70&lt;=Assumptions!$B$73),Assumptions!$B$72,0)</f>
        <v>346547.082648898</v>
      </c>
      <c r="BU126" s="46" t="n">
        <f aca="false">BT130+IF(AND(Projects!$G$13="Yes",71&lt;=Assumptions!$B$73),Assumptions!$B$72,0)</f>
        <v>346547.082648898</v>
      </c>
      <c r="BV126" s="46" t="n">
        <f aca="false">BU130+IF(AND(Projects!$G$13="Yes",72&lt;=Assumptions!$B$73),Assumptions!$B$72,0)</f>
        <v>346547.082648898</v>
      </c>
      <c r="BW126" s="46" t="n">
        <f aca="false">BV130+IF(AND(Projects!$G$13="Yes",73&lt;=Assumptions!$B$73),Assumptions!$B$72,0)</f>
        <v>284902.598248232</v>
      </c>
      <c r="BX126" s="46" t="n">
        <f aca="false">BW130+IF(AND(Projects!$G$13="Yes",74&lt;=Assumptions!$B$73),Assumptions!$B$72,0)</f>
        <v>284902.598248232</v>
      </c>
      <c r="BY126" s="46" t="n">
        <f aca="false">BX130+IF(AND(Projects!$G$13="Yes",75&lt;=Assumptions!$B$73),Assumptions!$B$72,0)</f>
        <v>284902.598248232</v>
      </c>
      <c r="BZ126" s="46" t="n">
        <f aca="false">BY130+IF(AND(Projects!$G$13="Yes",76&lt;=Assumptions!$B$73),Assumptions!$B$72,0)</f>
        <v>220946.44568254</v>
      </c>
      <c r="CA126" s="46" t="n">
        <f aca="false">BZ130+IF(AND(Projects!$G$13="Yes",77&lt;=Assumptions!$B$73),Assumptions!$B$72,0)</f>
        <v>220946.44568254</v>
      </c>
      <c r="CB126" s="46" t="n">
        <f aca="false">CA130+IF(AND(Projects!$G$13="Yes",78&lt;=Assumptions!$B$73),Assumptions!$B$72,0)</f>
        <v>220946.44568254</v>
      </c>
      <c r="CC126" s="46" t="n">
        <f aca="false">CB130+IF(AND(Projects!$G$13="Yes",79&lt;=Assumptions!$B$73),Assumptions!$B$72,0)</f>
        <v>147868.937395636</v>
      </c>
      <c r="CD126" s="46" t="n">
        <f aca="false">CC130+IF(AND(Projects!$G$13="Yes",80&lt;=Assumptions!$B$73),Assumptions!$B$72,0)</f>
        <v>147868.937395636</v>
      </c>
      <c r="CE126" s="46" t="n">
        <f aca="false">CD130+IF(AND(Projects!$G$13="Yes",81&lt;=Assumptions!$B$73),Assumptions!$B$72,0)</f>
        <v>147868.937395636</v>
      </c>
      <c r="CF126" s="46" t="n">
        <f aca="false">CE130+IF(AND(Projects!$G$13="Yes",82&lt;=Assumptions!$B$73),Assumptions!$B$72,0)</f>
        <v>72052.0225479718</v>
      </c>
      <c r="CG126" s="46" t="n">
        <f aca="false">CF130+IF(AND(Projects!$G$13="Yes",83&lt;=Assumptions!$B$73),Assumptions!$B$72,0)</f>
        <v>72052.0225479718</v>
      </c>
      <c r="CH126" s="46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5" t="s">
        <v>152</v>
      </c>
      <c r="B127" s="45"/>
      <c r="C127" s="46" t="n">
        <f aca="false">IF(AND(MOD(1,3)=0,C126&gt;0),C126*Assumptions!$B$59,0)</f>
        <v>0</v>
      </c>
      <c r="D127" s="46" t="n">
        <f aca="false">IF(AND(MOD(2,3)=0,D126&gt;0),D126*Assumptions!$B$59,0)</f>
        <v>0</v>
      </c>
      <c r="E127" s="46" t="n">
        <f aca="false">IF(AND(MOD(3,3)=0,E126&gt;0),E126*Assumptions!$B$59,0)</f>
        <v>46275</v>
      </c>
      <c r="F127" s="46" t="n">
        <f aca="false">IF(AND(MOD(4,3)=0,F126&gt;0),F126*Assumptions!$B$59,0)</f>
        <v>0</v>
      </c>
      <c r="G127" s="46" t="n">
        <f aca="false">IF(AND(MOD(5,3)=0,G126&gt;0),G126*Assumptions!$B$59,0)</f>
        <v>0</v>
      </c>
      <c r="H127" s="46" t="n">
        <f aca="false">IF(AND(MOD(6,3)=0,H126&gt;0),H126*Assumptions!$B$59,0)</f>
        <v>53635.3125</v>
      </c>
      <c r="I127" s="46" t="n">
        <f aca="false">IF(AND(MOD(7,3)=0,I126&gt;0),I126*Assumptions!$B$59,0)</f>
        <v>0</v>
      </c>
      <c r="J127" s="46" t="n">
        <f aca="false">IF(AND(MOD(8,3)=0,J126&gt;0),J126*Assumptions!$B$59,0)</f>
        <v>0</v>
      </c>
      <c r="K127" s="46" t="n">
        <f aca="false">IF(AND(MOD(9,3)=0,K126&gt;0),K126*Assumptions!$B$59,0)</f>
        <v>61271.63671875</v>
      </c>
      <c r="L127" s="46" t="n">
        <f aca="false">IF(AND(MOD(10,3)=0,L126&gt;0),L126*Assumptions!$B$59,0)</f>
        <v>0</v>
      </c>
      <c r="M127" s="46" t="n">
        <f aca="false">IF(AND(MOD(11,3)=0,M126&gt;0),M126*Assumptions!$B$59,0)</f>
        <v>0</v>
      </c>
      <c r="N127" s="46" t="n">
        <f aca="false">IF(AND(MOD(12,3)=0,N126&gt;0),N126*Assumptions!$B$59,0)</f>
        <v>69194.3230957031</v>
      </c>
      <c r="O127" s="46" t="n">
        <f aca="false">IF(AND(MOD(13,3)=0,O126&gt;0),O126*Assumptions!$B$59,0)</f>
        <v>0</v>
      </c>
      <c r="P127" s="46" t="n">
        <f aca="false">IF(AND(MOD(14,3)=0,P126&gt;0),P126*Assumptions!$B$59,0)</f>
        <v>0</v>
      </c>
      <c r="Q127" s="46" t="n">
        <f aca="false">IF(AND(MOD(15,3)=0,Q126&gt;0),Q126*Assumptions!$B$59,0)</f>
        <v>21164.110211792</v>
      </c>
      <c r="R127" s="46" t="n">
        <f aca="false">IF(AND(MOD(16,3)=0,R126&gt;0),R126*Assumptions!$B$59,0)</f>
        <v>0</v>
      </c>
      <c r="S127" s="46" t="n">
        <f aca="false">IF(AND(MOD(17,3)=0,S126&gt;0),S126*Assumptions!$B$59,0)</f>
        <v>0</v>
      </c>
      <c r="T127" s="46" t="n">
        <f aca="false">IF(AND(MOD(18,3)=0,T126&gt;0),T126*Assumptions!$B$59,0)</f>
        <v>21957.7643447342</v>
      </c>
      <c r="U127" s="46" t="n">
        <f aca="false">IF(AND(MOD(19,3)=0,U126&gt;0),U126*Assumptions!$B$59,0)</f>
        <v>0</v>
      </c>
      <c r="V127" s="46" t="n">
        <f aca="false">IF(AND(MOD(20,3)=0,V126&gt;0),V126*Assumptions!$B$59,0)</f>
        <v>0</v>
      </c>
      <c r="W127" s="46" t="n">
        <f aca="false">IF(AND(MOD(21,3)=0,W126&gt;0),W126*Assumptions!$B$59,0)</f>
        <v>22781.1805076617</v>
      </c>
      <c r="X127" s="46" t="n">
        <f aca="false">IF(AND(MOD(22,3)=0,X126&gt;0),X126*Assumptions!$B$59,0)</f>
        <v>0</v>
      </c>
      <c r="Y127" s="46" t="n">
        <f aca="false">IF(AND(MOD(23,3)=0,Y126&gt;0),Y126*Assumptions!$B$59,0)</f>
        <v>0</v>
      </c>
      <c r="Z127" s="46" t="n">
        <f aca="false">IF(AND(MOD(24,3)=0,Z126&gt;0),Z126*Assumptions!$B$59,0)</f>
        <v>23635.474776699</v>
      </c>
      <c r="AA127" s="46" t="n">
        <f aca="false">IF(AND(MOD(25,3)=0,AA126&gt;0),AA126*Assumptions!$B$59,0)</f>
        <v>0</v>
      </c>
      <c r="AB127" s="46" t="n">
        <f aca="false">IF(AND(MOD(26,3)=0,AB126&gt;0),AB126*Assumptions!$B$59,0)</f>
        <v>0</v>
      </c>
      <c r="AC127" s="46" t="n">
        <f aca="false">IF(AND(MOD(27,3)=0,AC126&gt;0),AC126*Assumptions!$B$59,0)</f>
        <v>24521.8050808252</v>
      </c>
      <c r="AD127" s="46" t="n">
        <f aca="false">IF(AND(MOD(28,3)=0,AD126&gt;0),AD126*Assumptions!$B$59,0)</f>
        <v>0</v>
      </c>
      <c r="AE127" s="46" t="n">
        <f aca="false">IF(AND(MOD(29,3)=0,AE126&gt;0),AE126*Assumptions!$B$59,0)</f>
        <v>0</v>
      </c>
      <c r="AF127" s="46" t="n">
        <f aca="false">IF(AND(MOD(30,3)=0,AF126&gt;0),AF126*Assumptions!$B$59,0)</f>
        <v>25441.3727713562</v>
      </c>
      <c r="AG127" s="46" t="n">
        <f aca="false">IF(AND(MOD(31,3)=0,AG126&gt;0),AG126*Assumptions!$B$59,0)</f>
        <v>0</v>
      </c>
      <c r="AH127" s="46" t="n">
        <f aca="false">IF(AND(MOD(32,3)=0,AH126&gt;0),AH126*Assumptions!$B$59,0)</f>
        <v>0</v>
      </c>
      <c r="AI127" s="46" t="n">
        <f aca="false">IF(AND(MOD(33,3)=0,AI126&gt;0),AI126*Assumptions!$B$59,0)</f>
        <v>26395.424250282</v>
      </c>
      <c r="AJ127" s="46" t="n">
        <f aca="false">IF(AND(MOD(34,3)=0,AJ126&gt;0),AJ126*Assumptions!$B$59,0)</f>
        <v>0</v>
      </c>
      <c r="AK127" s="46" t="n">
        <f aca="false">IF(AND(MOD(35,3)=0,AK126&gt;0),AK126*Assumptions!$B$59,0)</f>
        <v>0</v>
      </c>
      <c r="AL127" s="46" t="n">
        <f aca="false">IF(AND(MOD(36,3)=0,AL126&gt;0),AL126*Assumptions!$B$59,0)</f>
        <v>27385.2526596676</v>
      </c>
      <c r="AM127" s="46" t="n">
        <f aca="false">IF(AND(MOD(37,3)=0,AM126&gt;0),AM126*Assumptions!$B$59,0)</f>
        <v>0</v>
      </c>
      <c r="AN127" s="46" t="n">
        <f aca="false">IF(AND(MOD(38,3)=0,AN126&gt;0),AN126*Assumptions!$B$59,0)</f>
        <v>0</v>
      </c>
      <c r="AO127" s="46" t="n">
        <f aca="false">IF(AND(MOD(39,3)=0,AO126&gt;0),AO126*Assumptions!$B$59,0)</f>
        <v>28412.1996344052</v>
      </c>
      <c r="AP127" s="46" t="n">
        <f aca="false">IF(AND(MOD(40,3)=0,AP126&gt;0),AP126*Assumptions!$B$59,0)</f>
        <v>0</v>
      </c>
      <c r="AQ127" s="46" t="n">
        <f aca="false">IF(AND(MOD(41,3)=0,AQ126&gt;0),AQ126*Assumptions!$B$59,0)</f>
        <v>0</v>
      </c>
      <c r="AR127" s="46" t="n">
        <f aca="false">IF(AND(MOD(42,3)=0,AR126&gt;0),AR126*Assumptions!$B$59,0)</f>
        <v>29477.6571206954</v>
      </c>
      <c r="AS127" s="46" t="n">
        <f aca="false">IF(AND(MOD(43,3)=0,AS126&gt;0),AS126*Assumptions!$B$59,0)</f>
        <v>0</v>
      </c>
      <c r="AT127" s="46" t="n">
        <f aca="false">IF(AND(MOD(44,3)=0,AT126&gt;0),AT126*Assumptions!$B$59,0)</f>
        <v>0</v>
      </c>
      <c r="AU127" s="46" t="n">
        <f aca="false">IF(AND(MOD(45,3)=0,AU126&gt;0),AU126*Assumptions!$B$59,0)</f>
        <v>30583.0692627214</v>
      </c>
      <c r="AV127" s="46" t="n">
        <f aca="false">IF(AND(MOD(46,3)=0,AV126&gt;0),AV126*Assumptions!$B$59,0)</f>
        <v>0</v>
      </c>
      <c r="AW127" s="46" t="n">
        <f aca="false">IF(AND(MOD(47,3)=0,AW126&gt;0),AW126*Assumptions!$B$59,0)</f>
        <v>0</v>
      </c>
      <c r="AX127" s="46" t="n">
        <f aca="false">IF(AND(MOD(48,3)=0,AX126&gt;0),AX126*Assumptions!$B$59,0)</f>
        <v>31729.9343600735</v>
      </c>
      <c r="AY127" s="46" t="n">
        <f aca="false">IF(AND(MOD(49,3)=0,AY126&gt;0),AY126*Assumptions!$B$59,0)</f>
        <v>0</v>
      </c>
      <c r="AZ127" s="46" t="n">
        <f aca="false">IF(AND(MOD(50,3)=0,AZ126&gt;0),AZ126*Assumptions!$B$59,0)</f>
        <v>0</v>
      </c>
      <c r="BA127" s="46" t="n">
        <f aca="false">IF(AND(MOD(51,3)=0,BA126&gt;0),BA126*Assumptions!$B$59,0)</f>
        <v>32919.8068985762</v>
      </c>
      <c r="BB127" s="46" t="n">
        <f aca="false">IF(AND(MOD(52,3)=0,BB126&gt;0),BB126*Assumptions!$B$59,0)</f>
        <v>0</v>
      </c>
      <c r="BC127" s="46" t="n">
        <f aca="false">IF(AND(MOD(53,3)=0,BC126&gt;0),BC126*Assumptions!$B$59,0)</f>
        <v>0</v>
      </c>
      <c r="BD127" s="46" t="n">
        <f aca="false">IF(AND(MOD(54,3)=0,BD126&gt;0),BD126*Assumptions!$B$59,0)</f>
        <v>24810.3759072728</v>
      </c>
      <c r="BE127" s="46" t="n">
        <f aca="false">IF(AND(MOD(55,3)=0,BE126&gt;0),BE126*Assumptions!$B$59,0)</f>
        <v>0</v>
      </c>
      <c r="BF127" s="46" t="n">
        <f aca="false">IF(AND(MOD(56,3)=0,BF126&gt;0),BF126*Assumptions!$B$59,0)</f>
        <v>0</v>
      </c>
      <c r="BG127" s="46" t="n">
        <f aca="false">IF(AND(MOD(57,3)=0,BG126&gt;0),BG126*Assumptions!$B$59,0)</f>
        <v>23052.0150037956</v>
      </c>
      <c r="BH127" s="46" t="n">
        <f aca="false">IF(AND(MOD(58,3)=0,BH126&gt;0),BH126*Assumptions!$B$59,0)</f>
        <v>0</v>
      </c>
      <c r="BI127" s="46" t="n">
        <f aca="false">IF(AND(MOD(59,3)=0,BI126&gt;0),BI126*Assumptions!$B$59,0)</f>
        <v>0</v>
      </c>
      <c r="BJ127" s="46" t="n">
        <f aca="false">IF(AND(MOD(60,3)=0,BJ126&gt;0),BJ126*Assumptions!$B$59,0)</f>
        <v>21227.7155664379</v>
      </c>
      <c r="BK127" s="46" t="n">
        <f aca="false">IF(AND(MOD(61,3)=0,BK126&gt;0),BK126*Assumptions!$B$59,0)</f>
        <v>0</v>
      </c>
      <c r="BL127" s="46" t="n">
        <f aca="false">IF(AND(MOD(62,3)=0,BL126&gt;0),BL126*Assumptions!$B$59,0)</f>
        <v>0</v>
      </c>
      <c r="BM127" s="46" t="n">
        <f aca="false">IF(AND(MOD(63,3)=0,BM126&gt;0),BM126*Assumptions!$B$59,0)</f>
        <v>19335.0049001793</v>
      </c>
      <c r="BN127" s="46" t="n">
        <f aca="false">IF(AND(MOD(64,3)=0,BN126&gt;0),BN126*Assumptions!$B$59,0)</f>
        <v>0</v>
      </c>
      <c r="BO127" s="46" t="n">
        <f aca="false">IF(AND(MOD(65,3)=0,BO126&gt;0),BO126*Assumptions!$B$59,0)</f>
        <v>0</v>
      </c>
      <c r="BP127" s="46" t="n">
        <f aca="false">IF(AND(MOD(66,3)=0,BP126&gt;0),BP126*Assumptions!$B$59,0)</f>
        <v>17371.3175839361</v>
      </c>
      <c r="BQ127" s="46" t="n">
        <f aca="false">IF(AND(MOD(67,3)=0,BQ126&gt;0),BQ126*Assumptions!$B$59,0)</f>
        <v>0</v>
      </c>
      <c r="BR127" s="46" t="n">
        <f aca="false">IF(AND(MOD(68,3)=0,BR126&gt;0),BR126*Assumptions!$B$59,0)</f>
        <v>0</v>
      </c>
      <c r="BS127" s="46" t="n">
        <f aca="false">IF(AND(MOD(69,3)=0,BS126&gt;0),BS126*Assumptions!$B$59,0)</f>
        <v>15223.6294933337</v>
      </c>
      <c r="BT127" s="46" t="n">
        <f aca="false">IF(AND(MOD(70,3)=0,BT126&gt;0),BT126*Assumptions!$B$59,0)</f>
        <v>0</v>
      </c>
      <c r="BU127" s="46" t="n">
        <f aca="false">IF(AND(MOD(71,3)=0,BU126&gt;0),BU126*Assumptions!$B$59,0)</f>
        <v>0</v>
      </c>
      <c r="BV127" s="46" t="n">
        <f aca="false">IF(AND(MOD(72,3)=0,BV126&gt;0),BV126*Assumptions!$B$59,0)</f>
        <v>12995.5155993337</v>
      </c>
      <c r="BW127" s="46" t="n">
        <f aca="false">IF(AND(MOD(73,3)=0,BW126&gt;0),BW126*Assumptions!$B$59,0)</f>
        <v>0</v>
      </c>
      <c r="BX127" s="46" t="n">
        <f aca="false">IF(AND(MOD(74,3)=0,BX126&gt;0),BX126*Assumptions!$B$59,0)</f>
        <v>0</v>
      </c>
      <c r="BY127" s="46" t="n">
        <f aca="false">IF(AND(MOD(75,3)=0,BY126&gt;0),BY126*Assumptions!$B$59,0)</f>
        <v>10683.8474343087</v>
      </c>
      <c r="BZ127" s="46" t="n">
        <f aca="false">IF(AND(MOD(76,3)=0,BZ126&gt;0),BZ126*Assumptions!$B$59,0)</f>
        <v>0</v>
      </c>
      <c r="CA127" s="46" t="n">
        <f aca="false">IF(AND(MOD(77,3)=0,CA126&gt;0),CA126*Assumptions!$B$59,0)</f>
        <v>0</v>
      </c>
      <c r="CB127" s="46" t="n">
        <f aca="false">IF(AND(MOD(78,3)=0,CB126&gt;0),CB126*Assumptions!$B$59,0)</f>
        <v>8285.49171309526</v>
      </c>
      <c r="CC127" s="46" t="n">
        <f aca="false">IF(AND(MOD(79,3)=0,CC126&gt;0),CC126*Assumptions!$B$59,0)</f>
        <v>0</v>
      </c>
      <c r="CD127" s="46" t="n">
        <f aca="false">IF(AND(MOD(80,3)=0,CD126&gt;0),CD126*Assumptions!$B$59,0)</f>
        <v>0</v>
      </c>
      <c r="CE127" s="46" t="n">
        <f aca="false">IF(AND(MOD(81,3)=0,CE126&gt;0),CE126*Assumptions!$B$59,0)</f>
        <v>5545.08515233633</v>
      </c>
      <c r="CF127" s="46" t="n">
        <f aca="false">IF(AND(MOD(82,3)=0,CF126&gt;0),CF126*Assumptions!$B$59,0)</f>
        <v>0</v>
      </c>
      <c r="CG127" s="46" t="n">
        <f aca="false">IF(AND(MOD(83,3)=0,CG126&gt;0),CG126*Assumptions!$B$59,0)</f>
        <v>0</v>
      </c>
      <c r="CH127" s="46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5" t="s">
        <v>153</v>
      </c>
      <c r="B128" s="45"/>
      <c r="C128" s="46" t="n">
        <v>0</v>
      </c>
      <c r="D128" s="46" t="n">
        <v>0</v>
      </c>
      <c r="E128" s="46" t="n">
        <v>0</v>
      </c>
      <c r="F128" s="46" t="n">
        <v>0</v>
      </c>
      <c r="G128" s="46" t="n">
        <v>0</v>
      </c>
      <c r="H128" s="46" t="n">
        <v>0</v>
      </c>
      <c r="I128" s="46" t="n">
        <v>0</v>
      </c>
      <c r="J128" s="46" t="n">
        <v>0</v>
      </c>
      <c r="K128" s="46" t="n">
        <v>0</v>
      </c>
      <c r="L128" s="46" t="n">
        <v>0</v>
      </c>
      <c r="M128" s="46" t="n">
        <v>0</v>
      </c>
      <c r="N128" s="46" t="n">
        <v>0</v>
      </c>
      <c r="O128" s="46" t="n">
        <f aca="false">IF(Projects!$G$13="Yes",Assumptions!$B$74,0)</f>
        <v>-1450000</v>
      </c>
      <c r="P128" s="46" t="n">
        <v>0</v>
      </c>
      <c r="Q128" s="46" t="n">
        <v>0</v>
      </c>
      <c r="R128" s="46" t="n">
        <v>0</v>
      </c>
      <c r="S128" s="46" t="n">
        <v>0</v>
      </c>
      <c r="T128" s="46" t="n">
        <v>0</v>
      </c>
      <c r="U128" s="46" t="n">
        <v>0</v>
      </c>
      <c r="V128" s="46" t="n">
        <v>0</v>
      </c>
      <c r="W128" s="46" t="n">
        <v>0</v>
      </c>
      <c r="X128" s="46" t="n">
        <v>0</v>
      </c>
      <c r="Y128" s="46" t="n">
        <v>0</v>
      </c>
      <c r="Z128" s="46" t="n">
        <v>0</v>
      </c>
      <c r="AA128" s="46" t="n">
        <v>0</v>
      </c>
      <c r="AB128" s="46" t="n">
        <v>0</v>
      </c>
      <c r="AC128" s="46" t="n">
        <v>0</v>
      </c>
      <c r="AD128" s="46" t="n">
        <v>0</v>
      </c>
      <c r="AE128" s="46" t="n">
        <v>0</v>
      </c>
      <c r="AF128" s="46" t="n">
        <v>0</v>
      </c>
      <c r="AG128" s="46" t="n">
        <v>0</v>
      </c>
      <c r="AH128" s="46" t="n">
        <v>0</v>
      </c>
      <c r="AI128" s="46" t="n">
        <v>0</v>
      </c>
      <c r="AJ128" s="46" t="n">
        <v>0</v>
      </c>
      <c r="AK128" s="46" t="n">
        <v>0</v>
      </c>
      <c r="AL128" s="46" t="n">
        <v>0</v>
      </c>
      <c r="AM128" s="46" t="n">
        <v>0</v>
      </c>
      <c r="AN128" s="46" t="n">
        <v>0</v>
      </c>
      <c r="AO128" s="46" t="n">
        <v>0</v>
      </c>
      <c r="AP128" s="46" t="n">
        <v>0</v>
      </c>
      <c r="AQ128" s="46" t="n">
        <v>0</v>
      </c>
      <c r="AR128" s="46" t="n">
        <v>0</v>
      </c>
      <c r="AS128" s="46" t="n">
        <v>0</v>
      </c>
      <c r="AT128" s="46" t="n">
        <v>0</v>
      </c>
      <c r="AU128" s="46" t="n">
        <v>0</v>
      </c>
      <c r="AV128" s="46" t="n">
        <v>0</v>
      </c>
      <c r="AW128" s="46" t="n">
        <v>0</v>
      </c>
      <c r="AX128" s="46" t="n">
        <v>0</v>
      </c>
      <c r="AY128" s="46" t="n">
        <v>0</v>
      </c>
      <c r="AZ128" s="46" t="n">
        <v>0</v>
      </c>
      <c r="BA128" s="46" t="n">
        <v>0</v>
      </c>
      <c r="BB128" s="46" t="n">
        <v>0</v>
      </c>
      <c r="BC128" s="46" t="n">
        <v>0</v>
      </c>
      <c r="BD128" s="46" t="n">
        <v>0</v>
      </c>
      <c r="BE128" s="46" t="n">
        <v>0</v>
      </c>
      <c r="BF128" s="46" t="n">
        <v>0</v>
      </c>
      <c r="BG128" s="46" t="n">
        <v>0</v>
      </c>
      <c r="BH128" s="46" t="n">
        <v>0</v>
      </c>
      <c r="BI128" s="46" t="n">
        <v>0</v>
      </c>
      <c r="BJ128" s="46" t="n">
        <v>0</v>
      </c>
      <c r="BK128" s="46" t="n">
        <v>0</v>
      </c>
      <c r="BL128" s="46" t="n">
        <v>0</v>
      </c>
      <c r="BM128" s="46" t="n">
        <v>0</v>
      </c>
      <c r="BN128" s="46" t="n">
        <v>0</v>
      </c>
      <c r="BO128" s="46" t="n">
        <v>0</v>
      </c>
      <c r="BP128" s="46" t="n">
        <v>0</v>
      </c>
      <c r="BQ128" s="46" t="n">
        <v>0</v>
      </c>
      <c r="BR128" s="46" t="n">
        <v>0</v>
      </c>
      <c r="BS128" s="46" t="n">
        <v>0</v>
      </c>
      <c r="BT128" s="46" t="n">
        <v>0</v>
      </c>
      <c r="BU128" s="46" t="n">
        <v>0</v>
      </c>
      <c r="BV128" s="46" t="n">
        <v>0</v>
      </c>
      <c r="BW128" s="46" t="n">
        <v>0</v>
      </c>
      <c r="BX128" s="46" t="n">
        <v>0</v>
      </c>
      <c r="BY128" s="46" t="n">
        <v>0</v>
      </c>
      <c r="BZ128" s="46" t="n">
        <v>0</v>
      </c>
      <c r="CA128" s="46" t="n">
        <v>0</v>
      </c>
      <c r="CB128" s="46" t="n">
        <v>0</v>
      </c>
      <c r="CC128" s="46" t="n">
        <v>0</v>
      </c>
      <c r="CD128" s="46" t="n">
        <v>0</v>
      </c>
      <c r="CE128" s="46" t="n">
        <v>0</v>
      </c>
      <c r="CF128" s="46" t="n">
        <v>0</v>
      </c>
      <c r="CG128" s="46" t="n">
        <v>0</v>
      </c>
      <c r="CH128" s="46" t="n">
        <v>0</v>
      </c>
      <c r="CI128" s="25"/>
    </row>
    <row r="129" customFormat="false" ht="15" hidden="false" customHeight="true" outlineLevel="0" collapsed="false">
      <c r="A129" s="47" t="s">
        <v>154</v>
      </c>
      <c r="B129" s="47"/>
      <c r="C129" s="48" t="n">
        <f aca="false">-MIN(C126+C127+C128,MAX(0,C61-Helpers!C23))</f>
        <v>-0</v>
      </c>
      <c r="D129" s="48" t="n">
        <f aca="false">-MIN(D126+D127+D128,MAX(0,D61-Helpers!D23))</f>
        <v>-0</v>
      </c>
      <c r="E129" s="48" t="n">
        <f aca="false">-MIN(E126+E127+E128,MAX(0,E61-Helpers!E23))</f>
        <v>-0</v>
      </c>
      <c r="F129" s="48" t="n">
        <f aca="false">-MIN(F126+F127+F128,MAX(0,F61-Helpers!F23))</f>
        <v>-0</v>
      </c>
      <c r="G129" s="48" t="n">
        <f aca="false">-MIN(G126+G127+G128,MAX(0,G61-Helpers!G23))</f>
        <v>-0</v>
      </c>
      <c r="H129" s="48" t="n">
        <f aca="false">-MIN(H126+H127+H128,MAX(0,H61-Helpers!H23))</f>
        <v>-0</v>
      </c>
      <c r="I129" s="48" t="n">
        <f aca="false">-MIN(I126+I127+I128,MAX(0,I61-Helpers!I23))</f>
        <v>-0</v>
      </c>
      <c r="J129" s="48" t="n">
        <f aca="false">-MIN(J126+J127+J128,MAX(0,J61-Helpers!J23))</f>
        <v>-0</v>
      </c>
      <c r="K129" s="48" t="n">
        <f aca="false">-MIN(K126+K127+K128,MAX(0,K61-Helpers!K23))</f>
        <v>-0</v>
      </c>
      <c r="L129" s="48" t="n">
        <f aca="false">-MIN(L126+L127+L128,MAX(0,L61-Helpers!L23))</f>
        <v>-0</v>
      </c>
      <c r="M129" s="48" t="n">
        <f aca="false">-MIN(M126+M127+M128,MAX(0,M61-Helpers!M23))</f>
        <v>-0</v>
      </c>
      <c r="N129" s="48" t="n">
        <f aca="false">-MIN(N126+N127+N128,MAX(0,N61-Helpers!N23))</f>
        <v>-0</v>
      </c>
      <c r="O129" s="48" t="n">
        <f aca="false">-MIN(O126+O127+O128,MAX(0,O61-Helpers!O23))</f>
        <v>-0</v>
      </c>
      <c r="P129" s="48" t="n">
        <f aca="false">-MIN(P126+P127+P128,MAX(0,P61-Helpers!P23))</f>
        <v>-0</v>
      </c>
      <c r="Q129" s="48" t="n">
        <f aca="false">-MIN(Q126+Q127+Q128,MAX(0,Q61-Helpers!Q23))</f>
        <v>-0</v>
      </c>
      <c r="R129" s="48" t="n">
        <f aca="false">-MIN(R126+R127+R128,MAX(0,R61-Helpers!R23))</f>
        <v>-0</v>
      </c>
      <c r="S129" s="48" t="n">
        <f aca="false">-MIN(S126+S127+S128,MAX(0,S61-Helpers!S23))</f>
        <v>-0</v>
      </c>
      <c r="T129" s="48" t="n">
        <f aca="false">-MIN(T126+T127+T128,MAX(0,T61-Helpers!T23))</f>
        <v>-0</v>
      </c>
      <c r="U129" s="48" t="n">
        <f aca="false">-MIN(U126+U127+U128,MAX(0,U61-Helpers!U23))</f>
        <v>-0</v>
      </c>
      <c r="V129" s="48" t="n">
        <f aca="false">-MIN(V126+V127+V128,MAX(0,V61-Helpers!V23))</f>
        <v>-0</v>
      </c>
      <c r="W129" s="48" t="n">
        <f aca="false">-MIN(W126+W127+W128,MAX(0,W61-Helpers!W23))</f>
        <v>-0</v>
      </c>
      <c r="X129" s="48" t="n">
        <f aca="false">-MIN(X126+X127+X128,MAX(0,X61-Helpers!X23))</f>
        <v>-0</v>
      </c>
      <c r="Y129" s="48" t="n">
        <f aca="false">-MIN(Y126+Y127+Y128,MAX(0,Y61-Helpers!Y23))</f>
        <v>-0</v>
      </c>
      <c r="Z129" s="48" t="n">
        <f aca="false">-MIN(Z126+Z127+Z128,MAX(0,Z61-Helpers!Z23))</f>
        <v>-0</v>
      </c>
      <c r="AA129" s="48" t="n">
        <f aca="false">-MIN(AA126+AA127+AA128,MAX(0,AA61-Helpers!AA23))</f>
        <v>-0</v>
      </c>
      <c r="AB129" s="48" t="n">
        <f aca="false">-MIN(AB126+AB127+AB128,MAX(0,AB61-Helpers!AB23))</f>
        <v>-0</v>
      </c>
      <c r="AC129" s="48" t="n">
        <f aca="false">-MIN(AC126+AC127+AC128,MAX(0,AC61-Helpers!AC23))</f>
        <v>-0</v>
      </c>
      <c r="AD129" s="48" t="n">
        <f aca="false">-MIN(AD126+AD127+AD128,MAX(0,AD61-Helpers!AD23))</f>
        <v>-0</v>
      </c>
      <c r="AE129" s="48" t="n">
        <f aca="false">-MIN(AE126+AE127+AE128,MAX(0,AE61-Helpers!AE23))</f>
        <v>-0</v>
      </c>
      <c r="AF129" s="48" t="n">
        <f aca="false">-MIN(AF126+AF127+AF128,MAX(0,AF61-Helpers!AF23))</f>
        <v>-0</v>
      </c>
      <c r="AG129" s="48" t="n">
        <f aca="false">-MIN(AG126+AG127+AG128,MAX(0,AG61-Helpers!AG23))</f>
        <v>-0</v>
      </c>
      <c r="AH129" s="48" t="n">
        <f aca="false">-MIN(AH126+AH127+AH128,MAX(0,AH61-Helpers!AH23))</f>
        <v>-0</v>
      </c>
      <c r="AI129" s="48" t="n">
        <f aca="false">-MIN(AI126+AI127+AI128,MAX(0,AI61-Helpers!AI23))</f>
        <v>-0</v>
      </c>
      <c r="AJ129" s="48" t="n">
        <f aca="false">-MIN(AJ126+AJ127+AJ128,MAX(0,AJ61-Helpers!AJ23))</f>
        <v>-0</v>
      </c>
      <c r="AK129" s="48" t="n">
        <f aca="false">-MIN(AK126+AK127+AK128,MAX(0,AK61-Helpers!AK23))</f>
        <v>-0</v>
      </c>
      <c r="AL129" s="48" t="n">
        <f aca="false">-MIN(AL126+AL127+AL128,MAX(0,AL61-Helpers!AL23))</f>
        <v>-0</v>
      </c>
      <c r="AM129" s="48" t="n">
        <f aca="false">-MIN(AM126+AM127+AM128,MAX(0,AM61-Helpers!AM23))</f>
        <v>-0</v>
      </c>
      <c r="AN129" s="48" t="n">
        <f aca="false">-MIN(AN126+AN127+AN128,MAX(0,AN61-Helpers!AN23))</f>
        <v>-0</v>
      </c>
      <c r="AO129" s="48" t="n">
        <f aca="false">-MIN(AO126+AO127+AO128,MAX(0,AO61-Helpers!AO23))</f>
        <v>-0</v>
      </c>
      <c r="AP129" s="48" t="n">
        <f aca="false">-MIN(AP126+AP127+AP128,MAX(0,AP61-Helpers!AP23))</f>
        <v>-0</v>
      </c>
      <c r="AQ129" s="48" t="n">
        <f aca="false">-MIN(AQ126+AQ127+AQ128,MAX(0,AQ61-Helpers!AQ23))</f>
        <v>-0</v>
      </c>
      <c r="AR129" s="48" t="n">
        <f aca="false">-MIN(AR126+AR127+AR128,MAX(0,AR61-Helpers!AR23))</f>
        <v>-0</v>
      </c>
      <c r="AS129" s="48" t="n">
        <f aca="false">-MIN(AS126+AS127+AS128,MAX(0,AS61-Helpers!AS23))</f>
        <v>-0</v>
      </c>
      <c r="AT129" s="48" t="n">
        <f aca="false">-MIN(AT126+AT127+AT128,MAX(0,AT61-Helpers!AT23))</f>
        <v>-0</v>
      </c>
      <c r="AU129" s="48" t="n">
        <f aca="false">-MIN(AU126+AU127+AU128,MAX(0,AU61-Helpers!AU23))</f>
        <v>-0</v>
      </c>
      <c r="AV129" s="48" t="n">
        <f aca="false">-MIN(AV126+AV127+AV128,MAX(0,AV61-Helpers!AV23))</f>
        <v>-0</v>
      </c>
      <c r="AW129" s="48" t="n">
        <f aca="false">-MIN(AW126+AW127+AW128,MAX(0,AW61-Helpers!AW23))</f>
        <v>-0</v>
      </c>
      <c r="AX129" s="48" t="n">
        <f aca="false">-MIN(AX126+AX127+AX128,MAX(0,AX61-Helpers!AX23))</f>
        <v>-0</v>
      </c>
      <c r="AY129" s="48" t="n">
        <f aca="false">-MIN(AY126+AY127+AY128,MAX(0,AY61-Helpers!AY23))</f>
        <v>-0</v>
      </c>
      <c r="AZ129" s="48" t="n">
        <f aca="false">-MIN(AZ126+AZ127+AZ128,MAX(0,AZ61-Helpers!AZ23))</f>
        <v>-0</v>
      </c>
      <c r="BA129" s="48" t="n">
        <f aca="false">-MIN(BA126+BA127+BA128,MAX(0,BA61-Helpers!BA23))</f>
        <v>-249171.3</v>
      </c>
      <c r="BB129" s="48" t="n">
        <f aca="false">-MIN(BB126+BB127+BB128,MAX(0,BB61-Helpers!BB23))</f>
        <v>-0</v>
      </c>
      <c r="BC129" s="48" t="n">
        <f aca="false">-MIN(BC126+BC127+BC128,MAX(0,BC61-Helpers!BC23))</f>
        <v>-0</v>
      </c>
      <c r="BD129" s="48" t="n">
        <f aca="false">-MIN(BD126+BD127+BD128,MAX(0,BD61-Helpers!BD23))</f>
        <v>-71700</v>
      </c>
      <c r="BE129" s="48" t="n">
        <f aca="false">-MIN(BE126+BE127+BE128,MAX(0,BE61-Helpers!BE23))</f>
        <v>-0</v>
      </c>
      <c r="BF129" s="48" t="n">
        <f aca="false">-MIN(BF126+BF127+BF128,MAX(0,BF61-Helpers!BF23))</f>
        <v>-0</v>
      </c>
      <c r="BG129" s="48" t="n">
        <f aca="false">-MIN(BG126+BG127+BG128,MAX(0,BG61-Helpers!BG23))</f>
        <v>-71700</v>
      </c>
      <c r="BH129" s="48" t="n">
        <f aca="false">-MIN(BH126+BH127+BH128,MAX(0,BH61-Helpers!BH23))</f>
        <v>-0</v>
      </c>
      <c r="BI129" s="48" t="n">
        <f aca="false">-MIN(BI126+BI127+BI128,MAX(0,BI61-Helpers!BI23))</f>
        <v>-0</v>
      </c>
      <c r="BJ129" s="48" t="n">
        <f aca="false">-MIN(BJ126+BJ127+BJ128,MAX(0,BJ61-Helpers!BJ23))</f>
        <v>-71700</v>
      </c>
      <c r="BK129" s="48" t="n">
        <f aca="false">-MIN(BK126+BK127+BK128,MAX(0,BK61-Helpers!BK23))</f>
        <v>-0</v>
      </c>
      <c r="BL129" s="48" t="n">
        <f aca="false">-MIN(BL126+BL127+BL128,MAX(0,BL61-Helpers!BL23))</f>
        <v>-0</v>
      </c>
      <c r="BM129" s="48" t="n">
        <f aca="false">-MIN(BM126+BM127+BM128,MAX(0,BM61-Helpers!BM23))</f>
        <v>-71700</v>
      </c>
      <c r="BN129" s="48" t="n">
        <f aca="false">-MIN(BN126+BN127+BN128,MAX(0,BN61-Helpers!BN23))</f>
        <v>-0</v>
      </c>
      <c r="BO129" s="48" t="n">
        <f aca="false">-MIN(BO126+BO127+BO128,MAX(0,BO61-Helpers!BO23))</f>
        <v>-0</v>
      </c>
      <c r="BP129" s="48" t="n">
        <f aca="false">-MIN(BP126+BP127+BP128,MAX(0,BP61-Helpers!BP23))</f>
        <v>-74643</v>
      </c>
      <c r="BQ129" s="48" t="n">
        <f aca="false">-MIN(BQ126+BQ127+BQ128,MAX(0,BQ61-Helpers!BQ23))</f>
        <v>-0</v>
      </c>
      <c r="BR129" s="48" t="n">
        <f aca="false">-MIN(BR126+BR127+BR128,MAX(0,BR61-Helpers!BR23))</f>
        <v>-0</v>
      </c>
      <c r="BS129" s="48" t="n">
        <f aca="false">-MIN(BS126+BS127+BS128,MAX(0,BS61-Helpers!BS23))</f>
        <v>-74640</v>
      </c>
      <c r="BT129" s="48" t="n">
        <f aca="false">-MIN(BT126+BT127+BT128,MAX(0,BT61-Helpers!BT23))</f>
        <v>-0</v>
      </c>
      <c r="BU129" s="48" t="n">
        <f aca="false">-MIN(BU126+BU127+BU128,MAX(0,BU61-Helpers!BU23))</f>
        <v>-0</v>
      </c>
      <c r="BV129" s="48" t="n">
        <f aca="false">-MIN(BV126+BV127+BV128,MAX(0,BV61-Helpers!BV23))</f>
        <v>-74640</v>
      </c>
      <c r="BW129" s="48" t="n">
        <f aca="false">-MIN(BW126+BW127+BW128,MAX(0,BW61-Helpers!BW23))</f>
        <v>-0</v>
      </c>
      <c r="BX129" s="48" t="n">
        <f aca="false">-MIN(BX126+BX127+BX128,MAX(0,BX61-Helpers!BX23))</f>
        <v>-0</v>
      </c>
      <c r="BY129" s="48" t="n">
        <f aca="false">-MIN(BY126+BY127+BY128,MAX(0,BY61-Helpers!BY23))</f>
        <v>-74640</v>
      </c>
      <c r="BZ129" s="48" t="n">
        <f aca="false">-MIN(BZ126+BZ127+BZ128,MAX(0,BZ61-Helpers!BZ23))</f>
        <v>-0</v>
      </c>
      <c r="CA129" s="48" t="n">
        <f aca="false">-MIN(CA126+CA127+CA128,MAX(0,CA61-Helpers!CA23))</f>
        <v>-0</v>
      </c>
      <c r="CB129" s="48" t="n">
        <f aca="false">-MIN(CB126+CB127+CB128,MAX(0,CB61-Helpers!CB23))</f>
        <v>-81363</v>
      </c>
      <c r="CC129" s="48" t="n">
        <f aca="false">-MIN(CC126+CC127+CC128,MAX(0,CC61-Helpers!CC23))</f>
        <v>-0</v>
      </c>
      <c r="CD129" s="48" t="n">
        <f aca="false">-MIN(CD126+CD127+CD128,MAX(0,CD61-Helpers!CD23))</f>
        <v>-0</v>
      </c>
      <c r="CE129" s="48" t="n">
        <f aca="false">-MIN(CE126+CE127+CE128,MAX(0,CE61-Helpers!CE23))</f>
        <v>-81362</v>
      </c>
      <c r="CF129" s="48" t="n">
        <f aca="false">-MIN(CF126+CF127+CF128,MAX(0,CF61-Helpers!CF23))</f>
        <v>-0</v>
      </c>
      <c r="CG129" s="48" t="n">
        <f aca="false">-MIN(CG126+CG127+CG128,MAX(0,CG61-Helpers!CG23))</f>
        <v>-0</v>
      </c>
      <c r="CH129" s="48" t="n">
        <f aca="false">-MIN(CH126+CH127+CH128,MAX(0,CH61-Helpers!CH23))</f>
        <v>-74753.9733935208</v>
      </c>
      <c r="CI129" s="25"/>
    </row>
    <row r="130" s="36" customFormat="true" ht="13.5" hidden="false" customHeight="true" outlineLevel="0" collapsed="false">
      <c r="A130" s="49" t="s">
        <v>155</v>
      </c>
      <c r="B130" s="50"/>
      <c r="C130" s="51" t="n">
        <f aca="false">MAX(0,C126+C127+C128+C129)</f>
        <v>1134000</v>
      </c>
      <c r="D130" s="51" t="n">
        <f aca="false">MAX(0,D126+D127+D128+D129)</f>
        <v>1184000</v>
      </c>
      <c r="E130" s="51" t="n">
        <f aca="false">MAX(0,E126+E127+E128+E129)</f>
        <v>1280275</v>
      </c>
      <c r="F130" s="51" t="n">
        <f aca="false">MAX(0,F126+F127+F128+F129)</f>
        <v>1330275</v>
      </c>
      <c r="G130" s="51" t="n">
        <f aca="false">MAX(0,G126+G127+G128+G129)</f>
        <v>1380275</v>
      </c>
      <c r="H130" s="51" t="n">
        <f aca="false">MAX(0,H126+H127+H128+H129)</f>
        <v>1483910.3125</v>
      </c>
      <c r="I130" s="51" t="n">
        <f aca="false">MAX(0,I126+I127+I128+I129)</f>
        <v>1533910.3125</v>
      </c>
      <c r="J130" s="51" t="n">
        <f aca="false">MAX(0,J126+J127+J128+J129)</f>
        <v>1583910.3125</v>
      </c>
      <c r="K130" s="51" t="n">
        <f aca="false">MAX(0,K126+K127+K128+K129)</f>
        <v>1695181.94921875</v>
      </c>
      <c r="L130" s="51" t="n">
        <f aca="false">MAX(0,L126+L127+L128+L129)</f>
        <v>1745181.94921875</v>
      </c>
      <c r="M130" s="51" t="n">
        <f aca="false">MAX(0,M126+M127+M128+M129)</f>
        <v>1795181.94921875</v>
      </c>
      <c r="N130" s="51" t="n">
        <f aca="false">MAX(0,N126+N127+N128+N129)</f>
        <v>1914376.27231445</v>
      </c>
      <c r="O130" s="51" t="n">
        <f aca="false">MAX(0,O126+O127+O128+O129)</f>
        <v>514376.272314453</v>
      </c>
      <c r="P130" s="51" t="n">
        <f aca="false">MAX(0,P126+P127+P128+P129)</f>
        <v>564376.272314453</v>
      </c>
      <c r="Q130" s="51" t="n">
        <f aca="false">MAX(0,Q126+Q127+Q128+Q129)</f>
        <v>585540.382526245</v>
      </c>
      <c r="R130" s="51" t="n">
        <f aca="false">MAX(0,R126+R127+R128+R129)</f>
        <v>585540.382526245</v>
      </c>
      <c r="S130" s="51" t="n">
        <f aca="false">MAX(0,S126+S127+S128+S129)</f>
        <v>585540.382526245</v>
      </c>
      <c r="T130" s="51" t="n">
        <f aca="false">MAX(0,T126+T127+T128+T129)</f>
        <v>607498.146870979</v>
      </c>
      <c r="U130" s="51" t="n">
        <f aca="false">MAX(0,U126+U127+U128+U129)</f>
        <v>607498.146870979</v>
      </c>
      <c r="V130" s="51" t="n">
        <f aca="false">MAX(0,V126+V127+V128+V129)</f>
        <v>607498.146870979</v>
      </c>
      <c r="W130" s="51" t="n">
        <f aca="false">MAX(0,W126+W127+W128+W129)</f>
        <v>630279.327378641</v>
      </c>
      <c r="X130" s="51" t="n">
        <f aca="false">MAX(0,X126+X127+X128+X129)</f>
        <v>630279.327378641</v>
      </c>
      <c r="Y130" s="51" t="n">
        <f aca="false">MAX(0,Y126+Y127+Y128+Y129)</f>
        <v>630279.327378641</v>
      </c>
      <c r="Z130" s="51" t="n">
        <f aca="false">MAX(0,Z126+Z127+Z128+Z129)</f>
        <v>653914.80215534</v>
      </c>
      <c r="AA130" s="51" t="n">
        <f aca="false">MAX(0,AA126+AA127+AA128+AA129)</f>
        <v>653914.80215534</v>
      </c>
      <c r="AB130" s="51" t="n">
        <f aca="false">MAX(0,AB126+AB127+AB128+AB129)</f>
        <v>653914.80215534</v>
      </c>
      <c r="AC130" s="51" t="n">
        <f aca="false">MAX(0,AC126+AC127+AC128+AC129)</f>
        <v>678436.607236165</v>
      </c>
      <c r="AD130" s="51" t="n">
        <f aca="false">MAX(0,AD126+AD127+AD128+AD129)</f>
        <v>678436.607236165</v>
      </c>
      <c r="AE130" s="51" t="n">
        <f aca="false">MAX(0,AE126+AE127+AE128+AE129)</f>
        <v>678436.607236165</v>
      </c>
      <c r="AF130" s="51" t="n">
        <f aca="false">MAX(0,AF126+AF127+AF128+AF129)</f>
        <v>703877.980007521</v>
      </c>
      <c r="AG130" s="51" t="n">
        <f aca="false">MAX(0,AG126+AG127+AG128+AG129)</f>
        <v>703877.980007521</v>
      </c>
      <c r="AH130" s="51" t="n">
        <f aca="false">MAX(0,AH126+AH127+AH128+AH129)</f>
        <v>703877.980007521</v>
      </c>
      <c r="AI130" s="51" t="n">
        <f aca="false">MAX(0,AI126+AI127+AI128+AI129)</f>
        <v>730273.404257803</v>
      </c>
      <c r="AJ130" s="51" t="n">
        <f aca="false">MAX(0,AJ126+AJ127+AJ128+AJ129)</f>
        <v>730273.404257803</v>
      </c>
      <c r="AK130" s="51" t="n">
        <f aca="false">MAX(0,AK126+AK127+AK128+AK129)</f>
        <v>730273.404257803</v>
      </c>
      <c r="AL130" s="51" t="n">
        <f aca="false">MAX(0,AL126+AL127+AL128+AL129)</f>
        <v>757658.656917471</v>
      </c>
      <c r="AM130" s="51" t="n">
        <f aca="false">MAX(0,AM126+AM127+AM128+AM129)</f>
        <v>757658.656917471</v>
      </c>
      <c r="AN130" s="51" t="n">
        <f aca="false">MAX(0,AN126+AN127+AN128+AN129)</f>
        <v>757658.656917471</v>
      </c>
      <c r="AO130" s="51" t="n">
        <f aca="false">MAX(0,AO126+AO127+AO128+AO129)</f>
        <v>786070.856551876</v>
      </c>
      <c r="AP130" s="51" t="n">
        <f aca="false">MAX(0,AP126+AP127+AP128+AP129)</f>
        <v>786070.856551876</v>
      </c>
      <c r="AQ130" s="51" t="n">
        <f aca="false">MAX(0,AQ126+AQ127+AQ128+AQ129)</f>
        <v>786070.856551876</v>
      </c>
      <c r="AR130" s="51" t="n">
        <f aca="false">MAX(0,AR126+AR127+AR128+AR129)</f>
        <v>815548.513672571</v>
      </c>
      <c r="AS130" s="51" t="n">
        <f aca="false">MAX(0,AS126+AS127+AS128+AS129)</f>
        <v>815548.513672571</v>
      </c>
      <c r="AT130" s="51" t="n">
        <f aca="false">MAX(0,AT126+AT127+AT128+AT129)</f>
        <v>815548.513672571</v>
      </c>
      <c r="AU130" s="51" t="n">
        <f aca="false">MAX(0,AU126+AU127+AU128+AU129)</f>
        <v>846131.582935293</v>
      </c>
      <c r="AV130" s="51" t="n">
        <f aca="false">MAX(0,AV126+AV127+AV128+AV129)</f>
        <v>846131.582935293</v>
      </c>
      <c r="AW130" s="51" t="n">
        <f aca="false">MAX(0,AW126+AW127+AW128+AW129)</f>
        <v>846131.582935293</v>
      </c>
      <c r="AX130" s="51" t="n">
        <f aca="false">MAX(0,AX126+AX127+AX128+AX129)</f>
        <v>877861.517295366</v>
      </c>
      <c r="AY130" s="51" t="n">
        <f aca="false">MAX(0,AY126+AY127+AY128+AY129)</f>
        <v>877861.517295366</v>
      </c>
      <c r="AZ130" s="51" t="n">
        <f aca="false">MAX(0,AZ126+AZ127+AZ128+AZ129)</f>
        <v>877861.517295366</v>
      </c>
      <c r="BA130" s="51" t="n">
        <f aca="false">MAX(0,BA126+BA127+BA128+BA129)</f>
        <v>661610.024193943</v>
      </c>
      <c r="BB130" s="51" t="n">
        <f aca="false">MAX(0,BB126+BB127+BB128+BB129)</f>
        <v>661610.024193943</v>
      </c>
      <c r="BC130" s="51" t="n">
        <f aca="false">MAX(0,BC126+BC127+BC128+BC129)</f>
        <v>661610.024193943</v>
      </c>
      <c r="BD130" s="51" t="n">
        <f aca="false">MAX(0,BD126+BD127+BD128+BD129)</f>
        <v>614720.400101215</v>
      </c>
      <c r="BE130" s="51" t="n">
        <f aca="false">MAX(0,BE126+BE127+BE128+BE129)</f>
        <v>614720.400101215</v>
      </c>
      <c r="BF130" s="51" t="n">
        <f aca="false">MAX(0,BF126+BF127+BF128+BF129)</f>
        <v>614720.400101215</v>
      </c>
      <c r="BG130" s="51" t="n">
        <f aca="false">MAX(0,BG126+BG127+BG128+BG129)</f>
        <v>566072.415105011</v>
      </c>
      <c r="BH130" s="51" t="n">
        <f aca="false">MAX(0,BH126+BH127+BH128+BH129)</f>
        <v>566072.415105011</v>
      </c>
      <c r="BI130" s="51" t="n">
        <f aca="false">MAX(0,BI126+BI127+BI128+BI129)</f>
        <v>566072.415105011</v>
      </c>
      <c r="BJ130" s="51" t="n">
        <f aca="false">MAX(0,BJ126+BJ127+BJ128+BJ129)</f>
        <v>515600.130671449</v>
      </c>
      <c r="BK130" s="51" t="n">
        <f aca="false">MAX(0,BK126+BK127+BK128+BK129)</f>
        <v>515600.130671449</v>
      </c>
      <c r="BL130" s="51" t="n">
        <f aca="false">MAX(0,BL126+BL127+BL128+BL129)</f>
        <v>515600.130671449</v>
      </c>
      <c r="BM130" s="51" t="n">
        <f aca="false">MAX(0,BM126+BM127+BM128+BM129)</f>
        <v>463235.135571628</v>
      </c>
      <c r="BN130" s="51" t="n">
        <f aca="false">MAX(0,BN126+BN127+BN128+BN129)</f>
        <v>463235.135571628</v>
      </c>
      <c r="BO130" s="51" t="n">
        <f aca="false">MAX(0,BO126+BO127+BO128+BO129)</f>
        <v>463235.135571628</v>
      </c>
      <c r="BP130" s="51" t="n">
        <f aca="false">MAX(0,BP126+BP127+BP128+BP129)</f>
        <v>405963.453155564</v>
      </c>
      <c r="BQ130" s="51" t="n">
        <f aca="false">MAX(0,BQ126+BQ127+BQ128+BQ129)</f>
        <v>405963.453155564</v>
      </c>
      <c r="BR130" s="51" t="n">
        <f aca="false">MAX(0,BR126+BR127+BR128+BR129)</f>
        <v>405963.453155564</v>
      </c>
      <c r="BS130" s="51" t="n">
        <f aca="false">MAX(0,BS126+BS127+BS128+BS129)</f>
        <v>346547.082648898</v>
      </c>
      <c r="BT130" s="51" t="n">
        <f aca="false">MAX(0,BT126+BT127+BT128+BT129)</f>
        <v>346547.082648898</v>
      </c>
      <c r="BU130" s="51" t="n">
        <f aca="false">MAX(0,BU126+BU127+BU128+BU129)</f>
        <v>346547.082648898</v>
      </c>
      <c r="BV130" s="51" t="n">
        <f aca="false">MAX(0,BV126+BV127+BV128+BV129)</f>
        <v>284902.598248232</v>
      </c>
      <c r="BW130" s="51" t="n">
        <f aca="false">MAX(0,BW126+BW127+BW128+BW129)</f>
        <v>284902.598248232</v>
      </c>
      <c r="BX130" s="51" t="n">
        <f aca="false">MAX(0,BX126+BX127+BX128+BX129)</f>
        <v>284902.598248232</v>
      </c>
      <c r="BY130" s="51" t="n">
        <f aca="false">MAX(0,BY126+BY127+BY128+BY129)</f>
        <v>220946.44568254</v>
      </c>
      <c r="BZ130" s="51" t="n">
        <f aca="false">MAX(0,BZ126+BZ127+BZ128+BZ129)</f>
        <v>220946.44568254</v>
      </c>
      <c r="CA130" s="51" t="n">
        <f aca="false">MAX(0,CA126+CA127+CA128+CA129)</f>
        <v>220946.44568254</v>
      </c>
      <c r="CB130" s="51" t="n">
        <f aca="false">MAX(0,CB126+CB127+CB128+CB129)</f>
        <v>147868.937395636</v>
      </c>
      <c r="CC130" s="51" t="n">
        <f aca="false">MAX(0,CC126+CC127+CC128+CC129)</f>
        <v>147868.937395636</v>
      </c>
      <c r="CD130" s="51" t="n">
        <f aca="false">MAX(0,CD126+CD127+CD128+CD129)</f>
        <v>147868.937395636</v>
      </c>
      <c r="CE130" s="51" t="n">
        <f aca="false">MAX(0,CE126+CE127+CE128+CE129)</f>
        <v>72052.0225479718</v>
      </c>
      <c r="CF130" s="51" t="n">
        <f aca="false">MAX(0,CF126+CF127+CF128+CF129)</f>
        <v>72052.0225479718</v>
      </c>
      <c r="CG130" s="51" t="n">
        <f aca="false">MAX(0,CG126+CG127+CG128+CG129)</f>
        <v>72052.0225479718</v>
      </c>
      <c r="CH130" s="51" t="n">
        <f aca="false">MAX(0,CH126+CH127+CH128+CH129)</f>
        <v>0</v>
      </c>
      <c r="CI130" s="25"/>
    </row>
    <row r="131" customFormat="false" ht="16.5" hidden="false" customHeight="true" outlineLevel="0" collapsed="false">
      <c r="A131" s="52"/>
      <c r="B131" s="37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38"/>
    </row>
    <row r="132" customFormat="false" ht="15" hidden="false" customHeight="true" outlineLevel="0" collapsed="false">
      <c r="A132" s="54" t="s">
        <v>156</v>
      </c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25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5"/>
      <c r="CK135" s="55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5"/>
      <c r="CK136" s="55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5"/>
      <c r="CK137" s="55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5"/>
      <c r="CK138" s="55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5"/>
      <c r="CK139" s="55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5"/>
      <c r="CK140" s="55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5"/>
      <c r="CK141" s="55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5"/>
      <c r="CK142" s="55"/>
    </row>
    <row r="143" s="36" customFormat="tru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5"/>
      <c r="CK143" s="55"/>
    </row>
    <row r="144" customFormat="false" ht="8.25" hidden="false" customHeight="true" outlineLevel="0" collapsed="false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38"/>
      <c r="CJ144" s="57"/>
      <c r="CK144" s="57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5"/>
      <c r="CK145" s="55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7143249.29732534</v>
      </c>
      <c r="T146" s="10" t="n">
        <f aca="false">S148</f>
        <v>7485020.95966278</v>
      </c>
      <c r="U146" s="10" t="n">
        <f aca="false">T148</f>
        <v>7822767.36698773</v>
      </c>
      <c r="V146" s="10" t="n">
        <f aca="false">U148</f>
        <v>8173330.32950265</v>
      </c>
      <c r="W146" s="10" t="n">
        <f aca="false">V148</f>
        <v>8471784.67613838</v>
      </c>
      <c r="X146" s="10" t="n">
        <f aca="false">W148</f>
        <v>8753769.89296964</v>
      </c>
      <c r="Y146" s="10" t="n">
        <f aca="false">X148</f>
        <v>9016617.54286247</v>
      </c>
      <c r="Z146" s="10" t="n">
        <f aca="false">Y148</f>
        <v>9313102.90931556</v>
      </c>
      <c r="AA146" s="10" t="n">
        <f aca="false">Z148</f>
        <v>9536205.42848739</v>
      </c>
      <c r="AB146" s="10" t="n">
        <f aca="false">AA148</f>
        <v>9740093.64457902</v>
      </c>
      <c r="AC146" s="10" t="n">
        <f aca="false">AB148</f>
        <v>9791936.74681869</v>
      </c>
      <c r="AD146" s="10" t="n">
        <f aca="false">AC148</f>
        <v>9201669.21170439</v>
      </c>
      <c r="AE146" s="10" t="n">
        <f aca="false">AD148</f>
        <v>9297296.15280463</v>
      </c>
      <c r="AF146" s="10" t="n">
        <f aca="false">AE148</f>
        <v>9395036.14521721</v>
      </c>
      <c r="AG146" s="10" t="n">
        <f aca="false">AF148</f>
        <v>9494073.10096071</v>
      </c>
      <c r="AH146" s="10" t="n">
        <f aca="false">AG148</f>
        <v>9714426.56233411</v>
      </c>
      <c r="AI146" s="10" t="n">
        <f aca="false">AH148</f>
        <v>9759049.44517611</v>
      </c>
      <c r="AJ146" s="10" t="n">
        <f aca="false">AI148</f>
        <v>10046820.1274036</v>
      </c>
      <c r="AK146" s="10" t="n">
        <f aca="false">AJ148</f>
        <v>10000413.1524902</v>
      </c>
      <c r="AL146" s="10" t="n">
        <f aca="false">AK148</f>
        <v>9951667.31046713</v>
      </c>
      <c r="AM146" s="10" t="n">
        <f aca="false">AL148</f>
        <v>9989991.89172731</v>
      </c>
      <c r="AN146" s="10" t="n">
        <f aca="false">AM148</f>
        <v>9889223.25052871</v>
      </c>
      <c r="AO146" s="10" t="n">
        <f aca="false">AN148</f>
        <v>9785860.63283935</v>
      </c>
      <c r="AP146" s="10" t="n">
        <f aca="false">AO148</f>
        <v>9679235.25493527</v>
      </c>
      <c r="AQ146" s="10" t="n">
        <f aca="false">AP148</f>
        <v>9568706.51631775</v>
      </c>
      <c r="AR146" s="10" t="n">
        <f aca="false">AQ148</f>
        <v>9453671.8506528</v>
      </c>
      <c r="AS146" s="10" t="n">
        <f aca="false">AR148</f>
        <v>9590772.76320528</v>
      </c>
      <c r="AT146" s="10" t="n">
        <f aca="false">AS148</f>
        <v>9343000.01571134</v>
      </c>
      <c r="AU146" s="10" t="n">
        <f aca="false">AT148</f>
        <v>9093505.27745311</v>
      </c>
      <c r="AV146" s="10" t="n">
        <f aca="false">AU148</f>
        <v>8841488.77938674</v>
      </c>
      <c r="AW146" s="10" t="n">
        <f aca="false">AV148</f>
        <v>8586227.28539122</v>
      </c>
      <c r="AX146" s="10" t="n">
        <f aca="false">AW148</f>
        <v>8327087.48552992</v>
      </c>
      <c r="AY146" s="10" t="n">
        <f aca="false">AX148</f>
        <v>8063541.30263512</v>
      </c>
      <c r="AZ146" s="10" t="n">
        <f aca="false">AY148</f>
        <v>7792342.96420827</v>
      </c>
      <c r="BA146" s="10" t="n">
        <f aca="false">AZ148</f>
        <v>7516036.05318071</v>
      </c>
      <c r="BB146" s="10" t="n">
        <f aca="false">BA148</f>
        <v>7234450.28379908</v>
      </c>
      <c r="BC146" s="10" t="n">
        <f aca="false">BB148</f>
        <v>6947530.16969431</v>
      </c>
      <c r="BD146" s="10" t="n">
        <f aca="false">BC148</f>
        <v>6655325.45726625</v>
      </c>
      <c r="BE146" s="10" t="n">
        <f aca="false">BD148</f>
        <v>6357981.55906833</v>
      </c>
      <c r="BF146" s="10" t="n">
        <f aca="false">BE148</f>
        <v>6055722.33389992</v>
      </c>
      <c r="BG146" s="10" t="n">
        <f aca="false">BF148</f>
        <v>5983808.10686786</v>
      </c>
      <c r="BH146" s="10" t="n">
        <f aca="false">BG148</f>
        <v>5561081.38411035</v>
      </c>
      <c r="BI146" s="10" t="n">
        <f aca="false">BH148</f>
        <v>5138354.66135283</v>
      </c>
      <c r="BJ146" s="10" t="n">
        <f aca="false">BI148</f>
        <v>4715627.93859532</v>
      </c>
      <c r="BK146" s="10" t="n">
        <f aca="false">BJ148</f>
        <v>4292901.21583781</v>
      </c>
      <c r="BL146" s="10" t="n">
        <f aca="false">BK148</f>
        <v>3867281.44529181</v>
      </c>
      <c r="BM146" s="10" t="n">
        <f aca="false">BL148</f>
        <v>3441661.67474582</v>
      </c>
      <c r="BN146" s="10" t="n">
        <f aca="false">BM148</f>
        <v>3016041.90419982</v>
      </c>
      <c r="BO146" s="10" t="n">
        <f aca="false">BN148</f>
        <v>2590422.13365383</v>
      </c>
      <c r="BP146" s="10" t="n">
        <f aca="false">BO148</f>
        <v>2164802.36310783</v>
      </c>
      <c r="BQ146" s="10" t="n">
        <f aca="false">BP148</f>
        <v>1739182.59256184</v>
      </c>
      <c r="BR146" s="10" t="n">
        <f aca="false">BQ148</f>
        <v>1313562.82201584</v>
      </c>
      <c r="BS146" s="10" t="n">
        <f aca="false">BR148</f>
        <v>887943.051469847</v>
      </c>
      <c r="BT146" s="10" t="n">
        <f aca="false">BS148</f>
        <v>462323.280923851</v>
      </c>
      <c r="BU146" s="10" t="n">
        <f aca="false">BT148</f>
        <v>36703.5103778556</v>
      </c>
      <c r="BV146" s="10" t="n">
        <f aca="false">BU148</f>
        <v>-388916.26016814</v>
      </c>
      <c r="BW146" s="10" t="n">
        <f aca="false">BV148</f>
        <v>-814536.030714135</v>
      </c>
      <c r="BX146" s="10" t="n">
        <f aca="false">BW148</f>
        <v>-1243106.71000438</v>
      </c>
      <c r="BY146" s="10" t="n">
        <f aca="false">BX148</f>
        <v>-1671677.38929463</v>
      </c>
      <c r="BZ146" s="10" t="n">
        <f aca="false">BY148</f>
        <v>-2100248.06858488</v>
      </c>
      <c r="CA146" s="10" t="n">
        <f aca="false">BZ148</f>
        <v>-2528818.74787513</v>
      </c>
      <c r="CB146" s="10" t="n">
        <f aca="false">CA148</f>
        <v>-2957389.42716538</v>
      </c>
      <c r="CC146" s="10" t="n">
        <f aca="false">CB148</f>
        <v>-3385960.10645563</v>
      </c>
      <c r="CD146" s="10" t="n">
        <f aca="false">CC148</f>
        <v>-3814530.78574588</v>
      </c>
      <c r="CE146" s="10" t="n">
        <f aca="false">CD148</f>
        <v>-4243101.46503612</v>
      </c>
      <c r="CF146" s="10" t="n">
        <f aca="false">CE148</f>
        <v>-4671672.14432637</v>
      </c>
      <c r="CG146" s="10" t="n">
        <f aca="false">CF148</f>
        <v>-5100242.82361662</v>
      </c>
      <c r="CH146" s="10" t="n">
        <f aca="false">CG148</f>
        <v>-5528813.50290687</v>
      </c>
      <c r="CI146" s="25"/>
      <c r="CJ146" s="55"/>
      <c r="CK146" s="55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531405.490512387</v>
      </c>
      <c r="S147" s="10" t="n">
        <f aca="false">S41</f>
        <v>341771.66233744</v>
      </c>
      <c r="T147" s="10" t="n">
        <f aca="false">T41</f>
        <v>337746.407324949</v>
      </c>
      <c r="U147" s="10" t="n">
        <f aca="false">U41</f>
        <v>350562.962514923</v>
      </c>
      <c r="V147" s="10" t="n">
        <f aca="false">V41</f>
        <v>298454.346635731</v>
      </c>
      <c r="W147" s="10" t="n">
        <f aca="false">W41</f>
        <v>281985.216831262</v>
      </c>
      <c r="X147" s="10" t="n">
        <f aca="false">X41</f>
        <v>262847.649892823</v>
      </c>
      <c r="Y147" s="10" t="n">
        <f aca="false">Y41</f>
        <v>296485.366453094</v>
      </c>
      <c r="Z147" s="10" t="n">
        <f aca="false">Z41</f>
        <v>223102.519171835</v>
      </c>
      <c r="AA147" s="10" t="n">
        <f aca="false">AA41</f>
        <v>203888.216091625</v>
      </c>
      <c r="AB147" s="10" t="n">
        <f aca="false">AB41</f>
        <v>51843.1022396709</v>
      </c>
      <c r="AC147" s="10" t="n">
        <f aca="false">AC41</f>
        <v>-590267.535114306</v>
      </c>
      <c r="AD147" s="10" t="n">
        <f aca="false">AD41</f>
        <v>95626.9411002426</v>
      </c>
      <c r="AE147" s="10" t="n">
        <f aca="false">AE41</f>
        <v>97739.9924125794</v>
      </c>
      <c r="AF147" s="10" t="n">
        <f aca="false">AF41</f>
        <v>99036.9557434999</v>
      </c>
      <c r="AG147" s="10" t="n">
        <f aca="false">AG41</f>
        <v>220353.461373402</v>
      </c>
      <c r="AH147" s="10" t="n">
        <f aca="false">AH41</f>
        <v>44622.882841998</v>
      </c>
      <c r="AI147" s="10" t="n">
        <f aca="false">AI41</f>
        <v>287770.682227521</v>
      </c>
      <c r="AJ147" s="10" t="n">
        <f aca="false">AJ41</f>
        <v>-46406.9749134338</v>
      </c>
      <c r="AK147" s="10" t="n">
        <f aca="false">AK41</f>
        <v>-48745.8420230612</v>
      </c>
      <c r="AL147" s="10" t="n">
        <f aca="false">AL41</f>
        <v>38324.5812601734</v>
      </c>
      <c r="AM147" s="10" t="n">
        <f aca="false">AM41</f>
        <v>-100768.641198597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5"/>
      <c r="CK147" s="55"/>
    </row>
    <row r="148" customFormat="false" ht="15" hidden="false" customHeight="true" outlineLevel="0" collapsed="false">
      <c r="A148" s="58" t="s">
        <v>41</v>
      </c>
      <c r="B148" s="59"/>
      <c r="C148" s="60" t="n">
        <f aca="false">C146+C147</f>
        <v>1737102.8986787</v>
      </c>
      <c r="D148" s="60" t="n">
        <f aca="false">D146+D147</f>
        <v>1789775.19229358</v>
      </c>
      <c r="E148" s="60" t="n">
        <f aca="false">E146+E147</f>
        <v>1814777.5599298</v>
      </c>
      <c r="F148" s="60" t="n">
        <f aca="false">F146+F147</f>
        <v>2287644.57085951</v>
      </c>
      <c r="G148" s="60" t="n">
        <f aca="false">G146+G147</f>
        <v>2473306.93746751</v>
      </c>
      <c r="H148" s="60" t="n">
        <f aca="false">H146+H147</f>
        <v>2701138.11084195</v>
      </c>
      <c r="I148" s="60" t="n">
        <f aca="false">I146+I147</f>
        <v>3265912.2324822</v>
      </c>
      <c r="J148" s="60" t="n">
        <f aca="false">J146+J147</f>
        <v>3884453.1174408</v>
      </c>
      <c r="K148" s="60" t="n">
        <f aca="false">K146+K147</f>
        <v>4286600.78819928</v>
      </c>
      <c r="L148" s="60" t="n">
        <f aca="false">L146+L147</f>
        <v>4703005.09389889</v>
      </c>
      <c r="M148" s="60" t="n">
        <f aca="false">M146+M147</f>
        <v>5130509.33155666</v>
      </c>
      <c r="N148" s="60" t="n">
        <f aca="false">N146+N147</f>
        <v>5565501.5356309</v>
      </c>
      <c r="O148" s="60" t="n">
        <f aca="false">O146+O147</f>
        <v>5335890.48531273</v>
      </c>
      <c r="P148" s="60" t="n">
        <f aca="false">P146+P147</f>
        <v>5902519.12935916</v>
      </c>
      <c r="Q148" s="60" t="n">
        <f aca="false">Q146+Q147</f>
        <v>6611843.80681295</v>
      </c>
      <c r="R148" s="60" t="n">
        <f aca="false">R146+R147</f>
        <v>7143249.29732534</v>
      </c>
      <c r="S148" s="60" t="n">
        <f aca="false">S146+S147</f>
        <v>7485020.95966278</v>
      </c>
      <c r="T148" s="60" t="n">
        <f aca="false">T146+T147</f>
        <v>7822767.36698773</v>
      </c>
      <c r="U148" s="60" t="n">
        <f aca="false">U146+U147</f>
        <v>8173330.32950265</v>
      </c>
      <c r="V148" s="60" t="n">
        <f aca="false">V146+V147</f>
        <v>8471784.67613838</v>
      </c>
      <c r="W148" s="60" t="n">
        <f aca="false">W146+W147</f>
        <v>8753769.89296964</v>
      </c>
      <c r="X148" s="60" t="n">
        <f aca="false">X146+X147</f>
        <v>9016617.54286247</v>
      </c>
      <c r="Y148" s="60" t="n">
        <f aca="false">Y146+Y147</f>
        <v>9313102.90931556</v>
      </c>
      <c r="Z148" s="60" t="n">
        <f aca="false">Z146+Z147</f>
        <v>9536205.42848739</v>
      </c>
      <c r="AA148" s="60" t="n">
        <f aca="false">AA146+AA147</f>
        <v>9740093.64457902</v>
      </c>
      <c r="AB148" s="60" t="n">
        <f aca="false">AB146+AB147</f>
        <v>9791936.74681869</v>
      </c>
      <c r="AC148" s="60" t="n">
        <f aca="false">AC146+AC147</f>
        <v>9201669.21170439</v>
      </c>
      <c r="AD148" s="60" t="n">
        <f aca="false">AD146+AD147</f>
        <v>9297296.15280463</v>
      </c>
      <c r="AE148" s="60" t="n">
        <f aca="false">AE146+AE147</f>
        <v>9395036.14521721</v>
      </c>
      <c r="AF148" s="60" t="n">
        <f aca="false">AF146+AF147</f>
        <v>9494073.10096071</v>
      </c>
      <c r="AG148" s="60" t="n">
        <f aca="false">AG146+AG147</f>
        <v>9714426.56233411</v>
      </c>
      <c r="AH148" s="60" t="n">
        <f aca="false">AH146+AH147</f>
        <v>9759049.44517611</v>
      </c>
      <c r="AI148" s="60" t="n">
        <f aca="false">AI146+AI147</f>
        <v>10046820.1274036</v>
      </c>
      <c r="AJ148" s="60" t="n">
        <f aca="false">AJ146+AJ147</f>
        <v>10000413.1524902</v>
      </c>
      <c r="AK148" s="60" t="n">
        <f aca="false">AK146+AK147</f>
        <v>9951667.31046713</v>
      </c>
      <c r="AL148" s="60" t="n">
        <f aca="false">AL146+AL147</f>
        <v>9989991.89172731</v>
      </c>
      <c r="AM148" s="60" t="n">
        <f aca="false">AM146+AM147</f>
        <v>9889223.25052871</v>
      </c>
      <c r="AN148" s="60" t="n">
        <f aca="false">AN146+AN147</f>
        <v>9785860.63283935</v>
      </c>
      <c r="AO148" s="60" t="n">
        <f aca="false">AO146+AO147</f>
        <v>9679235.25493527</v>
      </c>
      <c r="AP148" s="60" t="n">
        <f aca="false">AP146+AP147</f>
        <v>9568706.51631775</v>
      </c>
      <c r="AQ148" s="60" t="n">
        <f aca="false">AQ146+AQ147</f>
        <v>9453671.8506528</v>
      </c>
      <c r="AR148" s="60" t="n">
        <f aca="false">AR146+AR147</f>
        <v>9590772.76320528</v>
      </c>
      <c r="AS148" s="60" t="n">
        <f aca="false">AS146+AS147</f>
        <v>9343000.01571134</v>
      </c>
      <c r="AT148" s="60" t="n">
        <f aca="false">AT146+AT147</f>
        <v>9093505.27745311</v>
      </c>
      <c r="AU148" s="60" t="n">
        <f aca="false">AU146+AU147</f>
        <v>8841488.77938674</v>
      </c>
      <c r="AV148" s="60" t="n">
        <f aca="false">AV146+AV147</f>
        <v>8586227.28539122</v>
      </c>
      <c r="AW148" s="60" t="n">
        <f aca="false">AW146+AW147</f>
        <v>8327087.48552992</v>
      </c>
      <c r="AX148" s="60" t="n">
        <f aca="false">AX146+AX147</f>
        <v>8063541.30263512</v>
      </c>
      <c r="AY148" s="60" t="n">
        <f aca="false">AY146+AY147</f>
        <v>7792342.96420827</v>
      </c>
      <c r="AZ148" s="60" t="n">
        <f aca="false">AZ146+AZ147</f>
        <v>7516036.05318071</v>
      </c>
      <c r="BA148" s="60" t="n">
        <f aca="false">BA146+BA147</f>
        <v>7234450.28379908</v>
      </c>
      <c r="BB148" s="60" t="n">
        <f aca="false">BB146+BB147</f>
        <v>6947530.16969431</v>
      </c>
      <c r="BC148" s="60" t="n">
        <f aca="false">BC146+BC147</f>
        <v>6655325.45726625</v>
      </c>
      <c r="BD148" s="60" t="n">
        <f aca="false">BD146+BD147</f>
        <v>6357981.55906833</v>
      </c>
      <c r="BE148" s="60" t="n">
        <f aca="false">BE146+BE147</f>
        <v>6055722.33389992</v>
      </c>
      <c r="BF148" s="60" t="n">
        <f aca="false">BF146+BF147</f>
        <v>5983808.10686786</v>
      </c>
      <c r="BG148" s="60" t="n">
        <f aca="false">BG146+BG147</f>
        <v>5561081.38411035</v>
      </c>
      <c r="BH148" s="60" t="n">
        <f aca="false">BH146+BH147</f>
        <v>5138354.66135283</v>
      </c>
      <c r="BI148" s="60" t="n">
        <f aca="false">BI146+BI147</f>
        <v>4715627.93859532</v>
      </c>
      <c r="BJ148" s="60" t="n">
        <f aca="false">BJ146+BJ147</f>
        <v>4292901.21583781</v>
      </c>
      <c r="BK148" s="60" t="n">
        <f aca="false">BK146+BK147</f>
        <v>3867281.44529181</v>
      </c>
      <c r="BL148" s="60" t="n">
        <f aca="false">BL146+BL147</f>
        <v>3441661.67474582</v>
      </c>
      <c r="BM148" s="60" t="n">
        <f aca="false">BM146+BM147</f>
        <v>3016041.90419982</v>
      </c>
      <c r="BN148" s="60" t="n">
        <f aca="false">BN146+BN147</f>
        <v>2590422.13365383</v>
      </c>
      <c r="BO148" s="60" t="n">
        <f aca="false">BO146+BO147</f>
        <v>2164802.36310783</v>
      </c>
      <c r="BP148" s="60" t="n">
        <f aca="false">BP146+BP147</f>
        <v>1739182.59256184</v>
      </c>
      <c r="BQ148" s="60" t="n">
        <f aca="false">BQ146+BQ147</f>
        <v>1313562.82201584</v>
      </c>
      <c r="BR148" s="60" t="n">
        <f aca="false">BR146+BR147</f>
        <v>887943.051469847</v>
      </c>
      <c r="BS148" s="60" t="n">
        <f aca="false">BS146+BS147</f>
        <v>462323.280923851</v>
      </c>
      <c r="BT148" s="60" t="n">
        <f aca="false">BT146+BT147</f>
        <v>36703.5103778556</v>
      </c>
      <c r="BU148" s="60" t="n">
        <f aca="false">BU146+BU147</f>
        <v>-388916.26016814</v>
      </c>
      <c r="BV148" s="60" t="n">
        <f aca="false">BV146+BV147</f>
        <v>-814536.030714135</v>
      </c>
      <c r="BW148" s="60" t="n">
        <f aca="false">BW146+BW147</f>
        <v>-1243106.71000438</v>
      </c>
      <c r="BX148" s="60" t="n">
        <f aca="false">BX146+BX147</f>
        <v>-1671677.38929463</v>
      </c>
      <c r="BY148" s="60" t="n">
        <f aca="false">BY146+BY147</f>
        <v>-2100248.06858488</v>
      </c>
      <c r="BZ148" s="60" t="n">
        <f aca="false">BZ146+BZ147</f>
        <v>-2528818.74787513</v>
      </c>
      <c r="CA148" s="60" t="n">
        <f aca="false">CA146+CA147</f>
        <v>-2957389.42716538</v>
      </c>
      <c r="CB148" s="60" t="n">
        <f aca="false">CB146+CB147</f>
        <v>-3385960.10645563</v>
      </c>
      <c r="CC148" s="60" t="n">
        <f aca="false">CC146+CC147</f>
        <v>-3814530.78574588</v>
      </c>
      <c r="CD148" s="60" t="n">
        <f aca="false">CD146+CD147</f>
        <v>-4243101.46503612</v>
      </c>
      <c r="CE148" s="60" t="n">
        <f aca="false">CE146+CE147</f>
        <v>-4671672.14432637</v>
      </c>
      <c r="CF148" s="60" t="n">
        <f aca="false">CF146+CF147</f>
        <v>-5100242.82361662</v>
      </c>
      <c r="CG148" s="60" t="n">
        <f aca="false">CG146+CG147</f>
        <v>-5528813.50290687</v>
      </c>
      <c r="CH148" s="60" t="n">
        <f aca="false">CH146+CH147</f>
        <v>-5957384.18219712</v>
      </c>
      <c r="CI148" s="25"/>
      <c r="CJ148" s="55"/>
      <c r="CK148" s="55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5"/>
      <c r="CK149" s="55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5"/>
      <c r="CK150" s="55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-601106.013333333</v>
      </c>
      <c r="N151" s="10" t="n">
        <f aca="false">M156</f>
        <v>-1040830.13666667</v>
      </c>
      <c r="O151" s="10" t="n">
        <f aca="false">N156</f>
        <v>-1230554.26</v>
      </c>
      <c r="P151" s="10" t="n">
        <f aca="false">O156</f>
        <v>-1422614.675</v>
      </c>
      <c r="Q151" s="10" t="n">
        <f aca="false">P156</f>
        <v>-1614675.09</v>
      </c>
      <c r="R151" s="10" t="n">
        <f aca="false">Q156</f>
        <v>-1806735.505</v>
      </c>
      <c r="S151" s="10" t="n">
        <f aca="false">R156</f>
        <v>-2046162.17</v>
      </c>
      <c r="T151" s="10" t="n">
        <f aca="false">S156</f>
        <v>-2262128.835</v>
      </c>
      <c r="U151" s="10" t="n">
        <f aca="false">T156</f>
        <v>-2478095.5</v>
      </c>
      <c r="V151" s="10" t="n">
        <f aca="false">U156</f>
        <v>-2694062.165</v>
      </c>
      <c r="W151" s="10" t="n">
        <f aca="false">V156</f>
        <v>-2910028.83</v>
      </c>
      <c r="X151" s="10" t="n">
        <f aca="false">W156</f>
        <v>-3026009.73828545</v>
      </c>
      <c r="Y151" s="10" t="n">
        <f aca="false">X156</f>
        <v>-3111976.40328545</v>
      </c>
      <c r="Z151" s="10" t="n">
        <f aca="false">Y156</f>
        <v>-3447943.06828545</v>
      </c>
      <c r="AA151" s="10" t="n">
        <f aca="false">Z156</f>
        <v>-3489166.31328545</v>
      </c>
      <c r="AB151" s="10" t="n">
        <f aca="false">AA156</f>
        <v>-3601200.20578545</v>
      </c>
      <c r="AC151" s="10" t="n">
        <f aca="false">AB156</f>
        <v>-3713234.09828545</v>
      </c>
      <c r="AD151" s="10" t="n">
        <f aca="false">AC156</f>
        <v>-3767892.99078545</v>
      </c>
      <c r="AE151" s="10" t="n">
        <f aca="false">AD156</f>
        <v>-3903856.08328545</v>
      </c>
      <c r="AF151" s="10" t="n">
        <f aca="false">AE156</f>
        <v>-4015889.97578545</v>
      </c>
      <c r="AG151" s="10" t="n">
        <f aca="false">AF156</f>
        <v>-4127923.86828545</v>
      </c>
      <c r="AH151" s="10" t="n">
        <f aca="false">AG156</f>
        <v>-4249457.76078545</v>
      </c>
      <c r="AI151" s="10" t="n">
        <f aca="false">AH156</f>
        <v>-4370991.65328545</v>
      </c>
      <c r="AJ151" s="10" t="n">
        <f aca="false">AI156</f>
        <v>-4514373.94578545</v>
      </c>
      <c r="AK151" s="10" t="n">
        <f aca="false">AJ156</f>
        <v>-4635907.83828545</v>
      </c>
      <c r="AL151" s="10" t="n">
        <f aca="false">AK156</f>
        <v>-4757441.73078545</v>
      </c>
      <c r="AM151" s="10" t="n">
        <f aca="false">AL156</f>
        <v>-4878975.62328545</v>
      </c>
      <c r="AN151" s="10" t="n">
        <f aca="false">AM156</f>
        <v>-5002940.19363545</v>
      </c>
      <c r="AO151" s="10" t="n">
        <f aca="false">AN156</f>
        <v>-5126904.76398545</v>
      </c>
      <c r="AP151" s="10" t="n">
        <f aca="false">AO156</f>
        <v>-5250869.33433545</v>
      </c>
      <c r="AQ151" s="10" t="n">
        <f aca="false">AP156</f>
        <v>-5399241.68868545</v>
      </c>
      <c r="AR151" s="10" t="n">
        <f aca="false">AQ156</f>
        <v>-5523206.25903545</v>
      </c>
      <c r="AS151" s="10" t="n">
        <f aca="false">AR156</f>
        <v>-5647170.82938544</v>
      </c>
      <c r="AT151" s="10" t="n">
        <f aca="false">AS156</f>
        <v>-5771135.39973544</v>
      </c>
      <c r="AU151" s="10" t="n">
        <f aca="false">AT156</f>
        <v>-5895099.97008544</v>
      </c>
      <c r="AV151" s="10" t="n">
        <f aca="false">AU156</f>
        <v>-6041349.90843544</v>
      </c>
      <c r="AW151" s="10" t="n">
        <f aca="false">AV156</f>
        <v>-6165314.47878544</v>
      </c>
      <c r="AX151" s="10" t="n">
        <f aca="false">AW156</f>
        <v>-6289279.04913544</v>
      </c>
      <c r="AY151" s="10" t="n">
        <f aca="false">AX156</f>
        <v>-6413243.61948544</v>
      </c>
      <c r="AZ151" s="10" t="n">
        <f aca="false">AY156</f>
        <v>-6539687.48124244</v>
      </c>
      <c r="BA151" s="10" t="n">
        <f aca="false">AZ156</f>
        <v>-6666131.34299944</v>
      </c>
      <c r="BB151" s="10" t="n">
        <f aca="false">BA156</f>
        <v>-6792575.20475644</v>
      </c>
      <c r="BC151" s="10" t="n">
        <f aca="false">BB156</f>
        <v>-6943915.00619344</v>
      </c>
      <c r="BD151" s="10" t="n">
        <f aca="false">BC156</f>
        <v>-7070358.86795044</v>
      </c>
      <c r="BE151" s="10" t="n">
        <f aca="false">BD156</f>
        <v>-7196802.72970744</v>
      </c>
      <c r="BF151" s="10" t="n">
        <f aca="false">BE156</f>
        <v>-7323246.59146444</v>
      </c>
      <c r="BG151" s="10" t="n">
        <f aca="false">BF156</f>
        <v>-7449690.45322144</v>
      </c>
      <c r="BH151" s="10" t="n">
        <f aca="false">BG156</f>
        <v>-7598865.39033844</v>
      </c>
      <c r="BI151" s="10" t="n">
        <f aca="false">BH156</f>
        <v>-7725309.25209544</v>
      </c>
      <c r="BJ151" s="10" t="n">
        <f aca="false">BI156</f>
        <v>-7851753.11385244</v>
      </c>
      <c r="BK151" s="10" t="n">
        <f aca="false">BJ156</f>
        <v>-7978196.97560944</v>
      </c>
      <c r="BL151" s="10" t="n">
        <f aca="false">BK156</f>
        <v>-8107169.71460158</v>
      </c>
      <c r="BM151" s="10" t="n">
        <f aca="false">BL156</f>
        <v>-8236142.45359372</v>
      </c>
      <c r="BN151" s="10" t="n">
        <f aca="false">BM156</f>
        <v>-8365115.19258586</v>
      </c>
      <c r="BO151" s="10" t="n">
        <f aca="false">BN156</f>
        <v>-8519481.7900516</v>
      </c>
      <c r="BP151" s="10" t="n">
        <f aca="false">BO156</f>
        <v>-8648454.52904374</v>
      </c>
      <c r="BQ151" s="10" t="n">
        <f aca="false">BP156</f>
        <v>-8725913.74803588</v>
      </c>
      <c r="BR151" s="10" t="n">
        <f aca="false">BQ156</f>
        <v>-8854886.48702802</v>
      </c>
      <c r="BS151" s="10" t="n">
        <f aca="false">BR156</f>
        <v>-8983859.22602016</v>
      </c>
      <c r="BT151" s="10" t="n">
        <f aca="false">BS156</f>
        <v>-9068255.6618795</v>
      </c>
      <c r="BU151" s="10" t="n">
        <f aca="false">BT156</f>
        <v>-9197228.40087164</v>
      </c>
      <c r="BV151" s="10" t="n">
        <f aca="false">BU156</f>
        <v>-9326201.13986378</v>
      </c>
      <c r="BW151" s="10" t="n">
        <f aca="false">BV156</f>
        <v>-9387411.87885592</v>
      </c>
      <c r="BX151" s="10" t="n">
        <f aca="false">BW156</f>
        <v>-9518964.0726279</v>
      </c>
      <c r="BY151" s="10" t="n">
        <f aca="false">BX156</f>
        <v>-9650516.26639989</v>
      </c>
      <c r="BZ151" s="10" t="n">
        <f aca="false">BY156</f>
        <v>-9714306.46017187</v>
      </c>
      <c r="CA151" s="10" t="n">
        <f aca="false">BZ156</f>
        <v>-9871760.38958692</v>
      </c>
      <c r="CB151" s="10" t="n">
        <f aca="false">CA156</f>
        <v>-10003312.5833589</v>
      </c>
      <c r="CC151" s="10" t="n">
        <f aca="false">CB156</f>
        <v>-10058365.7771309</v>
      </c>
      <c r="CD151" s="10" t="n">
        <f aca="false">CC156</f>
        <v>-10189917.9709029</v>
      </c>
      <c r="CE151" s="10" t="n">
        <f aca="false">CD156</f>
        <v>-10321470.1646749</v>
      </c>
      <c r="CF151" s="10" t="n">
        <f aca="false">CE156</f>
        <v>-10400172.7692514</v>
      </c>
      <c r="CG151" s="10" t="n">
        <f aca="false">CF156</f>
        <v>-10531724.9630234</v>
      </c>
      <c r="CH151" s="10" t="n">
        <f aca="false">CG156</f>
        <v>-10663277.1567953</v>
      </c>
      <c r="CI151" s="25"/>
      <c r="CJ151" s="55"/>
      <c r="CK151" s="55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-59724.1233333333</v>
      </c>
      <c r="M152" s="10" t="n">
        <f aca="false">M87</f>
        <v>-59724.1233333333</v>
      </c>
      <c r="N152" s="10" t="n">
        <f aca="false">N87</f>
        <v>-59724.1233333333</v>
      </c>
      <c r="O152" s="10" t="n">
        <f aca="false">O87</f>
        <v>-62060.415</v>
      </c>
      <c r="P152" s="10" t="n">
        <f aca="false">P87</f>
        <v>-62060.415</v>
      </c>
      <c r="Q152" s="10" t="n">
        <f aca="false">Q87</f>
        <v>-62060.415</v>
      </c>
      <c r="R152" s="10" t="n">
        <f aca="false">R87</f>
        <v>-109426.665</v>
      </c>
      <c r="S152" s="10" t="n">
        <f aca="false">S87</f>
        <v>-85966.665</v>
      </c>
      <c r="T152" s="10" t="n">
        <f aca="false">T87</f>
        <v>-85966.665</v>
      </c>
      <c r="U152" s="10" t="n">
        <f aca="false">U87</f>
        <v>-85966.665</v>
      </c>
      <c r="V152" s="10" t="n">
        <f aca="false">V87</f>
        <v>-85966.665</v>
      </c>
      <c r="W152" s="10" t="n">
        <f aca="false">W87</f>
        <v>-50011.665</v>
      </c>
      <c r="X152" s="10" t="n">
        <f aca="false">X87</f>
        <v>-85966.665</v>
      </c>
      <c r="Y152" s="10" t="n">
        <f aca="false">Y87</f>
        <v>-85966.665</v>
      </c>
      <c r="Z152" s="10" t="n">
        <f aca="false">Z87</f>
        <v>-41223.245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5"/>
      <c r="CK152" s="55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5"/>
      <c r="CK153" s="55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5"/>
      <c r="CK154" s="55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5"/>
      <c r="CK155" s="55"/>
    </row>
    <row r="156" customFormat="false" ht="15" hidden="false" customHeight="true" outlineLevel="0" collapsed="false">
      <c r="A156" s="58" t="s">
        <v>42</v>
      </c>
      <c r="B156" s="59"/>
      <c r="C156" s="60" t="n">
        <f aca="false">C151+C152+C153+C154+C155</f>
        <v>378431.156666667</v>
      </c>
      <c r="D156" s="60" t="n">
        <f aca="false">D151+D152+D153+D154+D155</f>
        <v>305231.153333333</v>
      </c>
      <c r="E156" s="60" t="n">
        <f aca="false">E151+E152+E153+E154+E155</f>
        <v>232031.15</v>
      </c>
      <c r="F156" s="60" t="n">
        <f aca="false">F151+F152+F153+F154+F155</f>
        <v>135831.146666667</v>
      </c>
      <c r="G156" s="60" t="n">
        <f aca="false">G151+G152+G153+G154+G155</f>
        <v>173471.633333333</v>
      </c>
      <c r="H156" s="60" t="n">
        <f aca="false">H151+H152+H153+H154+H155</f>
        <v>169415.48</v>
      </c>
      <c r="I156" s="60" t="n">
        <f aca="false">I151+I152+I153+I154+I155</f>
        <v>-10933.6433333333</v>
      </c>
      <c r="J156" s="60" t="n">
        <f aca="false">J151+J152+J153+J154+J155</f>
        <v>-200657.766666667</v>
      </c>
      <c r="K156" s="60" t="n">
        <f aca="false">K151+K152+K153+K154+K155</f>
        <v>-411381.89</v>
      </c>
      <c r="L156" s="60" t="n">
        <f aca="false">L151+L152+L153+L154+L155</f>
        <v>-601106.013333333</v>
      </c>
      <c r="M156" s="60" t="n">
        <f aca="false">M151+M152+M153+M154+M155</f>
        <v>-1040830.13666667</v>
      </c>
      <c r="N156" s="60" t="n">
        <f aca="false">N151+N152+N153+N154+N155</f>
        <v>-1230554.26</v>
      </c>
      <c r="O156" s="60" t="n">
        <f aca="false">O151+O152+O153+O154+O155</f>
        <v>-1422614.675</v>
      </c>
      <c r="P156" s="60" t="n">
        <f aca="false">P151+P152+P153+P154+P155</f>
        <v>-1614675.09</v>
      </c>
      <c r="Q156" s="60" t="n">
        <f aca="false">Q151+Q152+Q153+Q154+Q155</f>
        <v>-1806735.505</v>
      </c>
      <c r="R156" s="60" t="n">
        <f aca="false">R151+R152+R153+R154+R155</f>
        <v>-2046162.17</v>
      </c>
      <c r="S156" s="60" t="n">
        <f aca="false">S151+S152+S153+S154+S155</f>
        <v>-2262128.835</v>
      </c>
      <c r="T156" s="60" t="n">
        <f aca="false">T151+T152+T153+T154+T155</f>
        <v>-2478095.5</v>
      </c>
      <c r="U156" s="60" t="n">
        <f aca="false">U151+U152+U153+U154+U155</f>
        <v>-2694062.165</v>
      </c>
      <c r="V156" s="60" t="n">
        <f aca="false">V151+V152+V153+V154+V155</f>
        <v>-2910028.83</v>
      </c>
      <c r="W156" s="60" t="n">
        <f aca="false">W151+W152+W153+W154+W155</f>
        <v>-3026009.73828545</v>
      </c>
      <c r="X156" s="60" t="n">
        <f aca="false">X151+X152+X153+X154+X155</f>
        <v>-3111976.40328545</v>
      </c>
      <c r="Y156" s="60" t="n">
        <f aca="false">Y151+Y152+Y153+Y154+Y155</f>
        <v>-3447943.06828545</v>
      </c>
      <c r="Z156" s="60" t="n">
        <f aca="false">Z151+Z152+Z153+Z154+Z155</f>
        <v>-3489166.31328545</v>
      </c>
      <c r="AA156" s="60" t="n">
        <f aca="false">AA151+AA152+AA153+AA154+AA155</f>
        <v>-3601200.20578545</v>
      </c>
      <c r="AB156" s="60" t="n">
        <f aca="false">AB151+AB152+AB153+AB154+AB155</f>
        <v>-3713234.09828545</v>
      </c>
      <c r="AC156" s="60" t="n">
        <f aca="false">AC151+AC152+AC153+AC154+AC155</f>
        <v>-3767892.99078545</v>
      </c>
      <c r="AD156" s="60" t="n">
        <f aca="false">AD151+AD152+AD153+AD154+AD155</f>
        <v>-3903856.08328545</v>
      </c>
      <c r="AE156" s="60" t="n">
        <f aca="false">AE151+AE152+AE153+AE154+AE155</f>
        <v>-4015889.97578545</v>
      </c>
      <c r="AF156" s="60" t="n">
        <f aca="false">AF151+AF152+AF153+AF154+AF155</f>
        <v>-4127923.86828545</v>
      </c>
      <c r="AG156" s="60" t="n">
        <f aca="false">AG151+AG152+AG153+AG154+AG155</f>
        <v>-4249457.76078545</v>
      </c>
      <c r="AH156" s="60" t="n">
        <f aca="false">AH151+AH152+AH153+AH154+AH155</f>
        <v>-4370991.65328545</v>
      </c>
      <c r="AI156" s="60" t="n">
        <f aca="false">AI151+AI152+AI153+AI154+AI155</f>
        <v>-4514373.94578545</v>
      </c>
      <c r="AJ156" s="60" t="n">
        <f aca="false">AJ151+AJ152+AJ153+AJ154+AJ155</f>
        <v>-4635907.83828545</v>
      </c>
      <c r="AK156" s="60" t="n">
        <f aca="false">AK151+AK152+AK153+AK154+AK155</f>
        <v>-4757441.73078545</v>
      </c>
      <c r="AL156" s="60" t="n">
        <f aca="false">AL151+AL152+AL153+AL154+AL155</f>
        <v>-4878975.62328545</v>
      </c>
      <c r="AM156" s="60" t="n">
        <f aca="false">AM151+AM152+AM153+AM154+AM155</f>
        <v>-5002940.19363545</v>
      </c>
      <c r="AN156" s="60" t="n">
        <f aca="false">AN151+AN152+AN153+AN154+AN155</f>
        <v>-5126904.76398545</v>
      </c>
      <c r="AO156" s="60" t="n">
        <f aca="false">AO151+AO152+AO153+AO154+AO155</f>
        <v>-5250869.33433545</v>
      </c>
      <c r="AP156" s="60" t="n">
        <f aca="false">AP151+AP152+AP153+AP154+AP155</f>
        <v>-5399241.68868545</v>
      </c>
      <c r="AQ156" s="60" t="n">
        <f aca="false">AQ151+AQ152+AQ153+AQ154+AQ155</f>
        <v>-5523206.25903545</v>
      </c>
      <c r="AR156" s="60" t="n">
        <f aca="false">AR151+AR152+AR153+AR154+AR155</f>
        <v>-5647170.82938544</v>
      </c>
      <c r="AS156" s="60" t="n">
        <f aca="false">AS151+AS152+AS153+AS154+AS155</f>
        <v>-5771135.39973544</v>
      </c>
      <c r="AT156" s="60" t="n">
        <f aca="false">AT151+AT152+AT153+AT154+AT155</f>
        <v>-5895099.97008544</v>
      </c>
      <c r="AU156" s="60" t="n">
        <f aca="false">AU151+AU152+AU153+AU154+AU155</f>
        <v>-6041349.90843544</v>
      </c>
      <c r="AV156" s="60" t="n">
        <f aca="false">AV151+AV152+AV153+AV154+AV155</f>
        <v>-6165314.47878544</v>
      </c>
      <c r="AW156" s="60" t="n">
        <f aca="false">AW151+AW152+AW153+AW154+AW155</f>
        <v>-6289279.04913544</v>
      </c>
      <c r="AX156" s="60" t="n">
        <f aca="false">AX151+AX152+AX153+AX154+AX155</f>
        <v>-6413243.61948544</v>
      </c>
      <c r="AY156" s="60" t="n">
        <f aca="false">AY151+AY152+AY153+AY154+AY155</f>
        <v>-6539687.48124244</v>
      </c>
      <c r="AZ156" s="60" t="n">
        <f aca="false">AZ151+AZ152+AZ153+AZ154+AZ155</f>
        <v>-6666131.34299944</v>
      </c>
      <c r="BA156" s="60" t="n">
        <f aca="false">BA151+BA152+BA153+BA154+BA155</f>
        <v>-6792575.20475644</v>
      </c>
      <c r="BB156" s="60" t="n">
        <f aca="false">BB151+BB152+BB153+BB154+BB155</f>
        <v>-6943915.00619344</v>
      </c>
      <c r="BC156" s="60" t="n">
        <f aca="false">BC151+BC152+BC153+BC154+BC155</f>
        <v>-7070358.86795044</v>
      </c>
      <c r="BD156" s="60" t="n">
        <f aca="false">BD151+BD152+BD153+BD154+BD155</f>
        <v>-7196802.72970744</v>
      </c>
      <c r="BE156" s="60" t="n">
        <f aca="false">BE151+BE152+BE153+BE154+BE155</f>
        <v>-7323246.59146444</v>
      </c>
      <c r="BF156" s="60" t="n">
        <f aca="false">BF151+BF152+BF153+BF154+BF155</f>
        <v>-7449690.45322144</v>
      </c>
      <c r="BG156" s="60" t="n">
        <f aca="false">BG151+BG152+BG153+BG154+BG155</f>
        <v>-7598865.39033844</v>
      </c>
      <c r="BH156" s="60" t="n">
        <f aca="false">BH151+BH152+BH153+BH154+BH155</f>
        <v>-7725309.25209544</v>
      </c>
      <c r="BI156" s="60" t="n">
        <f aca="false">BI151+BI152+BI153+BI154+BI155</f>
        <v>-7851753.11385244</v>
      </c>
      <c r="BJ156" s="60" t="n">
        <f aca="false">BJ151+BJ152+BJ153+BJ154+BJ155</f>
        <v>-7978196.97560944</v>
      </c>
      <c r="BK156" s="60" t="n">
        <f aca="false">BK151+BK152+BK153+BK154+BK155</f>
        <v>-8107169.71460158</v>
      </c>
      <c r="BL156" s="60" t="n">
        <f aca="false">BL151+BL152+BL153+BL154+BL155</f>
        <v>-8236142.45359372</v>
      </c>
      <c r="BM156" s="60" t="n">
        <f aca="false">BM151+BM152+BM153+BM154+BM155</f>
        <v>-8365115.19258586</v>
      </c>
      <c r="BN156" s="60" t="n">
        <f aca="false">BN151+BN152+BN153+BN154+BN155</f>
        <v>-8519481.7900516</v>
      </c>
      <c r="BO156" s="60" t="n">
        <f aca="false">BO151+BO152+BO153+BO154+BO155</f>
        <v>-8648454.52904374</v>
      </c>
      <c r="BP156" s="60" t="n">
        <f aca="false">BP151+BP152+BP153+BP154+BP155</f>
        <v>-8725913.74803588</v>
      </c>
      <c r="BQ156" s="60" t="n">
        <f aca="false">BQ151+BQ152+BQ153+BQ154+BQ155</f>
        <v>-8854886.48702802</v>
      </c>
      <c r="BR156" s="60" t="n">
        <f aca="false">BR151+BR152+BR153+BR154+BR155</f>
        <v>-8983859.22602016</v>
      </c>
      <c r="BS156" s="60" t="n">
        <f aca="false">BS151+BS152+BS153+BS154+BS155</f>
        <v>-9068255.6618795</v>
      </c>
      <c r="BT156" s="60" t="n">
        <f aca="false">BT151+BT152+BT153+BT154+BT155</f>
        <v>-9197228.40087164</v>
      </c>
      <c r="BU156" s="60" t="n">
        <f aca="false">BU151+BU152+BU153+BU154+BU155</f>
        <v>-9326201.13986378</v>
      </c>
      <c r="BV156" s="60" t="n">
        <f aca="false">BV151+BV152+BV153+BV154+BV155</f>
        <v>-9387411.87885592</v>
      </c>
      <c r="BW156" s="60" t="n">
        <f aca="false">BW151+BW152+BW153+BW154+BW155</f>
        <v>-9518964.0726279</v>
      </c>
      <c r="BX156" s="60" t="n">
        <f aca="false">BX151+BX152+BX153+BX154+BX155</f>
        <v>-9650516.26639989</v>
      </c>
      <c r="BY156" s="60" t="n">
        <f aca="false">BY151+BY152+BY153+BY154+BY155</f>
        <v>-9714306.46017187</v>
      </c>
      <c r="BZ156" s="60" t="n">
        <f aca="false">BZ151+BZ152+BZ153+BZ154+BZ155</f>
        <v>-9871760.38958692</v>
      </c>
      <c r="CA156" s="60" t="n">
        <f aca="false">CA151+CA152+CA153+CA154+CA155</f>
        <v>-10003312.5833589</v>
      </c>
      <c r="CB156" s="60" t="n">
        <f aca="false">CB151+CB152+CB153+CB154+CB155</f>
        <v>-10058365.7771309</v>
      </c>
      <c r="CC156" s="60" t="n">
        <f aca="false">CC151+CC152+CC153+CC154+CC155</f>
        <v>-10189917.9709029</v>
      </c>
      <c r="CD156" s="60" t="n">
        <f aca="false">CD151+CD152+CD153+CD154+CD155</f>
        <v>-10321470.1646749</v>
      </c>
      <c r="CE156" s="60" t="n">
        <f aca="false">CE151+CE152+CE153+CE154+CE155</f>
        <v>-10400172.7692514</v>
      </c>
      <c r="CF156" s="60" t="n">
        <f aca="false">CF151+CF152+CF153+CF154+CF155</f>
        <v>-10531724.9630234</v>
      </c>
      <c r="CG156" s="60" t="n">
        <f aca="false">CG151+CG152+CG153+CG154+CG155</f>
        <v>-10663277.1567953</v>
      </c>
      <c r="CH156" s="60" t="n">
        <f aca="false">CH151+CH152+CH153+CH154+CH155</f>
        <v>-10711722.3239608</v>
      </c>
      <c r="CI156" s="25"/>
      <c r="CJ156" s="55"/>
      <c r="CK156" s="55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5"/>
      <c r="CK157" s="55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5"/>
      <c r="CK158" s="55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4101899.08056556</v>
      </c>
      <c r="N159" s="10" t="n">
        <f aca="false">N146+N151</f>
        <v>4089679.19488999</v>
      </c>
      <c r="O159" s="10" t="n">
        <f aca="false">O146+O151</f>
        <v>4334947.2756309</v>
      </c>
      <c r="P159" s="10" t="n">
        <f aca="false">P146+P151</f>
        <v>3913275.81031273</v>
      </c>
      <c r="Q159" s="10" t="n">
        <f aca="false">Q146+Q151</f>
        <v>4287844.03935916</v>
      </c>
      <c r="R159" s="10" t="n">
        <f aca="false">R146+R151</f>
        <v>4805108.30181295</v>
      </c>
      <c r="S159" s="10" t="n">
        <f aca="false">S146+S151</f>
        <v>5097087.12732534</v>
      </c>
      <c r="T159" s="10" t="n">
        <f aca="false">T146+T151</f>
        <v>5222892.12466278</v>
      </c>
      <c r="U159" s="10" t="n">
        <f aca="false">U146+U151</f>
        <v>5344671.86698773</v>
      </c>
      <c r="V159" s="10" t="n">
        <f aca="false">V146+V151</f>
        <v>5479268.16450265</v>
      </c>
      <c r="W159" s="10" t="n">
        <f aca="false">W146+W151</f>
        <v>5561755.84613838</v>
      </c>
      <c r="X159" s="10" t="n">
        <f aca="false">X146+X151</f>
        <v>5727760.1546842</v>
      </c>
      <c r="Y159" s="10" t="n">
        <f aca="false">Y146+Y151</f>
        <v>5904641.13957702</v>
      </c>
      <c r="Z159" s="10" t="n">
        <f aca="false">Z146+Z151</f>
        <v>5865159.84103012</v>
      </c>
      <c r="AA159" s="10" t="n">
        <f aca="false">AA146+AA151</f>
        <v>6047039.11520195</v>
      </c>
      <c r="AB159" s="10" t="n">
        <f aca="false">AB146+AB151</f>
        <v>6138893.43879357</v>
      </c>
      <c r="AC159" s="10" t="n">
        <f aca="false">AC146+AC151</f>
        <v>6078702.64853324</v>
      </c>
      <c r="AD159" s="10" t="n">
        <f aca="false">AD146+AD151</f>
        <v>5433776.22091894</v>
      </c>
      <c r="AE159" s="10" t="n">
        <f aca="false">AE146+AE151</f>
        <v>5393440.06951918</v>
      </c>
      <c r="AF159" s="10" t="n">
        <f aca="false">AF146+AF151</f>
        <v>5379146.16943176</v>
      </c>
      <c r="AG159" s="10" t="n">
        <f aca="false">AG146+AG151</f>
        <v>5366149.23267526</v>
      </c>
      <c r="AH159" s="10" t="n">
        <f aca="false">AH146+AH151</f>
        <v>5464968.80154866</v>
      </c>
      <c r="AI159" s="10" t="n">
        <f aca="false">AI146+AI151</f>
        <v>5388057.79189066</v>
      </c>
      <c r="AJ159" s="10" t="n">
        <f aca="false">AJ146+AJ151</f>
        <v>5532446.18161818</v>
      </c>
      <c r="AK159" s="10" t="n">
        <f aca="false">AK146+AK151</f>
        <v>5364505.31420475</v>
      </c>
      <c r="AL159" s="10" t="n">
        <f aca="false">AL146+AL151</f>
        <v>5194225.57968169</v>
      </c>
      <c r="AM159" s="10" t="n">
        <f aca="false">AM146+AM151</f>
        <v>5111016.26844186</v>
      </c>
      <c r="AN159" s="10" t="n">
        <f aca="false">AN146+AN151</f>
        <v>4886283.05689326</v>
      </c>
      <c r="AO159" s="10" t="n">
        <f aca="false">AO146+AO151</f>
        <v>4658955.86885391</v>
      </c>
      <c r="AP159" s="10" t="n">
        <f aca="false">AP146+AP151</f>
        <v>4428365.92059982</v>
      </c>
      <c r="AQ159" s="10" t="n">
        <f aca="false">AQ146+AQ151</f>
        <v>4169464.82763231</v>
      </c>
      <c r="AR159" s="10" t="n">
        <f aca="false">AR146+AR151</f>
        <v>3930465.59161736</v>
      </c>
      <c r="AS159" s="10" t="n">
        <f aca="false">AS146+AS151</f>
        <v>3943601.93381984</v>
      </c>
      <c r="AT159" s="10" t="n">
        <f aca="false">AT146+AT151</f>
        <v>3571864.61597589</v>
      </c>
      <c r="AU159" s="10" t="n">
        <f aca="false">AU146+AU151</f>
        <v>3198405.30736766</v>
      </c>
      <c r="AV159" s="10" t="n">
        <f aca="false">AV146+AV151</f>
        <v>2800138.87095129</v>
      </c>
      <c r="AW159" s="10" t="n">
        <f aca="false">AW146+AW151</f>
        <v>2420912.80660578</v>
      </c>
      <c r="AX159" s="10" t="n">
        <f aca="false">AX146+AX151</f>
        <v>2037808.43639447</v>
      </c>
      <c r="AY159" s="10" t="n">
        <f aca="false">AY146+AY151</f>
        <v>1650297.68314967</v>
      </c>
      <c r="AZ159" s="10" t="n">
        <f aca="false">AZ146+AZ151</f>
        <v>1252655.48296583</v>
      </c>
      <c r="BA159" s="10" t="n">
        <f aca="false">BA146+BA151</f>
        <v>849904.71018127</v>
      </c>
      <c r="BB159" s="10" t="n">
        <f aca="false">BB146+BB151</f>
        <v>441875.079042639</v>
      </c>
      <c r="BC159" s="10" t="n">
        <f aca="false">BC146+BC151</f>
        <v>3615.16350086499</v>
      </c>
      <c r="BD159" s="10" t="n">
        <f aca="false">BD146+BD151</f>
        <v>-415033.410684194</v>
      </c>
      <c r="BE159" s="10" t="n">
        <f aca="false">BE146+BE151</f>
        <v>-838821.170639111</v>
      </c>
      <c r="BF159" s="10" t="n">
        <f aca="false">BF146+BF151</f>
        <v>-1267524.25756453</v>
      </c>
      <c r="BG159" s="10" t="n">
        <f aca="false">BG146+BG151</f>
        <v>-1465882.34635359</v>
      </c>
      <c r="BH159" s="10" t="n">
        <f aca="false">BH146+BH151</f>
        <v>-2037784.0062281</v>
      </c>
      <c r="BI159" s="10" t="n">
        <f aca="false">BI146+BI151</f>
        <v>-2586954.59074261</v>
      </c>
      <c r="BJ159" s="10" t="n">
        <f aca="false">BJ146+BJ151</f>
        <v>-3136125.17525712</v>
      </c>
      <c r="BK159" s="10" t="n">
        <f aca="false">BK146+BK151</f>
        <v>-3685295.75977163</v>
      </c>
      <c r="BL159" s="10" t="n">
        <f aca="false">BL146+BL151</f>
        <v>-4239888.26930977</v>
      </c>
      <c r="BM159" s="10" t="n">
        <f aca="false">BM146+BM151</f>
        <v>-4794480.7788479</v>
      </c>
      <c r="BN159" s="10" t="n">
        <f aca="false">BN146+BN151</f>
        <v>-5349073.28838604</v>
      </c>
      <c r="BO159" s="10" t="n">
        <f aca="false">BO146+BO151</f>
        <v>-5929059.65639777</v>
      </c>
      <c r="BP159" s="10" t="n">
        <f aca="false">BP146+BP151</f>
        <v>-6483652.16593591</v>
      </c>
      <c r="BQ159" s="10" t="n">
        <f aca="false">BQ146+BQ151</f>
        <v>-6986731.15547404</v>
      </c>
      <c r="BR159" s="10" t="n">
        <f aca="false">BR146+BR151</f>
        <v>-7541323.66501218</v>
      </c>
      <c r="BS159" s="10" t="n">
        <f aca="false">BS146+BS151</f>
        <v>-8095916.17455031</v>
      </c>
      <c r="BT159" s="10" t="n">
        <f aca="false">BT146+BT151</f>
        <v>-8605932.38095565</v>
      </c>
      <c r="BU159" s="10" t="n">
        <f aca="false">BU146+BU151</f>
        <v>-9160524.89049378</v>
      </c>
      <c r="BV159" s="10" t="n">
        <f aca="false">BV146+BV151</f>
        <v>-9715117.40003192</v>
      </c>
      <c r="BW159" s="10" t="n">
        <f aca="false">BW146+BW151</f>
        <v>-10201947.9095701</v>
      </c>
      <c r="BX159" s="10" t="n">
        <f aca="false">BX146+BX151</f>
        <v>-10762070.7826323</v>
      </c>
      <c r="BY159" s="10" t="n">
        <f aca="false">BY146+BY151</f>
        <v>-11322193.6556945</v>
      </c>
      <c r="BZ159" s="10" t="n">
        <f aca="false">BZ146+BZ151</f>
        <v>-11814554.5287567</v>
      </c>
      <c r="CA159" s="10" t="n">
        <f aca="false">CA146+CA151</f>
        <v>-12400579.1374621</v>
      </c>
      <c r="CB159" s="10" t="n">
        <f aca="false">CB146+CB151</f>
        <v>-12960702.0105243</v>
      </c>
      <c r="CC159" s="10" t="n">
        <f aca="false">CC146+CC151</f>
        <v>-13444325.8835865</v>
      </c>
      <c r="CD159" s="10" t="n">
        <f aca="false">CD146+CD151</f>
        <v>-14004448.7566487</v>
      </c>
      <c r="CE159" s="10" t="n">
        <f aca="false">CE146+CE151</f>
        <v>-14564571.629711</v>
      </c>
      <c r="CF159" s="10" t="n">
        <f aca="false">CF146+CF151</f>
        <v>-15071844.9135778</v>
      </c>
      <c r="CG159" s="10" t="n">
        <f aca="false">CG146+CG151</f>
        <v>-15631967.78664</v>
      </c>
      <c r="CH159" s="10" t="n">
        <f aca="false">CH146+CH151</f>
        <v>-16192090.6597022</v>
      </c>
      <c r="CI159" s="25"/>
      <c r="CJ159" s="55"/>
      <c r="CK159" s="55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-1079553.14993111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-16405.8080801953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5"/>
      <c r="CK160" s="55"/>
    </row>
    <row r="161" customFormat="false" ht="15" hidden="false" customHeight="true" outlineLevel="0" collapsed="false">
      <c r="A161" s="58" t="s">
        <v>44</v>
      </c>
      <c r="B161" s="59"/>
      <c r="C161" s="60" t="n">
        <f aca="false">C159+C147+C152+C153+C154+C155+C160</f>
        <v>2115534.05534537</v>
      </c>
      <c r="D161" s="60" t="n">
        <f aca="false">D159+D147+D152+D153+D154+D155+D160</f>
        <v>2095006.34562692</v>
      </c>
      <c r="E161" s="60" t="n">
        <f aca="false">E159+E147+E152+E153+E154+E155+E160</f>
        <v>2046808.7099298</v>
      </c>
      <c r="F161" s="60" t="n">
        <f aca="false">F159+F147+F152+F153+F154+F155+F160</f>
        <v>2423475.71752618</v>
      </c>
      <c r="G161" s="60" t="n">
        <f aca="false">G159+G147+G152+G153+G154+G155+G160</f>
        <v>2646778.57080084</v>
      </c>
      <c r="H161" s="60" t="n">
        <f aca="false">H159+H147+H152+H153+H154+H155+H160</f>
        <v>2870553.59084195</v>
      </c>
      <c r="I161" s="60" t="n">
        <f aca="false">I159+I147+I152+I153+I154+I155+I160</f>
        <v>3254978.58914886</v>
      </c>
      <c r="J161" s="60" t="n">
        <f aca="false">J159+J147+J152+J153+J154+J155+J160</f>
        <v>3683795.35077414</v>
      </c>
      <c r="K161" s="60" t="n">
        <f aca="false">K159+K147+K152+K153+K154+K155+K160</f>
        <v>3875218.89819928</v>
      </c>
      <c r="L161" s="60" t="n">
        <f aca="false">L159+L147+L152+L153+L154+L155+L160</f>
        <v>4101899.08056556</v>
      </c>
      <c r="M161" s="60" t="n">
        <f aca="false">M159+M147+M152+M153+M154+M155+M160</f>
        <v>4089679.19488999</v>
      </c>
      <c r="N161" s="60" t="n">
        <f aca="false">N159+N147+N152+N153+N154+N155+N160</f>
        <v>3686445.66117112</v>
      </c>
      <c r="O161" s="60" t="n">
        <f aca="false">O159+O147+O152+O153+O154+O155+O160</f>
        <v>3913275.81031273</v>
      </c>
      <c r="P161" s="60" t="n">
        <f aca="false">P159+P147+P152+P153+P154+P155+P160</f>
        <v>4287844.03935916</v>
      </c>
      <c r="Q161" s="60" t="n">
        <f aca="false">Q159+Q147+Q152+Q153+Q154+Q155+Q160</f>
        <v>4805108.30181295</v>
      </c>
      <c r="R161" s="60" t="n">
        <f aca="false">R159+R147+R152+R153+R154+R155+R160</f>
        <v>5097087.12732534</v>
      </c>
      <c r="S161" s="60" t="n">
        <f aca="false">S159+S147+S152+S153+S154+S155+S160</f>
        <v>5222892.12466278</v>
      </c>
      <c r="T161" s="60" t="n">
        <f aca="false">T159+T147+T152+T153+T154+T155+T160</f>
        <v>5344671.86698773</v>
      </c>
      <c r="U161" s="60" t="n">
        <f aca="false">U159+U147+U152+U153+U154+U155+U160</f>
        <v>5479268.16450265</v>
      </c>
      <c r="V161" s="60" t="n">
        <f aca="false">V159+V147+V152+V153+V154+V155+V160</f>
        <v>5561755.84613838</v>
      </c>
      <c r="W161" s="60" t="n">
        <f aca="false">W159+W147+W152+W153+W154+W155+W160</f>
        <v>5727760.1546842</v>
      </c>
      <c r="X161" s="60" t="n">
        <f aca="false">X159+X147+X152+X153+X154+X155+X160</f>
        <v>5904641.13957702</v>
      </c>
      <c r="Y161" s="60" t="n">
        <f aca="false">Y159+Y147+Y152+Y153+Y154+Y155+Y160</f>
        <v>5865159.84103011</v>
      </c>
      <c r="Z161" s="60" t="n">
        <f aca="false">Z159+Z147+Z152+Z153+Z154+Z155+Z160</f>
        <v>4967485.96527084</v>
      </c>
      <c r="AA161" s="60" t="n">
        <f aca="false">AA159+AA147+AA152+AA153+AA154+AA155+AA160</f>
        <v>6138893.43879357</v>
      </c>
      <c r="AB161" s="60" t="n">
        <f aca="false">AB159+AB147+AB152+AB153+AB154+AB155+AB160</f>
        <v>6078702.64853325</v>
      </c>
      <c r="AC161" s="60" t="n">
        <f aca="false">AC159+AC147+AC152+AC153+AC154+AC155+AC160</f>
        <v>5433776.22091894</v>
      </c>
      <c r="AD161" s="60" t="n">
        <f aca="false">AD159+AD147+AD152+AD153+AD154+AD155+AD160</f>
        <v>5393440.06951918</v>
      </c>
      <c r="AE161" s="60" t="n">
        <f aca="false">AE159+AE147+AE152+AE153+AE154+AE155+AE160</f>
        <v>5379146.16943176</v>
      </c>
      <c r="AF161" s="60" t="n">
        <f aca="false">AF159+AF147+AF152+AF153+AF154+AF155+AF160</f>
        <v>5366149.23267526</v>
      </c>
      <c r="AG161" s="60" t="n">
        <f aca="false">AG159+AG147+AG152+AG153+AG154+AG155+AG160</f>
        <v>5464968.80154866</v>
      </c>
      <c r="AH161" s="60" t="n">
        <f aca="false">AH159+AH147+AH152+AH153+AH154+AH155+AH160</f>
        <v>5388057.79189066</v>
      </c>
      <c r="AI161" s="60" t="n">
        <f aca="false">AI159+AI147+AI152+AI153+AI154+AI155+AI160</f>
        <v>5532446.18161818</v>
      </c>
      <c r="AJ161" s="60" t="n">
        <f aca="false">AJ159+AJ147+AJ152+AJ153+AJ154+AJ155+AJ160</f>
        <v>5364505.31420475</v>
      </c>
      <c r="AK161" s="60" t="n">
        <f aca="false">AK159+AK147+AK152+AK153+AK154+AK155+AK160</f>
        <v>5194225.57968169</v>
      </c>
      <c r="AL161" s="60" t="n">
        <f aca="false">AL159+AL147+AL152+AL153+AL154+AL155+AL160</f>
        <v>5094610.46036167</v>
      </c>
      <c r="AM161" s="60" t="n">
        <f aca="false">AM159+AM147+AM152+AM153+AM154+AM155+AM160</f>
        <v>4886283.05689326</v>
      </c>
      <c r="AN161" s="60" t="n">
        <f aca="false">AN159+AN147+AN152+AN153+AN154+AN155+AN160</f>
        <v>4658955.86885391</v>
      </c>
      <c r="AO161" s="60" t="n">
        <f aca="false">AO159+AO147+AO152+AO153+AO154+AO155+AO160</f>
        <v>4428365.92059982</v>
      </c>
      <c r="AP161" s="60" t="n">
        <f aca="false">AP159+AP147+AP152+AP153+AP154+AP155+AP160</f>
        <v>4169464.82763231</v>
      </c>
      <c r="AQ161" s="60" t="n">
        <f aca="false">AQ159+AQ147+AQ152+AQ153+AQ154+AQ155+AQ160</f>
        <v>3930465.59161736</v>
      </c>
      <c r="AR161" s="60" t="n">
        <f aca="false">AR159+AR147+AR152+AR153+AR154+AR155+AR160</f>
        <v>3943601.93381984</v>
      </c>
      <c r="AS161" s="60" t="n">
        <f aca="false">AS159+AS147+AS152+AS153+AS154+AS155+AS160</f>
        <v>3571864.61597589</v>
      </c>
      <c r="AT161" s="60" t="n">
        <f aca="false">AT159+AT147+AT152+AT153+AT154+AT155+AT160</f>
        <v>3198405.30736766</v>
      </c>
      <c r="AU161" s="60" t="n">
        <f aca="false">AU159+AU147+AU152+AU153+AU154+AU155+AU160</f>
        <v>2800138.87095129</v>
      </c>
      <c r="AV161" s="60" t="n">
        <f aca="false">AV159+AV147+AV152+AV153+AV154+AV155+AV160</f>
        <v>2420912.80660577</v>
      </c>
      <c r="AW161" s="60" t="n">
        <f aca="false">AW159+AW147+AW152+AW153+AW154+AW155+AW160</f>
        <v>2037808.43639447</v>
      </c>
      <c r="AX161" s="60" t="n">
        <f aca="false">AX159+AX147+AX152+AX153+AX154+AX155+AX160</f>
        <v>1650297.68314967</v>
      </c>
      <c r="AY161" s="60" t="n">
        <f aca="false">AY159+AY147+AY152+AY153+AY154+AY155+AY160</f>
        <v>1252655.48296583</v>
      </c>
      <c r="AZ161" s="60" t="n">
        <f aca="false">AZ159+AZ147+AZ152+AZ153+AZ154+AZ155+AZ160</f>
        <v>849904.710181269</v>
      </c>
      <c r="BA161" s="60" t="n">
        <f aca="false">BA159+BA147+BA152+BA153+BA154+BA155+BA160</f>
        <v>441875.079042639</v>
      </c>
      <c r="BB161" s="60" t="n">
        <f aca="false">BB159+BB147+BB152+BB153+BB154+BB155+BB160</f>
        <v>3615.16350086487</v>
      </c>
      <c r="BC161" s="60" t="n">
        <f aca="false">BC159+BC147+BC152+BC153+BC154+BC155+BC160</f>
        <v>-415033.410684195</v>
      </c>
      <c r="BD161" s="60" t="n">
        <f aca="false">BD159+BD147+BD152+BD153+BD154+BD155+BD160</f>
        <v>-838821.170639111</v>
      </c>
      <c r="BE161" s="60" t="n">
        <f aca="false">BE159+BE147+BE152+BE153+BE154+BE155+BE160</f>
        <v>-1267524.25756453</v>
      </c>
      <c r="BF161" s="60" t="n">
        <f aca="false">BF159+BF147+BF152+BF153+BF154+BF155+BF160</f>
        <v>-1465882.34635359</v>
      </c>
      <c r="BG161" s="60" t="n">
        <f aca="false">BG159+BG147+BG152+BG153+BG154+BG155+BG160</f>
        <v>-2037784.0062281</v>
      </c>
      <c r="BH161" s="60" t="n">
        <f aca="false">BH159+BH147+BH152+BH153+BH154+BH155+BH160</f>
        <v>-2586954.59074261</v>
      </c>
      <c r="BI161" s="60" t="n">
        <f aca="false">BI159+BI147+BI152+BI153+BI154+BI155+BI160</f>
        <v>-3136125.17525712</v>
      </c>
      <c r="BJ161" s="60" t="n">
        <f aca="false">BJ159+BJ147+BJ152+BJ153+BJ154+BJ155+BJ160</f>
        <v>-3685295.75977163</v>
      </c>
      <c r="BK161" s="60" t="n">
        <f aca="false">BK159+BK147+BK152+BK153+BK154+BK155+BK160</f>
        <v>-4239888.26930977</v>
      </c>
      <c r="BL161" s="60" t="n">
        <f aca="false">BL159+BL147+BL152+BL153+BL154+BL155+BL160</f>
        <v>-4794480.7788479</v>
      </c>
      <c r="BM161" s="60" t="n">
        <f aca="false">BM159+BM147+BM152+BM153+BM154+BM155+BM160</f>
        <v>-5349073.28838604</v>
      </c>
      <c r="BN161" s="60" t="n">
        <f aca="false">BN159+BN147+BN152+BN153+BN154+BN155+BN160</f>
        <v>-5929059.65639778</v>
      </c>
      <c r="BO161" s="60" t="n">
        <f aca="false">BO159+BO147+BO152+BO153+BO154+BO155+BO160</f>
        <v>-6483652.16593591</v>
      </c>
      <c r="BP161" s="60" t="n">
        <f aca="false">BP159+BP147+BP152+BP153+BP154+BP155+BP160</f>
        <v>-6986731.15547405</v>
      </c>
      <c r="BQ161" s="60" t="n">
        <f aca="false">BQ159+BQ147+BQ152+BQ153+BQ154+BQ155+BQ160</f>
        <v>-7541323.66501218</v>
      </c>
      <c r="BR161" s="60" t="n">
        <f aca="false">BR159+BR147+BR152+BR153+BR154+BR155+BR160</f>
        <v>-8095916.17455031</v>
      </c>
      <c r="BS161" s="60" t="n">
        <f aca="false">BS159+BS147+BS152+BS153+BS154+BS155+BS160</f>
        <v>-8605932.38095565</v>
      </c>
      <c r="BT161" s="60" t="n">
        <f aca="false">BT159+BT147+BT152+BT153+BT154+BT155+BT160</f>
        <v>-9160524.89049378</v>
      </c>
      <c r="BU161" s="60" t="n">
        <f aca="false">BU159+BU147+BU152+BU153+BU154+BU155+BU160</f>
        <v>-9715117.40003192</v>
      </c>
      <c r="BV161" s="60" t="n">
        <f aca="false">BV159+BV147+BV152+BV153+BV154+BV155+BV160</f>
        <v>-10201947.9095701</v>
      </c>
      <c r="BW161" s="60" t="n">
        <f aca="false">BW159+BW147+BW152+BW153+BW154+BW155+BW160</f>
        <v>-10762070.7826323</v>
      </c>
      <c r="BX161" s="60" t="n">
        <f aca="false">BX159+BX147+BX152+BX153+BX154+BX155+BX160</f>
        <v>-11322193.6556945</v>
      </c>
      <c r="BY161" s="60" t="n">
        <f aca="false">BY159+BY147+BY152+BY153+BY154+BY155+BY160</f>
        <v>-11814554.5287567</v>
      </c>
      <c r="BZ161" s="60" t="n">
        <f aca="false">BZ159+BZ147+BZ152+BZ153+BZ154+BZ155+BZ160</f>
        <v>-12400579.1374621</v>
      </c>
      <c r="CA161" s="60" t="n">
        <f aca="false">CA159+CA147+CA152+CA153+CA154+CA155+CA160</f>
        <v>-12960702.0105243</v>
      </c>
      <c r="CB161" s="60" t="n">
        <f aca="false">CB159+CB147+CB152+CB153+CB154+CB155+CB160</f>
        <v>-13444325.8835865</v>
      </c>
      <c r="CC161" s="60" t="n">
        <f aca="false">CC159+CC147+CC152+CC153+CC154+CC155+CC160</f>
        <v>-14004448.7566487</v>
      </c>
      <c r="CD161" s="60" t="n">
        <f aca="false">CD159+CD147+CD152+CD153+CD154+CD155+CD160</f>
        <v>-14564571.629711</v>
      </c>
      <c r="CE161" s="60" t="n">
        <f aca="false">CE159+CE147+CE152+CE153+CE154+CE155+CE160</f>
        <v>-15071844.9135778</v>
      </c>
      <c r="CF161" s="60" t="n">
        <f aca="false">CF159+CF147+CF152+CF153+CF154+CF155+CF160</f>
        <v>-15631967.78664</v>
      </c>
      <c r="CG161" s="60" t="n">
        <f aca="false">CG159+CG147+CG152+CG153+CG154+CG155+CG160</f>
        <v>-16192090.6597022</v>
      </c>
      <c r="CH161" s="60" t="n">
        <f aca="false">CH159+CH147+CH152+CH153+CH154+CH155+CH160</f>
        <v>-16669106.506158</v>
      </c>
      <c r="CI161" s="25"/>
      <c r="CJ161" s="55"/>
      <c r="CK161" s="55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5"/>
      <c r="CK162" s="55"/>
    </row>
    <row r="163" customFormat="false" ht="15" hidden="false" customHeight="true" outlineLevel="0" collapsed="false">
      <c r="A163" s="61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5"/>
      <c r="CK163" s="55"/>
    </row>
    <row r="164" customFormat="false" ht="15" hidden="false" customHeight="true" outlineLevel="0" collapsed="false">
      <c r="A164" s="62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5"/>
      <c r="CK164" s="55"/>
    </row>
    <row r="165" customFormat="false" ht="15" hidden="false" customHeight="true" outlineLevel="0" collapsed="false">
      <c r="A165" s="63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5"/>
      <c r="CK165" s="55"/>
    </row>
    <row r="166" customFormat="false" ht="15" hidden="false" customHeight="true" outlineLevel="0" collapsed="false">
      <c r="A166" s="63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5"/>
      <c r="CK166" s="55"/>
    </row>
    <row r="167" customFormat="false" ht="15" hidden="false" customHeight="true" outlineLevel="0" collapsed="false">
      <c r="A167" s="63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5"/>
      <c r="CK167" s="55"/>
    </row>
    <row r="168" customFormat="false" ht="15" hidden="false" customHeight="true" outlineLevel="0" collapsed="false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  <c r="BN168" s="55"/>
      <c r="BO168" s="55"/>
      <c r="BP168" s="55"/>
      <c r="BQ168" s="55"/>
      <c r="BR168" s="55"/>
      <c r="BS168" s="55"/>
      <c r="BT168" s="55"/>
      <c r="BU168" s="55"/>
      <c r="BV168" s="55"/>
      <c r="BW168" s="55"/>
      <c r="BX168" s="55"/>
      <c r="BY168" s="55"/>
      <c r="BZ168" s="55"/>
      <c r="CA168" s="55"/>
      <c r="CB168" s="55"/>
      <c r="CC168" s="55"/>
      <c r="CD168" s="55"/>
      <c r="CE168" s="55"/>
      <c r="CF168" s="55"/>
      <c r="CG168" s="55"/>
      <c r="CH168" s="55"/>
      <c r="CI168" s="55"/>
      <c r="CJ168" s="55"/>
      <c r="CK168" s="55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J21" activeCellId="0" sqref="J2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9" min="2" style="1" width="14.71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4" t="n">
        <f aca="false">Model!C7+Model!D7+Model!E7</f>
        <v>12757009.5726933</v>
      </c>
      <c r="C3" s="64" t="n">
        <f aca="false">Model!F7+Model!G7+Model!H7</f>
        <v>17468767.125734</v>
      </c>
      <c r="D3" s="64" t="n">
        <f aca="false">Model!I7+Model!J7+Model!K7</f>
        <v>22569352.9830799</v>
      </c>
      <c r="E3" s="64" t="n">
        <f aca="false">Model!L7+Model!M7+Model!N7</f>
        <v>24875198.0899256</v>
      </c>
      <c r="F3" s="64" t="n">
        <f aca="false">Model!O7+Model!P7+Model!Q7</f>
        <v>28017837.3832822</v>
      </c>
      <c r="G3" s="64" t="n">
        <f aca="false">Model!R7+Model!S7+Model!T7</f>
        <v>24784936.501511</v>
      </c>
      <c r="H3" s="64" t="n">
        <f aca="false">Model!U7+Model!V7+Model!W7</f>
        <v>22354845.67036</v>
      </c>
      <c r="I3" s="64" t="n">
        <f aca="false">Model!X7+Model!Y7+Model!Z7</f>
        <v>18455897.61331</v>
      </c>
      <c r="J3" s="64" t="n">
        <f aca="false">Model!AA7+Model!AB7+Model!AC7</f>
        <v>13569035.117488</v>
      </c>
      <c r="K3" s="64" t="n">
        <f aca="false">Model!AD7+Model!AE7+Model!AF7</f>
        <v>10431100.051765</v>
      </c>
      <c r="L3" s="64" t="n">
        <f aca="false">Model!AG7+Model!AH7+Model!AI7</f>
        <v>10532644.011073</v>
      </c>
      <c r="M3" s="64" t="n">
        <f aca="false">Model!AJ7+Model!AK7+Model!AL7</f>
        <v>10209949.058484</v>
      </c>
      <c r="N3" s="64" t="n">
        <f aca="false">Model!AM7+Model!AN7+Model!AO7</f>
        <v>8960352.488294</v>
      </c>
      <c r="O3" s="64" t="n">
        <f aca="false">Model!AP7+Model!AQ7+Model!AR7</f>
        <v>8205948.921916</v>
      </c>
      <c r="P3" s="64" t="n">
        <f aca="false">Model!AS7+Model!AT7+Model!AU7</f>
        <v>5517576.356072</v>
      </c>
      <c r="Q3" s="64" t="n">
        <f aca="false">Model!AV7+Model!AW7+Model!AX7</f>
        <v>4898042.61408</v>
      </c>
      <c r="R3" s="64" t="n">
        <f aca="false">Model!AY7+Model!AZ7+Model!BA7</f>
        <v>3976537.349224</v>
      </c>
      <c r="S3" s="64" t="n">
        <f aca="false">Model!BB7+Model!BC7+Model!BD7</f>
        <v>2952513.95164</v>
      </c>
      <c r="T3" s="64" t="n">
        <f aca="false">Model!BE7+Model!BF7+Model!BG7</f>
        <v>1431656.005208</v>
      </c>
      <c r="U3" s="64" t="n">
        <f aca="false">Model!BH7+Model!BI7+Model!BJ7</f>
        <v>0</v>
      </c>
      <c r="V3" s="64" t="n">
        <f aca="false">Model!BK7+Model!BL7+Model!BM7</f>
        <v>0</v>
      </c>
      <c r="W3" s="64" t="n">
        <f aca="false">Model!BN7+Model!BO7+Model!BP7</f>
        <v>0</v>
      </c>
      <c r="X3" s="64" t="n">
        <f aca="false">Model!BQ7+Model!BR7+Model!BS7</f>
        <v>0</v>
      </c>
      <c r="Y3" s="64" t="n">
        <f aca="false">Model!BT7+Model!BU7+Model!BV7</f>
        <v>0</v>
      </c>
      <c r="Z3" s="64" t="n">
        <f aca="false">Model!BW7+Model!BX7+Model!BY7</f>
        <v>0</v>
      </c>
      <c r="AA3" s="64" t="n">
        <f aca="false">Model!BZ7+Model!CA7+Model!CB7</f>
        <v>0</v>
      </c>
      <c r="AB3" s="64" t="n">
        <f aca="false">Model!CC7+Model!CD7+Model!CE7</f>
        <v>0</v>
      </c>
      <c r="AC3" s="64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963014.708258929</v>
      </c>
      <c r="H5" s="10" t="n">
        <f aca="false">Model!U8+Model!V8+Model!W8</f>
        <v>853632.380133928</v>
      </c>
      <c r="I5" s="10" t="n">
        <f aca="false">Model!X8+Model!Y8+Model!Z8</f>
        <v>847505.439387175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1195363.45502121</v>
      </c>
      <c r="H6" s="10" t="n">
        <f aca="false">Model!U9+Model!V9+Model!W9</f>
        <v>1044143.21770334</v>
      </c>
      <c r="I6" s="10" t="n">
        <f aca="false">Model!X9+Model!Y9+Model!Z9</f>
        <v>895578.814901518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295695.928794643</v>
      </c>
      <c r="H7" s="10" t="n">
        <f aca="false">Model!U10+Model!V10+Model!W10</f>
        <v>276377.460044643</v>
      </c>
      <c r="I7" s="10" t="n">
        <f aca="false">Model!X10+Model!Y10+Model!Z10</f>
        <v>282501.813129058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2454074.09207478</v>
      </c>
      <c r="H9" s="12" t="n">
        <f aca="false">Model!U12+Model!V12+Model!W12</f>
        <v>2174153.05788192</v>
      </c>
      <c r="I9" s="12" t="n">
        <f aca="false">Model!X12+Model!Y12+Model!Z12</f>
        <v>2025586.06741775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-1243150.5319</v>
      </c>
      <c r="H15" s="12" t="n">
        <f aca="false">Model!U39+Model!V39+Model!W39</f>
        <v>-1243150.5319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1210923.56017478</v>
      </c>
      <c r="H16" s="16" t="n">
        <f aca="false">Model!U41+Model!V41+Model!W41</f>
        <v>931002.525981915</v>
      </c>
      <c r="I16" s="16" t="n">
        <f aca="false">Model!X41+Model!Y41+Model!Z41</f>
        <v>782435.535517751</v>
      </c>
      <c r="J16" s="16" t="n">
        <f aca="false">Model!AA41+Model!AB41+Model!AC41</f>
        <v>-334536.216783009</v>
      </c>
      <c r="K16" s="16" t="n">
        <f aca="false">Model!AD41+Model!AE41+Model!AF41</f>
        <v>292403.889256322</v>
      </c>
      <c r="L16" s="16" t="n">
        <f aca="false">Model!AG41+Model!AH41+Model!AI41</f>
        <v>552747.02644292</v>
      </c>
      <c r="M16" s="16" t="n">
        <f aca="false">Model!AJ41+Model!AK41+Model!AL41</f>
        <v>-56828.2356763217</v>
      </c>
      <c r="N16" s="16" t="n">
        <f aca="false">Model!AM41+Model!AN41+Model!AO41</f>
        <v>-310756.636792041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0.493433985585583</v>
      </c>
      <c r="H17" s="17" t="n">
        <f aca="false">IF((Model!U12+Model!V12+Model!W12)&lt;&gt;0,(Model!U41+Model!V41+Model!W41)/(Model!U12+Model!V12+Model!W12),0)</f>
        <v>0.428213884301646</v>
      </c>
      <c r="I17" s="17" t="n">
        <f aca="false">IF((Model!X12+Model!Y12+Model!Z12)&lt;&gt;0,(Model!X41+Model!Y41+Model!Z41)/(Model!X12+Model!Y12+Model!Z12),0)</f>
        <v>0.386276124280027</v>
      </c>
      <c r="J17" s="17" t="n">
        <f aca="false">IF((Model!AA12+Model!AB12+Model!AC12)&lt;&gt;0,(Model!AA41+Model!AB41+Model!AC41)/(Model!AA12+Model!AB12+Model!AC12),0)</f>
        <v>-0.147971290366106</v>
      </c>
      <c r="K17" s="17" t="n">
        <f aca="false">IF((Model!AD12+Model!AE12+Model!AF12)&lt;&gt;0,(Model!AD41+Model!AE41+Model!AF41)/(Model!AD12+Model!AE12+Model!AF12),0)</f>
        <v>0.189413515548905</v>
      </c>
      <c r="L17" s="17" t="n">
        <f aca="false">IF((Model!AG12+Model!AH12+Model!AI12)&lt;&gt;0,(Model!AG41+Model!AH41+Model!AI41)/(Model!AG12+Model!AH12+Model!AI12),0)</f>
        <v>0.306387864509305</v>
      </c>
      <c r="M17" s="17" t="n">
        <f aca="false">IF((Model!AJ12+Model!AK12+Model!AL12)&lt;&gt;0,(Model!AJ41+Model!AK41+Model!AL41)/(Model!AJ12+Model!AK12+Model!AL12),0)</f>
        <v>-0.0475748810271897</v>
      </c>
      <c r="N17" s="17" t="n">
        <f aca="false">IF((Model!AM12+Model!AN12+Model!AO12)&lt;&gt;0,(Model!AM41+Model!AN41+Model!AO41)/(Model!AM12+Model!AN12+Model!AO12),0)</f>
        <v>-0.327486422349465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5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6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171271.38</v>
      </c>
      <c r="F19" s="19" t="n">
        <f aca="false">Model!O64+Model!P64+Model!Q64</f>
        <v>171271.38</v>
      </c>
      <c r="G19" s="19" t="n">
        <f aca="false">Model!R64+Model!S64+Model!T64</f>
        <v>99552.63</v>
      </c>
      <c r="H19" s="19" t="n">
        <f aca="false">Model!U64+Model!V64+Model!W64</f>
        <v>156927.63</v>
      </c>
      <c r="I19" s="19" t="n">
        <f aca="false">Model!X64+Model!Y64+Model!Z64</f>
        <v>144296.05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-179172.37</v>
      </c>
      <c r="F21" s="16" t="n">
        <f aca="false">Model!O87+Model!P87+Model!Q87</f>
        <v>-186181.245</v>
      </c>
      <c r="G21" s="16" t="n">
        <f aca="false">Model!R87+Model!S87+Model!T87</f>
        <v>-281359.995</v>
      </c>
      <c r="H21" s="16" t="n">
        <f aca="false">Model!U87+Model!V87+Model!W87</f>
        <v>-221944.995</v>
      </c>
      <c r="I21" s="16" t="n">
        <f aca="false">Model!X87+Model!Y87+Model!Z87</f>
        <v>-213156.575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1099728.37743162</v>
      </c>
      <c r="F23" s="16" t="n">
        <f aca="false">Model!O96+Model!P96+Model!Q96</f>
        <v>860161.026182051</v>
      </c>
      <c r="G23" s="16" t="n">
        <f aca="false">Model!R96+Model!S96+Model!T96</f>
        <v>929563.565174777</v>
      </c>
      <c r="H23" s="16" t="n">
        <f aca="false">Model!U96+Model!V96+Model!W96</f>
        <v>709057.530981915</v>
      </c>
      <c r="I23" s="16" t="n">
        <f aca="false">Model!X96+Model!Y96+Model!Z96</f>
        <v>569278.960517751</v>
      </c>
      <c r="J23" s="16" t="n">
        <f aca="false">Model!AA96+Model!AB96+Model!AC96</f>
        <v>-613262.894283009</v>
      </c>
      <c r="K23" s="16" t="n">
        <f aca="false">Model!AD96+Model!AE96+Model!AF96</f>
        <v>-67626.9882436781</v>
      </c>
      <c r="L23" s="16" t="n">
        <f aca="false">Model!AG96+Model!AH96+Model!AI96</f>
        <v>166296.94894292</v>
      </c>
      <c r="M23" s="16" t="n">
        <f aca="false">Model!AJ96+Model!AK96+Model!AL96</f>
        <v>-421429.913176322</v>
      </c>
      <c r="N23" s="16" t="n">
        <f aca="false">Model!AM96+Model!AN96+Model!AO96</f>
        <v>-682650.347842042</v>
      </c>
      <c r="O23" s="16" t="n">
        <f aca="false">Model!AP96+Model!AQ96+Model!AR96</f>
        <v>-484763.986779985</v>
      </c>
      <c r="P23" s="16" t="n">
        <f aca="false">Model!AS96+Model!AT96+Model!AU96</f>
        <v>-1143463.06286855</v>
      </c>
      <c r="Q23" s="16" t="n">
        <f aca="false">Model!AV96+Model!AW96+Model!AX96</f>
        <v>-1149841.18780162</v>
      </c>
      <c r="R23" s="16" t="n">
        <f aca="false">Model!AY96+Model!AZ96+Model!BA96</f>
        <v>-1208422.60410704</v>
      </c>
      <c r="S23" s="16" t="n">
        <f aca="false">Model!BB96+Model!BC96+Model!BD96</f>
        <v>-1280696.24968175</v>
      </c>
      <c r="T23" s="16" t="n">
        <f aca="false">Model!BE96+Model!BF96+Model!BG96</f>
        <v>-1198962.83558899</v>
      </c>
      <c r="U23" s="16" t="n">
        <f aca="false">Model!BH96+Model!BI96+Model!BJ96</f>
        <v>-1647511.75354354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500000</v>
      </c>
      <c r="N36" s="10" t="n">
        <f aca="false">Model!AO108</f>
        <v>500000</v>
      </c>
      <c r="O36" s="10" t="n">
        <f aca="false">Model!AR108</f>
        <v>500000</v>
      </c>
      <c r="P36" s="10" t="n">
        <f aca="false">Model!AU108</f>
        <v>500000</v>
      </c>
      <c r="Q36" s="10" t="n">
        <f aca="false">Model!AX108</f>
        <v>500000</v>
      </c>
      <c r="R36" s="10" t="n">
        <f aca="false">Model!BA108</f>
        <v>500000</v>
      </c>
      <c r="S36" s="10" t="n">
        <f aca="false">Model!BD108</f>
        <v>500000</v>
      </c>
      <c r="T36" s="10" t="n">
        <f aca="false">Model!BG108</f>
        <v>500000</v>
      </c>
      <c r="U36" s="10" t="n">
        <f aca="false">Model!BJ108</f>
        <v>500000</v>
      </c>
      <c r="V36" s="10" t="n">
        <f aca="false">Model!BM108</f>
        <v>500000</v>
      </c>
      <c r="W36" s="10" t="n">
        <f aca="false">Model!BP108</f>
        <v>500000</v>
      </c>
      <c r="X36" s="10" t="n">
        <f aca="false">Model!BS108</f>
        <v>500000</v>
      </c>
      <c r="Y36" s="10" t="n">
        <f aca="false">Model!BV108</f>
        <v>500000</v>
      </c>
      <c r="Z36" s="10" t="n">
        <f aca="false">Model!BY108</f>
        <v>500000</v>
      </c>
      <c r="AA36" s="10" t="n">
        <f aca="false">Model!CB108</f>
        <v>500000</v>
      </c>
      <c r="AB36" s="10" t="n">
        <f aca="false">Model!CE108</f>
        <v>500000</v>
      </c>
      <c r="AC36" s="10" t="n">
        <f aca="false">Model!CH108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7822767.36698773</v>
      </c>
      <c r="H42" s="21" t="n">
        <f aca="false">Model!W148</f>
        <v>8753769.89296964</v>
      </c>
      <c r="I42" s="21" t="n">
        <f aca="false">Model!Z148</f>
        <v>9536205.42848739</v>
      </c>
      <c r="J42" s="21" t="n">
        <f aca="false">Model!AC148</f>
        <v>9201669.21170439</v>
      </c>
      <c r="K42" s="21" t="n">
        <f aca="false">Model!AF148</f>
        <v>9494073.10096071</v>
      </c>
      <c r="L42" s="21" t="n">
        <f aca="false">Model!AI148</f>
        <v>10046820.1274036</v>
      </c>
      <c r="M42" s="21" t="n">
        <f aca="false">Model!AL148</f>
        <v>9989991.89172731</v>
      </c>
      <c r="N42" s="21" t="n">
        <f aca="false">Model!AO148</f>
        <v>9679235.25493527</v>
      </c>
      <c r="O42" s="21" t="n">
        <f aca="false">Model!AR148</f>
        <v>9590772.76320528</v>
      </c>
      <c r="P42" s="21" t="n">
        <f aca="false">Model!AU148</f>
        <v>8841488.77938674</v>
      </c>
      <c r="Q42" s="21" t="n">
        <f aca="false">Model!AX148</f>
        <v>8063541.30263512</v>
      </c>
      <c r="R42" s="21" t="n">
        <f aca="false">Model!BA148</f>
        <v>7234450.28379908</v>
      </c>
      <c r="S42" s="21" t="n">
        <f aca="false">Model!BD148</f>
        <v>6357981.55906833</v>
      </c>
      <c r="T42" s="21" t="n">
        <f aca="false">Model!BG148</f>
        <v>5561081.38411035</v>
      </c>
      <c r="U42" s="21" t="n">
        <f aca="false">Model!BJ148</f>
        <v>4292901.21583781</v>
      </c>
      <c r="V42" s="21" t="n">
        <f aca="false">Model!BM148</f>
        <v>3016041.90419982</v>
      </c>
      <c r="W42" s="21" t="n">
        <f aca="false">Model!BP148</f>
        <v>1739182.59256184</v>
      </c>
      <c r="X42" s="21" t="n">
        <f aca="false">Model!BS148</f>
        <v>462323.280923851</v>
      </c>
      <c r="Y42" s="21" t="n">
        <f aca="false">Model!BV148</f>
        <v>-814536.030714135</v>
      </c>
      <c r="Z42" s="21" t="n">
        <f aca="false">Model!BY148</f>
        <v>-2100248.06858488</v>
      </c>
      <c r="AA42" s="21" t="n">
        <f aca="false">Model!CB148</f>
        <v>-3385960.10645563</v>
      </c>
      <c r="AB42" s="21" t="n">
        <f aca="false">Model!CE148</f>
        <v>-4671672.14432637</v>
      </c>
      <c r="AC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-1230554.26</v>
      </c>
      <c r="F43" s="21" t="n">
        <f aca="false">Model!Q156</f>
        <v>-1806735.505</v>
      </c>
      <c r="G43" s="21" t="n">
        <f aca="false">Model!T156</f>
        <v>-2478095.5</v>
      </c>
      <c r="H43" s="21" t="n">
        <f aca="false">Model!W156</f>
        <v>-3026009.73828545</v>
      </c>
      <c r="I43" s="21" t="n">
        <f aca="false">Model!Z156</f>
        <v>-3489166.31328545</v>
      </c>
      <c r="J43" s="21" t="n">
        <f aca="false">Model!AC156</f>
        <v>-3767892.99078545</v>
      </c>
      <c r="K43" s="21" t="n">
        <f aca="false">Model!AF156</f>
        <v>-4127923.86828545</v>
      </c>
      <c r="L43" s="21" t="n">
        <f aca="false">Model!AI156</f>
        <v>-4514373.94578545</v>
      </c>
      <c r="M43" s="21" t="n">
        <f aca="false">Model!AL156</f>
        <v>-4878975.62328545</v>
      </c>
      <c r="N43" s="21" t="n">
        <f aca="false">Model!AO156</f>
        <v>-5250869.33433545</v>
      </c>
      <c r="O43" s="21" t="n">
        <f aca="false">Model!AR156</f>
        <v>-5647170.82938544</v>
      </c>
      <c r="P43" s="21" t="n">
        <f aca="false">Model!AU156</f>
        <v>-6041349.90843544</v>
      </c>
      <c r="Q43" s="21" t="n">
        <f aca="false">Model!AX156</f>
        <v>-6413243.61948544</v>
      </c>
      <c r="R43" s="21" t="n">
        <f aca="false">Model!BA156</f>
        <v>-6792575.20475644</v>
      </c>
      <c r="S43" s="21" t="n">
        <f aca="false">Model!BD156</f>
        <v>-7196802.72970744</v>
      </c>
      <c r="T43" s="21" t="n">
        <f aca="false">Model!BG156</f>
        <v>-7598865.39033844</v>
      </c>
      <c r="U43" s="21" t="n">
        <f aca="false">Model!BJ156</f>
        <v>-7978196.97560944</v>
      </c>
      <c r="V43" s="21" t="n">
        <f aca="false">Model!BM156</f>
        <v>-8365115.19258586</v>
      </c>
      <c r="W43" s="21" t="n">
        <f aca="false">Model!BP156</f>
        <v>-8725913.74803588</v>
      </c>
      <c r="X43" s="21" t="n">
        <f aca="false">Model!BS156</f>
        <v>-9068255.6618795</v>
      </c>
      <c r="Y43" s="21" t="n">
        <f aca="false">Model!BV156</f>
        <v>-9387411.87885592</v>
      </c>
      <c r="Z43" s="21" t="n">
        <f aca="false">Model!BY156</f>
        <v>-9714306.46017187</v>
      </c>
      <c r="AA43" s="21" t="n">
        <f aca="false">Model!CB156</f>
        <v>-10058365.7771309</v>
      </c>
      <c r="AB43" s="21" t="n">
        <f aca="false">Model!CE156</f>
        <v>-10400172.7692514</v>
      </c>
      <c r="AC43" s="21" t="n">
        <f aca="false">Model!CH156</f>
        <v>-10711722.3239608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-1079553.14993111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-16405.8080801953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3686445.66117112</v>
      </c>
      <c r="F45" s="23" t="n">
        <f aca="false">Model!Q161</f>
        <v>4805108.30181295</v>
      </c>
      <c r="G45" s="23" t="n">
        <f aca="false">Model!T161</f>
        <v>5344671.86698773</v>
      </c>
      <c r="H45" s="23" t="n">
        <f aca="false">Model!W161</f>
        <v>5727760.1546842</v>
      </c>
      <c r="I45" s="23" t="n">
        <f aca="false">Model!Z161</f>
        <v>4967485.96527084</v>
      </c>
      <c r="J45" s="23" t="n">
        <f aca="false">Model!AC161</f>
        <v>5433776.22091894</v>
      </c>
      <c r="K45" s="23" t="n">
        <f aca="false">Model!AF161</f>
        <v>5366149.23267526</v>
      </c>
      <c r="L45" s="23" t="n">
        <f aca="false">Model!AI161</f>
        <v>5532446.18161818</v>
      </c>
      <c r="M45" s="23" t="n">
        <f aca="false">Model!AL161</f>
        <v>5094610.46036167</v>
      </c>
      <c r="N45" s="23" t="n">
        <f aca="false">Model!AO161</f>
        <v>4428365.92059982</v>
      </c>
      <c r="O45" s="23" t="n">
        <f aca="false">Model!AR161</f>
        <v>3943601.93381984</v>
      </c>
      <c r="P45" s="23" t="n">
        <f aca="false">Model!AU161</f>
        <v>2800138.87095129</v>
      </c>
      <c r="Q45" s="23" t="n">
        <f aca="false">Model!AX161</f>
        <v>1650297.68314967</v>
      </c>
      <c r="R45" s="23" t="n">
        <f aca="false">Model!BA161</f>
        <v>441875.079042639</v>
      </c>
      <c r="S45" s="23" t="n">
        <f aca="false">Model!BD161</f>
        <v>-838821.170639111</v>
      </c>
      <c r="T45" s="23" t="n">
        <f aca="false">Model!BG161</f>
        <v>-2037784.0062281</v>
      </c>
      <c r="U45" s="23" t="n">
        <f aca="false">Model!BJ161</f>
        <v>-3685295.75977163</v>
      </c>
      <c r="V45" s="23" t="n">
        <f aca="false">Model!BM161</f>
        <v>-5349073.28838604</v>
      </c>
      <c r="W45" s="23" t="n">
        <f aca="false">Model!BP161</f>
        <v>-6986731.15547405</v>
      </c>
      <c r="X45" s="23" t="n">
        <f aca="false">Model!BS161</f>
        <v>-8605932.38095565</v>
      </c>
      <c r="Y45" s="23" t="n">
        <f aca="false">Model!BV161</f>
        <v>-10201947.9095701</v>
      </c>
      <c r="Z45" s="23" t="n">
        <f aca="false">Model!BY161</f>
        <v>-11814554.5287567</v>
      </c>
      <c r="AA45" s="23" t="n">
        <f aca="false">Model!CB161</f>
        <v>-13444325.8835865</v>
      </c>
      <c r="AB45" s="23" t="n">
        <f aca="false">Model!CE161</f>
        <v>-15071844.9135778</v>
      </c>
      <c r="AC45" s="23" t="n">
        <f aca="false">Model!CH161</f>
        <v>-16669106.506158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7" t="n">
        <f aca="false">Model!C52</f>
        <v>9375</v>
      </c>
      <c r="D4" s="67" t="n">
        <f aca="false">Model!D52</f>
        <v>9375</v>
      </c>
      <c r="E4" s="67" t="n">
        <f aca="false">Model!E52</f>
        <v>9375</v>
      </c>
      <c r="F4" s="67" t="n">
        <f aca="false">Model!F52</f>
        <v>9375</v>
      </c>
      <c r="G4" s="67" t="n">
        <f aca="false">Model!G52</f>
        <v>9375</v>
      </c>
      <c r="H4" s="67" t="n">
        <f aca="false">Model!H52</f>
        <v>9375</v>
      </c>
      <c r="I4" s="67" t="n">
        <f aca="false">Model!I52</f>
        <v>9375</v>
      </c>
      <c r="J4" s="67" t="n">
        <f aca="false">Model!J52</f>
        <v>0</v>
      </c>
      <c r="K4" s="67" t="n">
        <f aca="false">Model!K52</f>
        <v>0</v>
      </c>
      <c r="L4" s="67" t="n">
        <f aca="false">Model!L52</f>
        <v>0</v>
      </c>
      <c r="M4" s="67" t="n">
        <f aca="false">Model!M52</f>
        <v>0</v>
      </c>
      <c r="N4" s="67" t="n">
        <f aca="false">Model!N52</f>
        <v>0</v>
      </c>
      <c r="O4" s="67" t="n">
        <f aca="false">Model!O52</f>
        <v>0</v>
      </c>
      <c r="P4" s="67" t="n">
        <f aca="false">Model!P52</f>
        <v>0</v>
      </c>
      <c r="Q4" s="67" t="n">
        <f aca="false">Model!Q52</f>
        <v>0</v>
      </c>
      <c r="R4" s="67" t="n">
        <f aca="false">Model!R52</f>
        <v>0</v>
      </c>
      <c r="S4" s="67" t="n">
        <f aca="false">Model!S52</f>
        <v>0</v>
      </c>
      <c r="T4" s="67" t="n">
        <f aca="false">Model!T52</f>
        <v>0</v>
      </c>
      <c r="U4" s="67" t="n">
        <f aca="false">Model!U52</f>
        <v>0</v>
      </c>
      <c r="V4" s="67" t="n">
        <f aca="false">Model!V52</f>
        <v>0</v>
      </c>
      <c r="W4" s="67" t="n">
        <f aca="false">Model!W52</f>
        <v>0</v>
      </c>
      <c r="X4" s="67" t="n">
        <f aca="false">Model!X52</f>
        <v>0</v>
      </c>
      <c r="Y4" s="67" t="n">
        <f aca="false">Model!Y52</f>
        <v>0</v>
      </c>
      <c r="Z4" s="67" t="n">
        <f aca="false">Model!Z52</f>
        <v>0</v>
      </c>
      <c r="AA4" s="67" t="n">
        <f aca="false">Model!AA52</f>
        <v>0</v>
      </c>
      <c r="AB4" s="67" t="n">
        <f aca="false">Model!AB52</f>
        <v>0</v>
      </c>
      <c r="AC4" s="67" t="n">
        <f aca="false">Model!AC52</f>
        <v>0</v>
      </c>
      <c r="AD4" s="67" t="n">
        <f aca="false">Model!AD52</f>
        <v>0</v>
      </c>
      <c r="AE4" s="67" t="n">
        <f aca="false">Model!AE52</f>
        <v>0</v>
      </c>
      <c r="AF4" s="67" t="n">
        <f aca="false">Model!AF52</f>
        <v>0</v>
      </c>
      <c r="AG4" s="67" t="n">
        <f aca="false">Model!AG52</f>
        <v>0</v>
      </c>
      <c r="AH4" s="67" t="n">
        <f aca="false">Model!AH52</f>
        <v>0</v>
      </c>
      <c r="AI4" s="67" t="n">
        <f aca="false">Model!AI52</f>
        <v>0</v>
      </c>
      <c r="AJ4" s="67" t="n">
        <f aca="false">Model!AJ52</f>
        <v>0</v>
      </c>
      <c r="AK4" s="67" t="n">
        <f aca="false">Model!AK52</f>
        <v>0</v>
      </c>
      <c r="AL4" s="67" t="n">
        <f aca="false">Model!AL52</f>
        <v>0</v>
      </c>
      <c r="AM4" s="67" t="n">
        <f aca="false">Model!AM52</f>
        <v>0</v>
      </c>
      <c r="AN4" s="67" t="n">
        <f aca="false">Model!AN52</f>
        <v>0</v>
      </c>
      <c r="AO4" s="67" t="n">
        <f aca="false">Model!AO52</f>
        <v>0</v>
      </c>
      <c r="AP4" s="67" t="n">
        <f aca="false">Model!AP52</f>
        <v>0</v>
      </c>
      <c r="AQ4" s="67" t="n">
        <f aca="false">Model!AQ52</f>
        <v>0</v>
      </c>
      <c r="AR4" s="67" t="n">
        <f aca="false">Model!AR52</f>
        <v>0</v>
      </c>
      <c r="AS4" s="67" t="n">
        <f aca="false">Model!AS52</f>
        <v>0</v>
      </c>
      <c r="AT4" s="67" t="n">
        <f aca="false">Model!AT52</f>
        <v>0</v>
      </c>
      <c r="AU4" s="67" t="n">
        <f aca="false">Model!AU52</f>
        <v>0</v>
      </c>
      <c r="AV4" s="67" t="n">
        <f aca="false">Model!AV52</f>
        <v>0</v>
      </c>
      <c r="AW4" s="67" t="n">
        <f aca="false">Model!AW52</f>
        <v>0</v>
      </c>
      <c r="AX4" s="67" t="n">
        <f aca="false">Model!AX52</f>
        <v>0</v>
      </c>
      <c r="AY4" s="67" t="n">
        <f aca="false">Model!AY52</f>
        <v>0</v>
      </c>
      <c r="AZ4" s="67" t="n">
        <f aca="false">Model!AZ52</f>
        <v>0</v>
      </c>
      <c r="BA4" s="67" t="n">
        <f aca="false">Model!BA52</f>
        <v>0</v>
      </c>
      <c r="BB4" s="67" t="n">
        <f aca="false">Model!BB52</f>
        <v>0</v>
      </c>
      <c r="BC4" s="67" t="n">
        <f aca="false">Model!BC52</f>
        <v>0</v>
      </c>
      <c r="BD4" s="67" t="n">
        <f aca="false">Model!BD52</f>
        <v>0</v>
      </c>
      <c r="BE4" s="67" t="n">
        <f aca="false">Model!BE52</f>
        <v>0</v>
      </c>
      <c r="BF4" s="67" t="n">
        <f aca="false">Model!BF52</f>
        <v>0</v>
      </c>
      <c r="BG4" s="67" t="n">
        <f aca="false">Model!BG52</f>
        <v>0</v>
      </c>
      <c r="BH4" s="67" t="n">
        <f aca="false">Model!BH52</f>
        <v>0</v>
      </c>
      <c r="BI4" s="67" t="n">
        <f aca="false">Model!BI52</f>
        <v>0</v>
      </c>
      <c r="BJ4" s="67" t="n">
        <f aca="false">Model!BJ52</f>
        <v>0</v>
      </c>
      <c r="BK4" s="67" t="n">
        <f aca="false">Model!BK52</f>
        <v>0</v>
      </c>
      <c r="BL4" s="67" t="n">
        <f aca="false">Model!BL52</f>
        <v>0</v>
      </c>
      <c r="BM4" s="67" t="n">
        <f aca="false">Model!BM52</f>
        <v>0</v>
      </c>
      <c r="BN4" s="67" t="n">
        <f aca="false">Model!BN52</f>
        <v>0</v>
      </c>
      <c r="BO4" s="67" t="n">
        <f aca="false">Model!BO52</f>
        <v>0</v>
      </c>
      <c r="BP4" s="67" t="n">
        <f aca="false">Model!BP52</f>
        <v>0</v>
      </c>
      <c r="BQ4" s="67" t="n">
        <f aca="false">Model!BQ52</f>
        <v>0</v>
      </c>
      <c r="BR4" s="67" t="n">
        <f aca="false">Model!BR52</f>
        <v>0</v>
      </c>
      <c r="BS4" s="67" t="n">
        <f aca="false">Model!BS52</f>
        <v>0</v>
      </c>
      <c r="BT4" s="67" t="n">
        <f aca="false">Model!BT52</f>
        <v>0</v>
      </c>
      <c r="BU4" s="67" t="n">
        <f aca="false">Model!BU52</f>
        <v>0</v>
      </c>
      <c r="BV4" s="67" t="n">
        <f aca="false">Model!BV52</f>
        <v>0</v>
      </c>
      <c r="BW4" s="67" t="n">
        <f aca="false">Model!BW52</f>
        <v>0</v>
      </c>
      <c r="BX4" s="67" t="n">
        <f aca="false">Model!BX52</f>
        <v>0</v>
      </c>
      <c r="BY4" s="67" t="n">
        <f aca="false">Model!BY52</f>
        <v>0</v>
      </c>
      <c r="BZ4" s="67" t="n">
        <f aca="false">Model!BZ52</f>
        <v>0</v>
      </c>
      <c r="CA4" s="67" t="n">
        <f aca="false">Model!CA52</f>
        <v>0</v>
      </c>
      <c r="CB4" s="67" t="n">
        <f aca="false">Model!CB52</f>
        <v>0</v>
      </c>
      <c r="CC4" s="67" t="n">
        <f aca="false">Model!CC52</f>
        <v>0</v>
      </c>
      <c r="CD4" s="67" t="n">
        <f aca="false">Model!CD52</f>
        <v>0</v>
      </c>
      <c r="CE4" s="67" t="n">
        <f aca="false">Model!CE52</f>
        <v>0</v>
      </c>
      <c r="CF4" s="67" t="n">
        <f aca="false">Model!CF52</f>
        <v>0</v>
      </c>
      <c r="CG4" s="67" t="n">
        <f aca="false">Model!CG52</f>
        <v>0</v>
      </c>
      <c r="CH4" s="67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8" t="n">
        <f aca="false">C4</f>
        <v>9375</v>
      </c>
      <c r="D5" s="68" t="n">
        <f aca="false">D4</f>
        <v>9375</v>
      </c>
      <c r="E5" s="68" t="n">
        <f aca="false">E4</f>
        <v>9375</v>
      </c>
      <c r="F5" s="68" t="n">
        <f aca="false">F4</f>
        <v>9375</v>
      </c>
      <c r="G5" s="68" t="n">
        <f aca="false">G4</f>
        <v>9375</v>
      </c>
      <c r="H5" s="68" t="n">
        <f aca="false">H4</f>
        <v>9375</v>
      </c>
      <c r="I5" s="68" t="n">
        <f aca="false">I4</f>
        <v>9375</v>
      </c>
      <c r="J5" s="68" t="n">
        <f aca="false">J4</f>
        <v>0</v>
      </c>
      <c r="K5" s="68" t="n">
        <f aca="false">K4</f>
        <v>0</v>
      </c>
      <c r="L5" s="68" t="n">
        <f aca="false">L4</f>
        <v>0</v>
      </c>
      <c r="M5" s="68" t="n">
        <f aca="false">M4</f>
        <v>0</v>
      </c>
      <c r="N5" s="68" t="n">
        <f aca="false">N4</f>
        <v>0</v>
      </c>
      <c r="O5" s="68" t="n">
        <f aca="false">O4</f>
        <v>0</v>
      </c>
      <c r="P5" s="68" t="n">
        <f aca="false">P4</f>
        <v>0</v>
      </c>
      <c r="Q5" s="68" t="n">
        <f aca="false">Q4</f>
        <v>0</v>
      </c>
      <c r="R5" s="68" t="n">
        <f aca="false">R4</f>
        <v>0</v>
      </c>
      <c r="S5" s="68" t="n">
        <f aca="false">S4</f>
        <v>0</v>
      </c>
      <c r="T5" s="68" t="n">
        <f aca="false">T4</f>
        <v>0</v>
      </c>
      <c r="U5" s="68" t="n">
        <f aca="false">U4</f>
        <v>0</v>
      </c>
      <c r="V5" s="68" t="n">
        <f aca="false">V4</f>
        <v>0</v>
      </c>
      <c r="W5" s="68" t="n">
        <f aca="false">W4</f>
        <v>0</v>
      </c>
      <c r="X5" s="68" t="n">
        <f aca="false">X4</f>
        <v>0</v>
      </c>
      <c r="Y5" s="68" t="n">
        <f aca="false">Y4</f>
        <v>0</v>
      </c>
      <c r="Z5" s="68" t="n">
        <f aca="false">Z4</f>
        <v>0</v>
      </c>
      <c r="AA5" s="68" t="n">
        <f aca="false">AA4</f>
        <v>0</v>
      </c>
      <c r="AB5" s="68" t="n">
        <f aca="false">AB4</f>
        <v>0</v>
      </c>
      <c r="AC5" s="68" t="n">
        <f aca="false">AC4</f>
        <v>0</v>
      </c>
      <c r="AD5" s="68" t="n">
        <f aca="false">AD4</f>
        <v>0</v>
      </c>
      <c r="AE5" s="68" t="n">
        <f aca="false">AE4</f>
        <v>0</v>
      </c>
      <c r="AF5" s="68" t="n">
        <f aca="false">AF4</f>
        <v>0</v>
      </c>
      <c r="AG5" s="68" t="n">
        <f aca="false">AG4</f>
        <v>0</v>
      </c>
      <c r="AH5" s="68" t="n">
        <f aca="false">AH4</f>
        <v>0</v>
      </c>
      <c r="AI5" s="68" t="n">
        <f aca="false">AI4</f>
        <v>0</v>
      </c>
      <c r="AJ5" s="68" t="n">
        <f aca="false">AJ4</f>
        <v>0</v>
      </c>
      <c r="AK5" s="68" t="n">
        <f aca="false">AK4</f>
        <v>0</v>
      </c>
      <c r="AL5" s="68" t="n">
        <f aca="false">AL4</f>
        <v>0</v>
      </c>
      <c r="AM5" s="68" t="n">
        <f aca="false">AM4</f>
        <v>0</v>
      </c>
      <c r="AN5" s="68" t="n">
        <f aca="false">AN4</f>
        <v>0</v>
      </c>
      <c r="AO5" s="68" t="n">
        <f aca="false">AO4</f>
        <v>0</v>
      </c>
      <c r="AP5" s="68" t="n">
        <f aca="false">AP4</f>
        <v>0</v>
      </c>
      <c r="AQ5" s="68" t="n">
        <f aca="false">AQ4</f>
        <v>0</v>
      </c>
      <c r="AR5" s="68" t="n">
        <f aca="false">AR4</f>
        <v>0</v>
      </c>
      <c r="AS5" s="68" t="n">
        <f aca="false">AS4</f>
        <v>0</v>
      </c>
      <c r="AT5" s="68" t="n">
        <f aca="false">AT4</f>
        <v>0</v>
      </c>
      <c r="AU5" s="68" t="n">
        <f aca="false">AU4</f>
        <v>0</v>
      </c>
      <c r="AV5" s="68" t="n">
        <f aca="false">AV4</f>
        <v>0</v>
      </c>
      <c r="AW5" s="68" t="n">
        <f aca="false">AW4</f>
        <v>0</v>
      </c>
      <c r="AX5" s="68" t="n">
        <f aca="false">AX4</f>
        <v>0</v>
      </c>
      <c r="AY5" s="68" t="n">
        <f aca="false">AY4</f>
        <v>0</v>
      </c>
      <c r="AZ5" s="68" t="n">
        <f aca="false">AZ4</f>
        <v>0</v>
      </c>
      <c r="BA5" s="68" t="n">
        <f aca="false">BA4</f>
        <v>0</v>
      </c>
      <c r="BB5" s="68" t="n">
        <f aca="false">BB4</f>
        <v>0</v>
      </c>
      <c r="BC5" s="68" t="n">
        <f aca="false">BC4</f>
        <v>0</v>
      </c>
      <c r="BD5" s="68" t="n">
        <f aca="false">BD4</f>
        <v>0</v>
      </c>
      <c r="BE5" s="68" t="n">
        <f aca="false">BE4</f>
        <v>0</v>
      </c>
      <c r="BF5" s="68" t="n">
        <f aca="false">BF4</f>
        <v>0</v>
      </c>
      <c r="BG5" s="68" t="n">
        <f aca="false">BG4</f>
        <v>0</v>
      </c>
      <c r="BH5" s="68" t="n">
        <f aca="false">BH4</f>
        <v>0</v>
      </c>
      <c r="BI5" s="68" t="n">
        <f aca="false">BI4</f>
        <v>0</v>
      </c>
      <c r="BJ5" s="68" t="n">
        <f aca="false">BJ4</f>
        <v>0</v>
      </c>
      <c r="BK5" s="68" t="n">
        <f aca="false">BK4</f>
        <v>0</v>
      </c>
      <c r="BL5" s="68" t="n">
        <f aca="false">BL4</f>
        <v>0</v>
      </c>
      <c r="BM5" s="68" t="n">
        <f aca="false">BM4</f>
        <v>0</v>
      </c>
      <c r="BN5" s="68" t="n">
        <f aca="false">BN4</f>
        <v>0</v>
      </c>
      <c r="BO5" s="68" t="n">
        <f aca="false">BO4</f>
        <v>0</v>
      </c>
      <c r="BP5" s="68" t="n">
        <f aca="false">BP4</f>
        <v>0</v>
      </c>
      <c r="BQ5" s="68" t="n">
        <f aca="false">BQ4</f>
        <v>0</v>
      </c>
      <c r="BR5" s="68" t="n">
        <f aca="false">BR4</f>
        <v>0</v>
      </c>
      <c r="BS5" s="68" t="n">
        <f aca="false">BS4</f>
        <v>0</v>
      </c>
      <c r="BT5" s="68" t="n">
        <f aca="false">BT4</f>
        <v>0</v>
      </c>
      <c r="BU5" s="68" t="n">
        <f aca="false">BU4</f>
        <v>0</v>
      </c>
      <c r="BV5" s="68" t="n">
        <f aca="false">BV4</f>
        <v>0</v>
      </c>
      <c r="BW5" s="68" t="n">
        <f aca="false">BW4</f>
        <v>0</v>
      </c>
      <c r="BX5" s="68" t="n">
        <f aca="false">BX4</f>
        <v>0</v>
      </c>
      <c r="BY5" s="68" t="n">
        <f aca="false">BY4</f>
        <v>0</v>
      </c>
      <c r="BZ5" s="68" t="n">
        <f aca="false">BZ4</f>
        <v>0</v>
      </c>
      <c r="CA5" s="68" t="n">
        <f aca="false">CA4</f>
        <v>0</v>
      </c>
      <c r="CB5" s="68" t="n">
        <f aca="false">CB4</f>
        <v>0</v>
      </c>
      <c r="CC5" s="68" t="n">
        <f aca="false">CC4</f>
        <v>0</v>
      </c>
      <c r="CD5" s="68" t="n">
        <f aca="false">CD4</f>
        <v>0</v>
      </c>
      <c r="CE5" s="68" t="n">
        <f aca="false">CE4</f>
        <v>0</v>
      </c>
      <c r="CF5" s="68" t="n">
        <f aca="false">CF4</f>
        <v>0</v>
      </c>
      <c r="CG5" s="68" t="n">
        <f aca="false">CG4</f>
        <v>0</v>
      </c>
      <c r="CH5" s="68" t="n">
        <f aca="false">CH4</f>
        <v>0</v>
      </c>
    </row>
    <row r="6" customFormat="false" ht="15" hidden="false" customHeight="true" outlineLevel="0" collapsed="false">
      <c r="A6" s="61" t="s">
        <v>212</v>
      </c>
      <c r="B6" s="3"/>
      <c r="C6" s="69" t="n">
        <f aca="false">C5</f>
        <v>9375</v>
      </c>
      <c r="D6" s="69" t="n">
        <f aca="false">C6+D5</f>
        <v>18750</v>
      </c>
      <c r="E6" s="69" t="n">
        <f aca="false">D6+E5</f>
        <v>28125</v>
      </c>
      <c r="F6" s="69" t="n">
        <f aca="false">E6+F5</f>
        <v>37500</v>
      </c>
      <c r="G6" s="69" t="n">
        <f aca="false">F6+G5</f>
        <v>46875</v>
      </c>
      <c r="H6" s="69" t="n">
        <f aca="false">G6+H5</f>
        <v>56250</v>
      </c>
      <c r="I6" s="69" t="n">
        <f aca="false">H6+I5</f>
        <v>65625</v>
      </c>
      <c r="J6" s="69" t="n">
        <f aca="false">I6+J5</f>
        <v>65625</v>
      </c>
      <c r="K6" s="69" t="n">
        <f aca="false">J6+K5</f>
        <v>65625</v>
      </c>
      <c r="L6" s="69" t="n">
        <f aca="false">K6+L5</f>
        <v>65625</v>
      </c>
      <c r="M6" s="69" t="n">
        <f aca="false">L6+M5</f>
        <v>65625</v>
      </c>
      <c r="N6" s="69" t="n">
        <f aca="false">M6+N5</f>
        <v>65625</v>
      </c>
      <c r="O6" s="69" t="n">
        <f aca="false">N6+O5</f>
        <v>65625</v>
      </c>
      <c r="P6" s="69" t="n">
        <f aca="false">O6+P5</f>
        <v>65625</v>
      </c>
      <c r="Q6" s="69" t="n">
        <f aca="false">P6+Q5</f>
        <v>65625</v>
      </c>
      <c r="R6" s="69" t="n">
        <f aca="false">Q6+R5</f>
        <v>65625</v>
      </c>
      <c r="S6" s="69" t="n">
        <f aca="false">R6+S5</f>
        <v>65625</v>
      </c>
      <c r="T6" s="69" t="n">
        <f aca="false">S6+T5</f>
        <v>65625</v>
      </c>
      <c r="U6" s="69" t="n">
        <f aca="false">T6+U5</f>
        <v>65625</v>
      </c>
      <c r="V6" s="69" t="n">
        <f aca="false">U6+V5</f>
        <v>65625</v>
      </c>
      <c r="W6" s="69" t="n">
        <f aca="false">V6+W5</f>
        <v>65625</v>
      </c>
      <c r="X6" s="69" t="n">
        <f aca="false">W6+X5</f>
        <v>65625</v>
      </c>
      <c r="Y6" s="69" t="n">
        <f aca="false">X6+Y5</f>
        <v>65625</v>
      </c>
      <c r="Z6" s="69" t="n">
        <f aca="false">Y6+Z5</f>
        <v>65625</v>
      </c>
      <c r="AA6" s="69" t="n">
        <f aca="false">Z6+AA5</f>
        <v>65625</v>
      </c>
      <c r="AB6" s="69" t="n">
        <f aca="false">AA6+AB5</f>
        <v>65625</v>
      </c>
      <c r="AC6" s="69" t="n">
        <f aca="false">AB6+AC5</f>
        <v>65625</v>
      </c>
      <c r="AD6" s="69" t="n">
        <f aca="false">AC6+AD5</f>
        <v>65625</v>
      </c>
      <c r="AE6" s="69" t="n">
        <f aca="false">AD6+AE5</f>
        <v>65625</v>
      </c>
      <c r="AF6" s="69" t="n">
        <f aca="false">AE6+AF5</f>
        <v>65625</v>
      </c>
      <c r="AG6" s="69" t="n">
        <f aca="false">AF6+AG5</f>
        <v>65625</v>
      </c>
      <c r="AH6" s="69" t="n">
        <f aca="false">AG6+AH5</f>
        <v>65625</v>
      </c>
      <c r="AI6" s="69" t="n">
        <f aca="false">AH6+AI5</f>
        <v>65625</v>
      </c>
      <c r="AJ6" s="69" t="n">
        <f aca="false">AI6+AJ5</f>
        <v>65625</v>
      </c>
      <c r="AK6" s="69" t="n">
        <f aca="false">AJ6+AK5</f>
        <v>65625</v>
      </c>
      <c r="AL6" s="69" t="n">
        <f aca="false">AK6+AL5</f>
        <v>65625</v>
      </c>
      <c r="AM6" s="69" t="n">
        <f aca="false">AL6+AM5</f>
        <v>65625</v>
      </c>
      <c r="AN6" s="69" t="n">
        <f aca="false">AM6+AN5</f>
        <v>65625</v>
      </c>
      <c r="AO6" s="69" t="n">
        <f aca="false">AN6+AO5</f>
        <v>65625</v>
      </c>
      <c r="AP6" s="69" t="n">
        <f aca="false">AO6+AP5</f>
        <v>65625</v>
      </c>
      <c r="AQ6" s="69" t="n">
        <f aca="false">AP6+AQ5</f>
        <v>65625</v>
      </c>
      <c r="AR6" s="69" t="n">
        <f aca="false">AQ6+AR5</f>
        <v>65625</v>
      </c>
      <c r="AS6" s="69" t="n">
        <f aca="false">AR6+AS5</f>
        <v>65625</v>
      </c>
      <c r="AT6" s="69" t="n">
        <f aca="false">AS6+AT5</f>
        <v>65625</v>
      </c>
      <c r="AU6" s="69" t="n">
        <f aca="false">AT6+AU5</f>
        <v>65625</v>
      </c>
      <c r="AV6" s="69" t="n">
        <f aca="false">AU6+AV5</f>
        <v>65625</v>
      </c>
      <c r="AW6" s="69" t="n">
        <f aca="false">AV6+AW5</f>
        <v>65625</v>
      </c>
      <c r="AX6" s="69" t="n">
        <f aca="false">AW6+AX5</f>
        <v>65625</v>
      </c>
      <c r="AY6" s="69" t="n">
        <f aca="false">AX6+AY5</f>
        <v>65625</v>
      </c>
      <c r="AZ6" s="69" t="n">
        <f aca="false">AY6+AZ5</f>
        <v>65625</v>
      </c>
      <c r="BA6" s="69" t="n">
        <f aca="false">AZ6+BA5</f>
        <v>65625</v>
      </c>
      <c r="BB6" s="69" t="n">
        <f aca="false">BA6+BB5</f>
        <v>65625</v>
      </c>
      <c r="BC6" s="69" t="n">
        <f aca="false">BB6+BC5</f>
        <v>65625</v>
      </c>
      <c r="BD6" s="69" t="n">
        <f aca="false">BC6+BD5</f>
        <v>65625</v>
      </c>
      <c r="BE6" s="69" t="n">
        <f aca="false">BD6+BE5</f>
        <v>65625</v>
      </c>
      <c r="BF6" s="69" t="n">
        <f aca="false">BE6+BF5</f>
        <v>65625</v>
      </c>
      <c r="BG6" s="69" t="n">
        <f aca="false">BF6+BG5</f>
        <v>65625</v>
      </c>
      <c r="BH6" s="69" t="n">
        <f aca="false">BG6+BH5</f>
        <v>65625</v>
      </c>
      <c r="BI6" s="69" t="n">
        <f aca="false">BH6+BI5</f>
        <v>65625</v>
      </c>
      <c r="BJ6" s="69" t="n">
        <f aca="false">BI6+BJ5</f>
        <v>65625</v>
      </c>
      <c r="BK6" s="69" t="n">
        <f aca="false">BJ6+BK5</f>
        <v>65625</v>
      </c>
      <c r="BL6" s="69" t="n">
        <f aca="false">BK6+BL5</f>
        <v>65625</v>
      </c>
      <c r="BM6" s="69" t="n">
        <f aca="false">BL6+BM5</f>
        <v>65625</v>
      </c>
      <c r="BN6" s="69" t="n">
        <f aca="false">BM6+BN5</f>
        <v>65625</v>
      </c>
      <c r="BO6" s="69" t="n">
        <f aca="false">BN6+BO5</f>
        <v>65625</v>
      </c>
      <c r="BP6" s="69" t="n">
        <f aca="false">BO6+BP5</f>
        <v>65625</v>
      </c>
      <c r="BQ6" s="69" t="n">
        <f aca="false">BP6+BQ5</f>
        <v>65625</v>
      </c>
      <c r="BR6" s="69" t="n">
        <f aca="false">BQ6+BR5</f>
        <v>65625</v>
      </c>
      <c r="BS6" s="69" t="n">
        <f aca="false">BR6+BS5</f>
        <v>65625</v>
      </c>
      <c r="BT6" s="69" t="n">
        <f aca="false">BS6+BT5</f>
        <v>65625</v>
      </c>
      <c r="BU6" s="69" t="n">
        <f aca="false">BT6+BU5</f>
        <v>65625</v>
      </c>
      <c r="BV6" s="69" t="n">
        <f aca="false">BU6+BV5</f>
        <v>65625</v>
      </c>
      <c r="BW6" s="69" t="n">
        <f aca="false">BV6+BW5</f>
        <v>65625</v>
      </c>
      <c r="BX6" s="69" t="n">
        <f aca="false">BW6+BX5</f>
        <v>65625</v>
      </c>
      <c r="BY6" s="69" t="n">
        <f aca="false">BX6+BY5</f>
        <v>65625</v>
      </c>
      <c r="BZ6" s="69" t="n">
        <f aca="false">BY6+BZ5</f>
        <v>65625</v>
      </c>
      <c r="CA6" s="69" t="n">
        <f aca="false">BZ6+CA5</f>
        <v>65625</v>
      </c>
      <c r="CB6" s="69" t="n">
        <f aca="false">CA6+CB5</f>
        <v>65625</v>
      </c>
      <c r="CC6" s="69" t="n">
        <f aca="false">CB6+CC5</f>
        <v>65625</v>
      </c>
      <c r="CD6" s="69" t="n">
        <f aca="false">CC6+CD5</f>
        <v>65625</v>
      </c>
      <c r="CE6" s="69" t="n">
        <f aca="false">CD6+CE5</f>
        <v>65625</v>
      </c>
      <c r="CF6" s="69" t="n">
        <f aca="false">CE6+CF5</f>
        <v>65625</v>
      </c>
      <c r="CG6" s="69" t="n">
        <f aca="false">CF6+CG5</f>
        <v>65625</v>
      </c>
      <c r="CH6" s="69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7" t="n">
        <f aca="false">Model!C48+Model!C49+Model!C50+Model!C51</f>
        <v>23906.25</v>
      </c>
      <c r="D9" s="67" t="n">
        <f aca="false">Model!D48+Model!D49+Model!D50+Model!D51</f>
        <v>23906.25</v>
      </c>
      <c r="E9" s="67" t="n">
        <f aca="false">Model!E48+Model!E49+Model!E50+Model!E51</f>
        <v>23906.25</v>
      </c>
      <c r="F9" s="67" t="n">
        <f aca="false">Model!F48+Model!F49+Model!F50+Model!F51</f>
        <v>23906.25</v>
      </c>
      <c r="G9" s="67" t="n">
        <f aca="false">Model!G48+Model!G49+Model!G50+Model!G51</f>
        <v>23906.25</v>
      </c>
      <c r="H9" s="67" t="n">
        <f aca="false">Model!H48+Model!H49+Model!H50+Model!H51</f>
        <v>23906.25</v>
      </c>
      <c r="I9" s="67" t="n">
        <f aca="false">Model!I48+Model!I49+Model!I50+Model!I51</f>
        <v>23906.25</v>
      </c>
      <c r="J9" s="67" t="n">
        <f aca="false">Model!J48+Model!J49+Model!J50+Model!J51</f>
        <v>23906.25</v>
      </c>
      <c r="K9" s="67" t="n">
        <f aca="false">Model!K48+Model!K49+Model!K50+Model!K51</f>
        <v>23906.25</v>
      </c>
      <c r="L9" s="67" t="n">
        <f aca="false">Model!L48+Model!L49+Model!L50+Model!L51</f>
        <v>23906.25</v>
      </c>
      <c r="M9" s="67" t="n">
        <f aca="false">Model!M48+Model!M49+Model!M50+Model!M51</f>
        <v>23906.25</v>
      </c>
      <c r="N9" s="67" t="n">
        <f aca="false">Model!N48+Model!N49+Model!N50+Model!N51</f>
        <v>23906.25</v>
      </c>
      <c r="O9" s="67" t="n">
        <f aca="false">Model!O48+Model!O49+Model!O50+Model!O51</f>
        <v>23906.25</v>
      </c>
      <c r="P9" s="67" t="n">
        <f aca="false">Model!P48+Model!P49+Model!P50+Model!P51</f>
        <v>23906.25</v>
      </c>
      <c r="Q9" s="67" t="n">
        <f aca="false">Model!Q48+Model!Q49+Model!Q50+Model!Q51</f>
        <v>23906.25</v>
      </c>
      <c r="R9" s="67" t="n">
        <f aca="false">Model!R48+Model!R49+Model!R50+Model!R51</f>
        <v>0</v>
      </c>
      <c r="S9" s="67" t="n">
        <f aca="false">Model!S48+Model!S49+Model!S50+Model!S51</f>
        <v>0</v>
      </c>
      <c r="T9" s="67" t="n">
        <f aca="false">Model!T48+Model!T49+Model!T50+Model!T51</f>
        <v>0</v>
      </c>
      <c r="U9" s="67" t="n">
        <f aca="false">Model!U48+Model!U49+Model!U50+Model!U51</f>
        <v>0</v>
      </c>
      <c r="V9" s="67" t="n">
        <f aca="false">Model!V48+Model!V49+Model!V50+Model!V51</f>
        <v>0</v>
      </c>
      <c r="W9" s="67" t="n">
        <f aca="false">Model!W48+Model!W49+Model!W50+Model!W51</f>
        <v>57375</v>
      </c>
      <c r="X9" s="67" t="n">
        <f aca="false">Model!X48+Model!X49+Model!X50+Model!X51</f>
        <v>0</v>
      </c>
      <c r="Y9" s="67" t="n">
        <f aca="false">Model!Y48+Model!Y49+Model!Y50+Model!Y51</f>
        <v>0</v>
      </c>
      <c r="Z9" s="67" t="n">
        <f aca="false">Model!Z48+Model!Z49+Model!Z50+Model!Z51</f>
        <v>57375</v>
      </c>
      <c r="AA9" s="67" t="n">
        <f aca="false">Model!AA48+Model!AA49+Model!AA50+Model!AA51</f>
        <v>0</v>
      </c>
      <c r="AB9" s="67" t="n">
        <f aca="false">Model!AB48+Model!AB49+Model!AB50+Model!AB51</f>
        <v>0</v>
      </c>
      <c r="AC9" s="67" t="n">
        <f aca="false">Model!AC48+Model!AC49+Model!AC50+Model!AC51</f>
        <v>57375</v>
      </c>
      <c r="AD9" s="67" t="n">
        <f aca="false">Model!AD48+Model!AD49+Model!AD50+Model!AD51</f>
        <v>0</v>
      </c>
      <c r="AE9" s="67" t="n">
        <f aca="false">Model!AE48+Model!AE49+Model!AE50+Model!AE51</f>
        <v>0</v>
      </c>
      <c r="AF9" s="67" t="n">
        <f aca="false">Model!AF48+Model!AF49+Model!AF50+Model!AF51</f>
        <v>0</v>
      </c>
      <c r="AG9" s="67" t="n">
        <f aca="false">Model!AG48+Model!AG49+Model!AG50+Model!AG51</f>
        <v>0</v>
      </c>
      <c r="AH9" s="67" t="n">
        <f aca="false">Model!AH48+Model!AH49+Model!AH50+Model!AH51</f>
        <v>0</v>
      </c>
      <c r="AI9" s="67" t="n">
        <f aca="false">Model!AI48+Model!AI49+Model!AI50+Model!AI51</f>
        <v>0</v>
      </c>
      <c r="AJ9" s="67" t="n">
        <f aca="false">Model!AJ48+Model!AJ49+Model!AJ50+Model!AJ51</f>
        <v>0</v>
      </c>
      <c r="AK9" s="67" t="n">
        <f aca="false">Model!AK48+Model!AK49+Model!AK50+Model!AK51</f>
        <v>0</v>
      </c>
      <c r="AL9" s="67" t="n">
        <f aca="false">Model!AL48+Model!AL49+Model!AL50+Model!AL51</f>
        <v>0</v>
      </c>
      <c r="AM9" s="67" t="n">
        <f aca="false">Model!AM48+Model!AM49+Model!AM50+Model!AM51</f>
        <v>0</v>
      </c>
      <c r="AN9" s="67" t="n">
        <f aca="false">Model!AN48+Model!AN49+Model!AN50+Model!AN51</f>
        <v>0</v>
      </c>
      <c r="AO9" s="67" t="n">
        <f aca="false">Model!AO48+Model!AO49+Model!AO50+Model!AO51</f>
        <v>0</v>
      </c>
      <c r="AP9" s="67" t="n">
        <f aca="false">Model!AP48+Model!AP49+Model!AP50+Model!AP51</f>
        <v>0</v>
      </c>
      <c r="AQ9" s="67" t="n">
        <f aca="false">Model!AQ48+Model!AQ49+Model!AQ50+Model!AQ51</f>
        <v>0</v>
      </c>
      <c r="AR9" s="67" t="n">
        <f aca="false">Model!AR48+Model!AR49+Model!AR50+Model!AR51</f>
        <v>0</v>
      </c>
      <c r="AS9" s="67" t="n">
        <f aca="false">Model!AS48+Model!AS49+Model!AS50+Model!AS51</f>
        <v>0</v>
      </c>
      <c r="AT9" s="67" t="n">
        <f aca="false">Model!AT48+Model!AT49+Model!AT50+Model!AT51</f>
        <v>0</v>
      </c>
      <c r="AU9" s="67" t="n">
        <f aca="false">Model!AU48+Model!AU49+Model!AU50+Model!AU51</f>
        <v>0</v>
      </c>
      <c r="AV9" s="67" t="n">
        <f aca="false">Model!AV48+Model!AV49+Model!AV50+Model!AV51</f>
        <v>0</v>
      </c>
      <c r="AW9" s="67" t="n">
        <f aca="false">Model!AW48+Model!AW49+Model!AW50+Model!AW51</f>
        <v>0</v>
      </c>
      <c r="AX9" s="67" t="n">
        <f aca="false">Model!AX48+Model!AX49+Model!AX50+Model!AX51</f>
        <v>0</v>
      </c>
      <c r="AY9" s="67" t="n">
        <f aca="false">Model!AY48+Model!AY49+Model!AY50+Model!AY51</f>
        <v>0</v>
      </c>
      <c r="AZ9" s="67" t="n">
        <f aca="false">Model!AZ48+Model!AZ49+Model!AZ50+Model!AZ51</f>
        <v>0</v>
      </c>
      <c r="BA9" s="67" t="n">
        <f aca="false">Model!BA48+Model!BA49+Model!BA50+Model!BA51</f>
        <v>0</v>
      </c>
      <c r="BB9" s="67" t="n">
        <f aca="false">Model!BB48+Model!BB49+Model!BB50+Model!BB51</f>
        <v>0</v>
      </c>
      <c r="BC9" s="67" t="n">
        <f aca="false">Model!BC48+Model!BC49+Model!BC50+Model!BC51</f>
        <v>0</v>
      </c>
      <c r="BD9" s="67" t="n">
        <f aca="false">Model!BD48+Model!BD49+Model!BD50+Model!BD51</f>
        <v>0</v>
      </c>
      <c r="BE9" s="67" t="n">
        <f aca="false">Model!BE48+Model!BE49+Model!BE50+Model!BE51</f>
        <v>0</v>
      </c>
      <c r="BF9" s="67" t="n">
        <f aca="false">Model!BF48+Model!BF49+Model!BF50+Model!BF51</f>
        <v>0</v>
      </c>
      <c r="BG9" s="67" t="n">
        <f aca="false">Model!BG48+Model!BG49+Model!BG50+Model!BG51</f>
        <v>0</v>
      </c>
      <c r="BH9" s="67" t="n">
        <f aca="false">Model!BH48+Model!BH49+Model!BH50+Model!BH51</f>
        <v>0</v>
      </c>
      <c r="BI9" s="67" t="n">
        <f aca="false">Model!BI48+Model!BI49+Model!BI50+Model!BI51</f>
        <v>0</v>
      </c>
      <c r="BJ9" s="67" t="n">
        <f aca="false">Model!BJ48+Model!BJ49+Model!BJ50+Model!BJ51</f>
        <v>0</v>
      </c>
      <c r="BK9" s="67" t="n">
        <f aca="false">Model!BK48+Model!BK49+Model!BK50+Model!BK51</f>
        <v>0</v>
      </c>
      <c r="BL9" s="67" t="n">
        <f aca="false">Model!BL48+Model!BL49+Model!BL50+Model!BL51</f>
        <v>0</v>
      </c>
      <c r="BM9" s="67" t="n">
        <f aca="false">Model!BM48+Model!BM49+Model!BM50+Model!BM51</f>
        <v>0</v>
      </c>
      <c r="BN9" s="67" t="n">
        <f aca="false">Model!BN48+Model!BN49+Model!BN50+Model!BN51</f>
        <v>0</v>
      </c>
      <c r="BO9" s="67" t="n">
        <f aca="false">Model!BO48+Model!BO49+Model!BO50+Model!BO51</f>
        <v>0</v>
      </c>
      <c r="BP9" s="67" t="n">
        <f aca="false">Model!BP48+Model!BP49+Model!BP50+Model!BP51</f>
        <v>0</v>
      </c>
      <c r="BQ9" s="67" t="n">
        <f aca="false">Model!BQ48+Model!BQ49+Model!BQ50+Model!BQ51</f>
        <v>0</v>
      </c>
      <c r="BR9" s="67" t="n">
        <f aca="false">Model!BR48+Model!BR49+Model!BR50+Model!BR51</f>
        <v>0</v>
      </c>
      <c r="BS9" s="67" t="n">
        <f aca="false">Model!BS48+Model!BS49+Model!BS50+Model!BS51</f>
        <v>0</v>
      </c>
      <c r="BT9" s="67" t="n">
        <f aca="false">Model!BT48+Model!BT49+Model!BT50+Model!BT51</f>
        <v>0</v>
      </c>
      <c r="BU9" s="67" t="n">
        <f aca="false">Model!BU48+Model!BU49+Model!BU50+Model!BU51</f>
        <v>0</v>
      </c>
      <c r="BV9" s="67" t="n">
        <f aca="false">Model!BV48+Model!BV49+Model!BV50+Model!BV51</f>
        <v>0</v>
      </c>
      <c r="BW9" s="67" t="n">
        <f aca="false">Model!BW48+Model!BW49+Model!BW50+Model!BW51</f>
        <v>0</v>
      </c>
      <c r="BX9" s="67" t="n">
        <f aca="false">Model!BX48+Model!BX49+Model!BX50+Model!BX51</f>
        <v>0</v>
      </c>
      <c r="BY9" s="67" t="n">
        <f aca="false">Model!BY48+Model!BY49+Model!BY50+Model!BY51</f>
        <v>0</v>
      </c>
      <c r="BZ9" s="67" t="n">
        <f aca="false">Model!BZ48+Model!BZ49+Model!BZ50+Model!BZ51</f>
        <v>0</v>
      </c>
      <c r="CA9" s="67" t="n">
        <f aca="false">Model!CA48+Model!CA49+Model!CA50+Model!CA51</f>
        <v>0</v>
      </c>
      <c r="CB9" s="67" t="n">
        <f aca="false">Model!CB48+Model!CB49+Model!CB50+Model!CB51</f>
        <v>0</v>
      </c>
      <c r="CC9" s="67" t="n">
        <f aca="false">Model!CC48+Model!CC49+Model!CC50+Model!CC51</f>
        <v>0</v>
      </c>
      <c r="CD9" s="67" t="n">
        <f aca="false">Model!CD48+Model!CD49+Model!CD50+Model!CD51</f>
        <v>0</v>
      </c>
      <c r="CE9" s="67" t="n">
        <f aca="false">Model!CE48+Model!CE49+Model!CE50+Model!CE51</f>
        <v>0</v>
      </c>
      <c r="CF9" s="67" t="n">
        <f aca="false">Model!CF48+Model!CF49+Model!CF50+Model!CF51</f>
        <v>0</v>
      </c>
      <c r="CG9" s="67" t="n">
        <f aca="false">Model!CG48+Model!CG49+Model!CG50+Model!CG51</f>
        <v>0</v>
      </c>
      <c r="CH9" s="67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8" t="n">
        <f aca="false">C9</f>
        <v>23906.25</v>
      </c>
      <c r="D10" s="68" t="n">
        <f aca="false">D9</f>
        <v>23906.25</v>
      </c>
      <c r="E10" s="68" t="n">
        <f aca="false">E9</f>
        <v>23906.25</v>
      </c>
      <c r="F10" s="68" t="n">
        <f aca="false">F9</f>
        <v>23906.25</v>
      </c>
      <c r="G10" s="68" t="n">
        <f aca="false">G9</f>
        <v>23906.25</v>
      </c>
      <c r="H10" s="68" t="n">
        <f aca="false">H9</f>
        <v>23906.25</v>
      </c>
      <c r="I10" s="68" t="n">
        <f aca="false">I9</f>
        <v>23906.25</v>
      </c>
      <c r="J10" s="68" t="n">
        <f aca="false">J9</f>
        <v>23906.25</v>
      </c>
      <c r="K10" s="68" t="n">
        <f aca="false">K9</f>
        <v>23906.25</v>
      </c>
      <c r="L10" s="68" t="n">
        <f aca="false">L9</f>
        <v>23906.25</v>
      </c>
      <c r="M10" s="68" t="n">
        <f aca="false">M9</f>
        <v>23906.25</v>
      </c>
      <c r="N10" s="68" t="n">
        <f aca="false">N9</f>
        <v>23906.25</v>
      </c>
      <c r="O10" s="68" t="n">
        <f aca="false">O9</f>
        <v>23906.25</v>
      </c>
      <c r="P10" s="68" t="n">
        <f aca="false">P9</f>
        <v>23906.25</v>
      </c>
      <c r="Q10" s="68" t="n">
        <f aca="false">Q9</f>
        <v>23906.25</v>
      </c>
      <c r="R10" s="68" t="n">
        <f aca="false">R9</f>
        <v>0</v>
      </c>
      <c r="S10" s="68" t="n">
        <f aca="false">S9</f>
        <v>0</v>
      </c>
      <c r="T10" s="68" t="n">
        <f aca="false">T9</f>
        <v>0</v>
      </c>
      <c r="U10" s="68" t="n">
        <f aca="false">U9</f>
        <v>0</v>
      </c>
      <c r="V10" s="68" t="n">
        <f aca="false">V9</f>
        <v>0</v>
      </c>
      <c r="W10" s="68" t="n">
        <f aca="false">W9</f>
        <v>57375</v>
      </c>
      <c r="X10" s="68" t="n">
        <f aca="false">X9</f>
        <v>0</v>
      </c>
      <c r="Y10" s="68" t="n">
        <f aca="false">Y9</f>
        <v>0</v>
      </c>
      <c r="Z10" s="68" t="n">
        <f aca="false">Z9</f>
        <v>57375</v>
      </c>
      <c r="AA10" s="68" t="n">
        <f aca="false">AA9</f>
        <v>0</v>
      </c>
      <c r="AB10" s="68" t="n">
        <f aca="false">AB9</f>
        <v>0</v>
      </c>
      <c r="AC10" s="68" t="n">
        <f aca="false">AC9</f>
        <v>57375</v>
      </c>
      <c r="AD10" s="68" t="n">
        <f aca="false">AD9</f>
        <v>0</v>
      </c>
      <c r="AE10" s="68" t="n">
        <f aca="false">AE9</f>
        <v>0</v>
      </c>
      <c r="AF10" s="68" t="n">
        <f aca="false">AF9</f>
        <v>0</v>
      </c>
      <c r="AG10" s="68" t="n">
        <f aca="false">AG9</f>
        <v>0</v>
      </c>
      <c r="AH10" s="68" t="n">
        <f aca="false">AH9</f>
        <v>0</v>
      </c>
      <c r="AI10" s="68" t="n">
        <f aca="false">AI9</f>
        <v>0</v>
      </c>
      <c r="AJ10" s="68" t="n">
        <f aca="false">AJ9</f>
        <v>0</v>
      </c>
      <c r="AK10" s="68" t="n">
        <f aca="false">AK9</f>
        <v>0</v>
      </c>
      <c r="AL10" s="68" t="n">
        <f aca="false">AL9</f>
        <v>0</v>
      </c>
      <c r="AM10" s="68" t="n">
        <f aca="false">AM9</f>
        <v>0</v>
      </c>
      <c r="AN10" s="68" t="n">
        <f aca="false">AN9</f>
        <v>0</v>
      </c>
      <c r="AO10" s="68" t="n">
        <f aca="false">AO9</f>
        <v>0</v>
      </c>
      <c r="AP10" s="68" t="n">
        <f aca="false">AP9</f>
        <v>0</v>
      </c>
      <c r="AQ10" s="68" t="n">
        <f aca="false">AQ9</f>
        <v>0</v>
      </c>
      <c r="AR10" s="68" t="n">
        <f aca="false">AR9</f>
        <v>0</v>
      </c>
      <c r="AS10" s="68" t="n">
        <f aca="false">AS9</f>
        <v>0</v>
      </c>
      <c r="AT10" s="68" t="n">
        <f aca="false">AT9</f>
        <v>0</v>
      </c>
      <c r="AU10" s="68" t="n">
        <f aca="false">AU9</f>
        <v>0</v>
      </c>
      <c r="AV10" s="68" t="n">
        <f aca="false">AV9</f>
        <v>0</v>
      </c>
      <c r="AW10" s="68" t="n">
        <f aca="false">AW9</f>
        <v>0</v>
      </c>
      <c r="AX10" s="68" t="n">
        <f aca="false">AX9</f>
        <v>0</v>
      </c>
      <c r="AY10" s="68" t="n">
        <f aca="false">AY9</f>
        <v>0</v>
      </c>
      <c r="AZ10" s="68" t="n">
        <f aca="false">AZ9</f>
        <v>0</v>
      </c>
      <c r="BA10" s="68" t="n">
        <f aca="false">BA9</f>
        <v>0</v>
      </c>
      <c r="BB10" s="68" t="n">
        <f aca="false">BB9</f>
        <v>0</v>
      </c>
      <c r="BC10" s="68" t="n">
        <f aca="false">BC9</f>
        <v>0</v>
      </c>
      <c r="BD10" s="68" t="n">
        <f aca="false">BD9</f>
        <v>0</v>
      </c>
      <c r="BE10" s="68" t="n">
        <f aca="false">BE9</f>
        <v>0</v>
      </c>
      <c r="BF10" s="68" t="n">
        <f aca="false">BF9</f>
        <v>0</v>
      </c>
      <c r="BG10" s="68" t="n">
        <f aca="false">BG9</f>
        <v>0</v>
      </c>
      <c r="BH10" s="68" t="n">
        <f aca="false">BH9</f>
        <v>0</v>
      </c>
      <c r="BI10" s="68" t="n">
        <f aca="false">BI9</f>
        <v>0</v>
      </c>
      <c r="BJ10" s="68" t="n">
        <f aca="false">BJ9</f>
        <v>0</v>
      </c>
      <c r="BK10" s="68" t="n">
        <f aca="false">BK9</f>
        <v>0</v>
      </c>
      <c r="BL10" s="68" t="n">
        <f aca="false">BL9</f>
        <v>0</v>
      </c>
      <c r="BM10" s="68" t="n">
        <f aca="false">BM9</f>
        <v>0</v>
      </c>
      <c r="BN10" s="68" t="n">
        <f aca="false">BN9</f>
        <v>0</v>
      </c>
      <c r="BO10" s="68" t="n">
        <f aca="false">BO9</f>
        <v>0</v>
      </c>
      <c r="BP10" s="68" t="n">
        <f aca="false">BP9</f>
        <v>0</v>
      </c>
      <c r="BQ10" s="68" t="n">
        <f aca="false">BQ9</f>
        <v>0</v>
      </c>
      <c r="BR10" s="68" t="n">
        <f aca="false">BR9</f>
        <v>0</v>
      </c>
      <c r="BS10" s="68" t="n">
        <f aca="false">BS9</f>
        <v>0</v>
      </c>
      <c r="BT10" s="68" t="n">
        <f aca="false">BT9</f>
        <v>0</v>
      </c>
      <c r="BU10" s="68" t="n">
        <f aca="false">BU9</f>
        <v>0</v>
      </c>
      <c r="BV10" s="68" t="n">
        <f aca="false">BV9</f>
        <v>0</v>
      </c>
      <c r="BW10" s="68" t="n">
        <f aca="false">BW9</f>
        <v>0</v>
      </c>
      <c r="BX10" s="68" t="n">
        <f aca="false">BX9</f>
        <v>0</v>
      </c>
      <c r="BY10" s="68" t="n">
        <f aca="false">BY9</f>
        <v>0</v>
      </c>
      <c r="BZ10" s="68" t="n">
        <f aca="false">BZ9</f>
        <v>0</v>
      </c>
      <c r="CA10" s="68" t="n">
        <f aca="false">CA9</f>
        <v>0</v>
      </c>
      <c r="CB10" s="68" t="n">
        <f aca="false">CB9</f>
        <v>0</v>
      </c>
      <c r="CC10" s="68" t="n">
        <f aca="false">CC9</f>
        <v>0</v>
      </c>
      <c r="CD10" s="68" t="n">
        <f aca="false">CD9</f>
        <v>0</v>
      </c>
      <c r="CE10" s="68" t="n">
        <f aca="false">CE9</f>
        <v>0</v>
      </c>
      <c r="CF10" s="68" t="n">
        <f aca="false">CF9</f>
        <v>0</v>
      </c>
      <c r="CG10" s="68" t="n">
        <f aca="false">CG9</f>
        <v>0</v>
      </c>
      <c r="CH10" s="68" t="n">
        <f aca="false">CH9</f>
        <v>0</v>
      </c>
    </row>
    <row r="11" customFormat="false" ht="15" hidden="false" customHeight="true" outlineLevel="0" collapsed="false">
      <c r="A11" s="61" t="s">
        <v>212</v>
      </c>
      <c r="B11" s="3"/>
      <c r="C11" s="69" t="n">
        <f aca="false">C10</f>
        <v>23906.25</v>
      </c>
      <c r="D11" s="69" t="n">
        <f aca="false">C11+D10</f>
        <v>47812.5</v>
      </c>
      <c r="E11" s="69" t="n">
        <f aca="false">D11+E10</f>
        <v>71718.75</v>
      </c>
      <c r="F11" s="69" t="n">
        <f aca="false">E11+F10</f>
        <v>95625</v>
      </c>
      <c r="G11" s="69" t="n">
        <f aca="false">F11+G10</f>
        <v>119531.25</v>
      </c>
      <c r="H11" s="69" t="n">
        <f aca="false">G11+H10</f>
        <v>143437.5</v>
      </c>
      <c r="I11" s="69" t="n">
        <f aca="false">H11+I10</f>
        <v>167343.75</v>
      </c>
      <c r="J11" s="69" t="n">
        <f aca="false">I11+J10</f>
        <v>191250</v>
      </c>
      <c r="K11" s="69" t="n">
        <f aca="false">J11+K10</f>
        <v>215156.25</v>
      </c>
      <c r="L11" s="69" t="n">
        <f aca="false">K11+L10</f>
        <v>239062.5</v>
      </c>
      <c r="M11" s="69" t="n">
        <f aca="false">L11+M10</f>
        <v>262968.75</v>
      </c>
      <c r="N11" s="69" t="n">
        <f aca="false">M11+N10</f>
        <v>286875</v>
      </c>
      <c r="O11" s="69" t="n">
        <f aca="false">N11+O10</f>
        <v>310781.25</v>
      </c>
      <c r="P11" s="69" t="n">
        <f aca="false">O11+P10</f>
        <v>334687.5</v>
      </c>
      <c r="Q11" s="69" t="n">
        <f aca="false">P11+Q10</f>
        <v>358593.75</v>
      </c>
      <c r="R11" s="69" t="n">
        <f aca="false">Q11+R10</f>
        <v>358593.75</v>
      </c>
      <c r="S11" s="69" t="n">
        <f aca="false">R11+S10</f>
        <v>358593.75</v>
      </c>
      <c r="T11" s="69" t="n">
        <f aca="false">S11+T10</f>
        <v>358593.75</v>
      </c>
      <c r="U11" s="69" t="n">
        <f aca="false">T11+U10</f>
        <v>358593.75</v>
      </c>
      <c r="V11" s="69" t="n">
        <f aca="false">U11+V10</f>
        <v>358593.75</v>
      </c>
      <c r="W11" s="69" t="n">
        <f aca="false">V11+W10</f>
        <v>415968.75</v>
      </c>
      <c r="X11" s="69" t="n">
        <f aca="false">W11+X10</f>
        <v>415968.75</v>
      </c>
      <c r="Y11" s="69" t="n">
        <f aca="false">X11+Y10</f>
        <v>415968.75</v>
      </c>
      <c r="Z11" s="69" t="n">
        <f aca="false">Y11+Z10</f>
        <v>473343.75</v>
      </c>
      <c r="AA11" s="69" t="n">
        <f aca="false">Z11+AA10</f>
        <v>473343.75</v>
      </c>
      <c r="AB11" s="69" t="n">
        <f aca="false">AA11+AB10</f>
        <v>473343.75</v>
      </c>
      <c r="AC11" s="69" t="n">
        <f aca="false">AB11+AC10</f>
        <v>530718.75</v>
      </c>
      <c r="AD11" s="69" t="n">
        <f aca="false">AC11+AD10</f>
        <v>530718.75</v>
      </c>
      <c r="AE11" s="69" t="n">
        <f aca="false">AD11+AE10</f>
        <v>530718.75</v>
      </c>
      <c r="AF11" s="69" t="n">
        <f aca="false">AE11+AF10</f>
        <v>530718.75</v>
      </c>
      <c r="AG11" s="69" t="n">
        <f aca="false">AF11+AG10</f>
        <v>530718.75</v>
      </c>
      <c r="AH11" s="69" t="n">
        <f aca="false">AG11+AH10</f>
        <v>530718.75</v>
      </c>
      <c r="AI11" s="69" t="n">
        <f aca="false">AH11+AI10</f>
        <v>530718.75</v>
      </c>
      <c r="AJ11" s="69" t="n">
        <f aca="false">AI11+AJ10</f>
        <v>530718.75</v>
      </c>
      <c r="AK11" s="69" t="n">
        <f aca="false">AJ11+AK10</f>
        <v>530718.75</v>
      </c>
      <c r="AL11" s="69" t="n">
        <f aca="false">AK11+AL10</f>
        <v>530718.75</v>
      </c>
      <c r="AM11" s="69" t="n">
        <f aca="false">AL11+AM10</f>
        <v>530718.75</v>
      </c>
      <c r="AN11" s="69" t="n">
        <f aca="false">AM11+AN10</f>
        <v>530718.75</v>
      </c>
      <c r="AO11" s="69" t="n">
        <f aca="false">AN11+AO10</f>
        <v>530718.75</v>
      </c>
      <c r="AP11" s="69" t="n">
        <f aca="false">AO11+AP10</f>
        <v>530718.75</v>
      </c>
      <c r="AQ11" s="69" t="n">
        <f aca="false">AP11+AQ10</f>
        <v>530718.75</v>
      </c>
      <c r="AR11" s="69" t="n">
        <f aca="false">AQ11+AR10</f>
        <v>530718.75</v>
      </c>
      <c r="AS11" s="69" t="n">
        <f aca="false">AR11+AS10</f>
        <v>530718.75</v>
      </c>
      <c r="AT11" s="69" t="n">
        <f aca="false">AS11+AT10</f>
        <v>530718.75</v>
      </c>
      <c r="AU11" s="69" t="n">
        <f aca="false">AT11+AU10</f>
        <v>530718.75</v>
      </c>
      <c r="AV11" s="69" t="n">
        <f aca="false">AU11+AV10</f>
        <v>530718.75</v>
      </c>
      <c r="AW11" s="69" t="n">
        <f aca="false">AV11+AW10</f>
        <v>530718.75</v>
      </c>
      <c r="AX11" s="69" t="n">
        <f aca="false">AW11+AX10</f>
        <v>530718.75</v>
      </c>
      <c r="AY11" s="69" t="n">
        <f aca="false">AX11+AY10</f>
        <v>530718.75</v>
      </c>
      <c r="AZ11" s="69" t="n">
        <f aca="false">AY11+AZ10</f>
        <v>530718.75</v>
      </c>
      <c r="BA11" s="69" t="n">
        <f aca="false">AZ11+BA10</f>
        <v>530718.75</v>
      </c>
      <c r="BB11" s="69" t="n">
        <f aca="false">BA11+BB10</f>
        <v>530718.75</v>
      </c>
      <c r="BC11" s="69" t="n">
        <f aca="false">BB11+BC10</f>
        <v>530718.75</v>
      </c>
      <c r="BD11" s="69" t="n">
        <f aca="false">BC11+BD10</f>
        <v>530718.75</v>
      </c>
      <c r="BE11" s="69" t="n">
        <f aca="false">BD11+BE10</f>
        <v>530718.75</v>
      </c>
      <c r="BF11" s="69" t="n">
        <f aca="false">BE11+BF10</f>
        <v>530718.75</v>
      </c>
      <c r="BG11" s="69" t="n">
        <f aca="false">BF11+BG10</f>
        <v>530718.75</v>
      </c>
      <c r="BH11" s="69" t="n">
        <f aca="false">BG11+BH10</f>
        <v>530718.75</v>
      </c>
      <c r="BI11" s="69" t="n">
        <f aca="false">BH11+BI10</f>
        <v>530718.75</v>
      </c>
      <c r="BJ11" s="69" t="n">
        <f aca="false">BI11+BJ10</f>
        <v>530718.75</v>
      </c>
      <c r="BK11" s="69" t="n">
        <f aca="false">BJ11+BK10</f>
        <v>530718.75</v>
      </c>
      <c r="BL11" s="69" t="n">
        <f aca="false">BK11+BL10</f>
        <v>530718.75</v>
      </c>
      <c r="BM11" s="69" t="n">
        <f aca="false">BL11+BM10</f>
        <v>530718.75</v>
      </c>
      <c r="BN11" s="69" t="n">
        <f aca="false">BM11+BN10</f>
        <v>530718.75</v>
      </c>
      <c r="BO11" s="69" t="n">
        <f aca="false">BN11+BO10</f>
        <v>530718.75</v>
      </c>
      <c r="BP11" s="69" t="n">
        <f aca="false">BO11+BP10</f>
        <v>530718.75</v>
      </c>
      <c r="BQ11" s="69" t="n">
        <f aca="false">BP11+BQ10</f>
        <v>530718.75</v>
      </c>
      <c r="BR11" s="69" t="n">
        <f aca="false">BQ11+BR10</f>
        <v>530718.75</v>
      </c>
      <c r="BS11" s="69" t="n">
        <f aca="false">BR11+BS10</f>
        <v>530718.75</v>
      </c>
      <c r="BT11" s="69" t="n">
        <f aca="false">BS11+BT10</f>
        <v>530718.75</v>
      </c>
      <c r="BU11" s="69" t="n">
        <f aca="false">BT11+BU10</f>
        <v>530718.75</v>
      </c>
      <c r="BV11" s="69" t="n">
        <f aca="false">BU11+BV10</f>
        <v>530718.75</v>
      </c>
      <c r="BW11" s="69" t="n">
        <f aca="false">BV11+BW10</f>
        <v>530718.75</v>
      </c>
      <c r="BX11" s="69" t="n">
        <f aca="false">BW11+BX10</f>
        <v>530718.75</v>
      </c>
      <c r="BY11" s="69" t="n">
        <f aca="false">BX11+BY10</f>
        <v>530718.75</v>
      </c>
      <c r="BZ11" s="69" t="n">
        <f aca="false">BY11+BZ10</f>
        <v>530718.75</v>
      </c>
      <c r="CA11" s="69" t="n">
        <f aca="false">BZ11+CA10</f>
        <v>530718.75</v>
      </c>
      <c r="CB11" s="69" t="n">
        <f aca="false">CA11+CB10</f>
        <v>530718.75</v>
      </c>
      <c r="CC11" s="69" t="n">
        <f aca="false">CB11+CC10</f>
        <v>530718.75</v>
      </c>
      <c r="CD11" s="69" t="n">
        <f aca="false">CC11+CD10</f>
        <v>530718.75</v>
      </c>
      <c r="CE11" s="69" t="n">
        <f aca="false">CD11+CE10</f>
        <v>530718.75</v>
      </c>
      <c r="CF11" s="69" t="n">
        <f aca="false">CE11+CF10</f>
        <v>530718.75</v>
      </c>
      <c r="CG11" s="69" t="n">
        <f aca="false">CF11+CG10</f>
        <v>530718.75</v>
      </c>
      <c r="CH11" s="69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7" t="n">
        <f aca="false">Model!C54+Model!C55+Model!C56</f>
        <v>0</v>
      </c>
      <c r="D14" s="67" t="n">
        <f aca="false">Model!D54+Model!D55+Model!D56</f>
        <v>0</v>
      </c>
      <c r="E14" s="67" t="n">
        <f aca="false">Model!E54+Model!E55+Model!E56</f>
        <v>0</v>
      </c>
      <c r="F14" s="67" t="n">
        <f aca="false">Model!F54+Model!F55+Model!F56</f>
        <v>0</v>
      </c>
      <c r="G14" s="67" t="n">
        <f aca="false">Model!G54+Model!G55+Model!G56</f>
        <v>266611.58</v>
      </c>
      <c r="H14" s="67" t="n">
        <f aca="false">Model!H54+Model!H55+Model!H56</f>
        <v>12631.58</v>
      </c>
      <c r="I14" s="67" t="n">
        <f aca="false">Model!I54+Model!I55+Model!I56</f>
        <v>12631.58</v>
      </c>
      <c r="J14" s="67" t="n">
        <f aca="false">Model!J54+Model!J55+Model!J56</f>
        <v>12631.58</v>
      </c>
      <c r="K14" s="67" t="n">
        <f aca="false">Model!K54+Model!K55+Model!K56</f>
        <v>12631.58</v>
      </c>
      <c r="L14" s="67" t="n">
        <f aca="false">Model!L54+Model!L55+Model!L56</f>
        <v>12631.58</v>
      </c>
      <c r="M14" s="67" t="n">
        <f aca="false">Model!M54+Model!M55+Model!M56</f>
        <v>12631.58</v>
      </c>
      <c r="N14" s="67" t="n">
        <f aca="false">Model!N54+Model!N55+Model!N56</f>
        <v>12631.58</v>
      </c>
      <c r="O14" s="67" t="n">
        <f aca="false">Model!O54+Model!O55+Model!O56</f>
        <v>12631.58</v>
      </c>
      <c r="P14" s="67" t="n">
        <f aca="false">Model!P54+Model!P55+Model!P56</f>
        <v>12631.58</v>
      </c>
      <c r="Q14" s="67" t="n">
        <f aca="false">Model!Q54+Model!Q55+Model!Q56</f>
        <v>12631.58</v>
      </c>
      <c r="R14" s="67" t="n">
        <f aca="false">Model!R54+Model!R55+Model!R56</f>
        <v>12631.58</v>
      </c>
      <c r="S14" s="67" t="n">
        <f aca="false">Model!S54+Model!S55+Model!S56</f>
        <v>12631.58</v>
      </c>
      <c r="T14" s="67" t="n">
        <f aca="false">Model!T54+Model!T55+Model!T56</f>
        <v>12631.58</v>
      </c>
      <c r="U14" s="67" t="n">
        <f aca="false">Model!U54+Model!U55+Model!U56</f>
        <v>12631.58</v>
      </c>
      <c r="V14" s="67" t="n">
        <f aca="false">Model!V54+Model!V55+Model!V56</f>
        <v>12631.58</v>
      </c>
      <c r="W14" s="67" t="n">
        <f aca="false">Model!W54+Model!W55+Model!W56</f>
        <v>12631.58</v>
      </c>
      <c r="X14" s="67" t="n">
        <f aca="false">Model!X54+Model!X55+Model!X56</f>
        <v>12631.58</v>
      </c>
      <c r="Y14" s="67" t="n">
        <f aca="false">Model!Y54+Model!Y55+Model!Y56</f>
        <v>12631.58</v>
      </c>
      <c r="Z14" s="67" t="n">
        <f aca="false">Model!Z54+Model!Z55+Model!Z56</f>
        <v>0</v>
      </c>
      <c r="AA14" s="67" t="n">
        <f aca="false">Model!AA54+Model!AA55+Model!AA56</f>
        <v>0</v>
      </c>
      <c r="AB14" s="67" t="n">
        <f aca="false">Model!AB54+Model!AB55+Model!AB56</f>
        <v>0</v>
      </c>
      <c r="AC14" s="67" t="n">
        <f aca="false">Model!AC54+Model!AC55+Model!AC56</f>
        <v>0</v>
      </c>
      <c r="AD14" s="67" t="n">
        <f aca="false">Model!AD54+Model!AD55+Model!AD56</f>
        <v>0</v>
      </c>
      <c r="AE14" s="67" t="n">
        <f aca="false">Model!AE54+Model!AE55+Model!AE56</f>
        <v>0</v>
      </c>
      <c r="AF14" s="67" t="n">
        <f aca="false">Model!AF54+Model!AF55+Model!AF56</f>
        <v>0</v>
      </c>
      <c r="AG14" s="67" t="n">
        <f aca="false">Model!AG54+Model!AG55+Model!AG56</f>
        <v>0</v>
      </c>
      <c r="AH14" s="67" t="n">
        <f aca="false">Model!AH54+Model!AH55+Model!AH56</f>
        <v>0</v>
      </c>
      <c r="AI14" s="67" t="n">
        <f aca="false">Model!AI54+Model!AI55+Model!AI56</f>
        <v>0</v>
      </c>
      <c r="AJ14" s="67" t="n">
        <f aca="false">Model!AJ54+Model!AJ55+Model!AJ56</f>
        <v>0</v>
      </c>
      <c r="AK14" s="67" t="n">
        <f aca="false">Model!AK54+Model!AK55+Model!AK56</f>
        <v>0</v>
      </c>
      <c r="AL14" s="67" t="n">
        <f aca="false">Model!AL54+Model!AL55+Model!AL56</f>
        <v>0</v>
      </c>
      <c r="AM14" s="67" t="n">
        <f aca="false">Model!AM54+Model!AM55+Model!AM56</f>
        <v>0</v>
      </c>
      <c r="AN14" s="67" t="n">
        <f aca="false">Model!AN54+Model!AN55+Model!AN56</f>
        <v>0</v>
      </c>
      <c r="AO14" s="67" t="n">
        <f aca="false">Model!AO54+Model!AO55+Model!AO56</f>
        <v>0</v>
      </c>
      <c r="AP14" s="67" t="n">
        <f aca="false">Model!AP54+Model!AP55+Model!AP56</f>
        <v>0</v>
      </c>
      <c r="AQ14" s="67" t="n">
        <f aca="false">Model!AQ54+Model!AQ55+Model!AQ56</f>
        <v>0</v>
      </c>
      <c r="AR14" s="67" t="n">
        <f aca="false">Model!AR54+Model!AR55+Model!AR56</f>
        <v>0</v>
      </c>
      <c r="AS14" s="67" t="n">
        <f aca="false">Model!AS54+Model!AS55+Model!AS56</f>
        <v>0</v>
      </c>
      <c r="AT14" s="67" t="n">
        <f aca="false">Model!AT54+Model!AT55+Model!AT56</f>
        <v>0</v>
      </c>
      <c r="AU14" s="67" t="n">
        <f aca="false">Model!AU54+Model!AU55+Model!AU56</f>
        <v>0</v>
      </c>
      <c r="AV14" s="67" t="n">
        <f aca="false">Model!AV54+Model!AV55+Model!AV56</f>
        <v>0</v>
      </c>
      <c r="AW14" s="67" t="n">
        <f aca="false">Model!AW54+Model!AW55+Model!AW56</f>
        <v>0</v>
      </c>
      <c r="AX14" s="67" t="n">
        <f aca="false">Model!AX54+Model!AX55+Model!AX56</f>
        <v>0</v>
      </c>
      <c r="AY14" s="67" t="n">
        <f aca="false">Model!AY54+Model!AY55+Model!AY56</f>
        <v>0</v>
      </c>
      <c r="AZ14" s="67" t="n">
        <f aca="false">Model!AZ54+Model!AZ55+Model!AZ56</f>
        <v>0</v>
      </c>
      <c r="BA14" s="67" t="n">
        <f aca="false">Model!BA54+Model!BA55+Model!BA56</f>
        <v>0</v>
      </c>
      <c r="BB14" s="67" t="n">
        <f aca="false">Model!BB54+Model!BB55+Model!BB56</f>
        <v>0</v>
      </c>
      <c r="BC14" s="67" t="n">
        <f aca="false">Model!BC54+Model!BC55+Model!BC56</f>
        <v>0</v>
      </c>
      <c r="BD14" s="67" t="n">
        <f aca="false">Model!BD54+Model!BD55+Model!BD56</f>
        <v>0</v>
      </c>
      <c r="BE14" s="67" t="n">
        <f aca="false">Model!BE54+Model!BE55+Model!BE56</f>
        <v>0</v>
      </c>
      <c r="BF14" s="67" t="n">
        <f aca="false">Model!BF54+Model!BF55+Model!BF56</f>
        <v>0</v>
      </c>
      <c r="BG14" s="67" t="n">
        <f aca="false">Model!BG54+Model!BG55+Model!BG56</f>
        <v>0</v>
      </c>
      <c r="BH14" s="67" t="n">
        <f aca="false">Model!BH54+Model!BH55+Model!BH56</f>
        <v>0</v>
      </c>
      <c r="BI14" s="67" t="n">
        <f aca="false">Model!BI54+Model!BI55+Model!BI56</f>
        <v>0</v>
      </c>
      <c r="BJ14" s="67" t="n">
        <f aca="false">Model!BJ54+Model!BJ55+Model!BJ56</f>
        <v>0</v>
      </c>
      <c r="BK14" s="67" t="n">
        <f aca="false">Model!BK54+Model!BK55+Model!BK56</f>
        <v>0</v>
      </c>
      <c r="BL14" s="67" t="n">
        <f aca="false">Model!BL54+Model!BL55+Model!BL56</f>
        <v>0</v>
      </c>
      <c r="BM14" s="67" t="n">
        <f aca="false">Model!BM54+Model!BM55+Model!BM56</f>
        <v>0</v>
      </c>
      <c r="BN14" s="67" t="n">
        <f aca="false">Model!BN54+Model!BN55+Model!BN56</f>
        <v>0</v>
      </c>
      <c r="BO14" s="67" t="n">
        <f aca="false">Model!BO54+Model!BO55+Model!BO56</f>
        <v>0</v>
      </c>
      <c r="BP14" s="67" t="n">
        <f aca="false">Model!BP54+Model!BP55+Model!BP56</f>
        <v>0</v>
      </c>
      <c r="BQ14" s="67" t="n">
        <f aca="false">Model!BQ54+Model!BQ55+Model!BQ56</f>
        <v>0</v>
      </c>
      <c r="BR14" s="67" t="n">
        <f aca="false">Model!BR54+Model!BR55+Model!BR56</f>
        <v>0</v>
      </c>
      <c r="BS14" s="67" t="n">
        <f aca="false">Model!BS54+Model!BS55+Model!BS56</f>
        <v>0</v>
      </c>
      <c r="BT14" s="67" t="n">
        <f aca="false">Model!BT54+Model!BT55+Model!BT56</f>
        <v>0</v>
      </c>
      <c r="BU14" s="67" t="n">
        <f aca="false">Model!BU54+Model!BU55+Model!BU56</f>
        <v>0</v>
      </c>
      <c r="BV14" s="67" t="n">
        <f aca="false">Model!BV54+Model!BV55+Model!BV56</f>
        <v>0</v>
      </c>
      <c r="BW14" s="67" t="n">
        <f aca="false">Model!BW54+Model!BW55+Model!BW56</f>
        <v>0</v>
      </c>
      <c r="BX14" s="67" t="n">
        <f aca="false">Model!BX54+Model!BX55+Model!BX56</f>
        <v>0</v>
      </c>
      <c r="BY14" s="67" t="n">
        <f aca="false">Model!BY54+Model!BY55+Model!BY56</f>
        <v>0</v>
      </c>
      <c r="BZ14" s="67" t="n">
        <f aca="false">Model!BZ54+Model!BZ55+Model!BZ56</f>
        <v>0</v>
      </c>
      <c r="CA14" s="67" t="n">
        <f aca="false">Model!CA54+Model!CA55+Model!CA56</f>
        <v>0</v>
      </c>
      <c r="CB14" s="67" t="n">
        <f aca="false">Model!CB54+Model!CB55+Model!CB56</f>
        <v>0</v>
      </c>
      <c r="CC14" s="67" t="n">
        <f aca="false">Model!CC54+Model!CC55+Model!CC56</f>
        <v>0</v>
      </c>
      <c r="CD14" s="67" t="n">
        <f aca="false">Model!CD54+Model!CD55+Model!CD56</f>
        <v>0</v>
      </c>
      <c r="CE14" s="67" t="n">
        <f aca="false">Model!CE54+Model!CE55+Model!CE56</f>
        <v>0</v>
      </c>
      <c r="CF14" s="67" t="n">
        <f aca="false">Model!CF54+Model!CF55+Model!CF56</f>
        <v>0</v>
      </c>
      <c r="CG14" s="67" t="n">
        <f aca="false">Model!CG54+Model!CG55+Model!CG56</f>
        <v>0</v>
      </c>
      <c r="CH14" s="67" t="n">
        <f aca="false">Model!CH54+Model!CH55+Model!CH56</f>
        <v>0</v>
      </c>
    </row>
    <row r="15" customFormat="false" ht="15" hidden="false" customHeight="true" outlineLevel="0" collapsed="false">
      <c r="A15" s="70" t="s">
        <v>214</v>
      </c>
      <c r="B15" s="3"/>
      <c r="C15" s="71" t="n">
        <v>0</v>
      </c>
      <c r="D15" s="71" t="n">
        <v>0</v>
      </c>
      <c r="E15" s="71" t="n">
        <v>0</v>
      </c>
      <c r="F15" s="71" t="n">
        <v>0</v>
      </c>
      <c r="G15" s="71" t="n">
        <f aca="false">IF(Projects!$G$11="Yes",-155771,0)</f>
        <v>-155771</v>
      </c>
      <c r="H15" s="71" t="n">
        <v>0</v>
      </c>
      <c r="I15" s="71" t="n">
        <v>0</v>
      </c>
      <c r="J15" s="71" t="n">
        <v>0</v>
      </c>
      <c r="K15" s="71" t="n">
        <v>0</v>
      </c>
      <c r="L15" s="71" t="n">
        <v>0</v>
      </c>
      <c r="M15" s="71" t="n">
        <v>0</v>
      </c>
      <c r="N15" s="71" t="n">
        <v>0</v>
      </c>
      <c r="O15" s="71" t="n">
        <v>0</v>
      </c>
      <c r="P15" s="71" t="n">
        <v>0</v>
      </c>
      <c r="Q15" s="71" t="n">
        <v>0</v>
      </c>
      <c r="R15" s="71" t="n">
        <v>0</v>
      </c>
      <c r="S15" s="71" t="n">
        <v>0</v>
      </c>
      <c r="T15" s="71" t="n">
        <v>0</v>
      </c>
      <c r="U15" s="71" t="n">
        <v>0</v>
      </c>
      <c r="V15" s="71" t="n">
        <v>0</v>
      </c>
      <c r="W15" s="71" t="n">
        <v>0</v>
      </c>
      <c r="X15" s="71" t="n">
        <v>0</v>
      </c>
      <c r="Y15" s="71" t="n">
        <v>0</v>
      </c>
      <c r="Z15" s="71" t="n">
        <v>0</v>
      </c>
      <c r="AA15" s="71" t="n">
        <v>0</v>
      </c>
      <c r="AB15" s="71" t="n">
        <v>0</v>
      </c>
      <c r="AC15" s="71" t="n">
        <v>0</v>
      </c>
      <c r="AD15" s="71" t="n">
        <v>0</v>
      </c>
      <c r="AE15" s="71" t="n">
        <v>0</v>
      </c>
      <c r="AF15" s="71" t="n">
        <v>0</v>
      </c>
      <c r="AG15" s="71" t="n">
        <v>0</v>
      </c>
      <c r="AH15" s="71" t="n">
        <v>0</v>
      </c>
      <c r="AI15" s="71" t="n">
        <v>0</v>
      </c>
      <c r="AJ15" s="71" t="n">
        <v>0</v>
      </c>
      <c r="AK15" s="71" t="n">
        <v>0</v>
      </c>
      <c r="AL15" s="71" t="n">
        <v>0</v>
      </c>
      <c r="AM15" s="71" t="n">
        <v>0</v>
      </c>
      <c r="AN15" s="71" t="n">
        <v>0</v>
      </c>
      <c r="AO15" s="71" t="n">
        <v>0</v>
      </c>
      <c r="AP15" s="71" t="n">
        <v>0</v>
      </c>
      <c r="AQ15" s="71" t="n">
        <v>0</v>
      </c>
      <c r="AR15" s="71" t="n">
        <v>0</v>
      </c>
      <c r="AS15" s="71" t="n">
        <v>0</v>
      </c>
      <c r="AT15" s="71" t="n">
        <v>0</v>
      </c>
      <c r="AU15" s="71" t="n">
        <v>0</v>
      </c>
      <c r="AV15" s="71" t="n">
        <v>0</v>
      </c>
      <c r="AW15" s="71" t="n">
        <v>0</v>
      </c>
      <c r="AX15" s="71" t="n">
        <v>0</v>
      </c>
      <c r="AY15" s="71" t="n">
        <v>0</v>
      </c>
      <c r="AZ15" s="71" t="n">
        <v>0</v>
      </c>
      <c r="BA15" s="71" t="n">
        <v>0</v>
      </c>
      <c r="BB15" s="71" t="n">
        <v>0</v>
      </c>
      <c r="BC15" s="71" t="n">
        <v>0</v>
      </c>
      <c r="BD15" s="71" t="n">
        <v>0</v>
      </c>
      <c r="BE15" s="71" t="n">
        <v>0</v>
      </c>
      <c r="BF15" s="71" t="n">
        <v>0</v>
      </c>
      <c r="BG15" s="71" t="n">
        <v>0</v>
      </c>
      <c r="BH15" s="71" t="n">
        <v>0</v>
      </c>
      <c r="BI15" s="71" t="n">
        <v>0</v>
      </c>
      <c r="BJ15" s="71" t="n">
        <v>0</v>
      </c>
      <c r="BK15" s="71" t="n">
        <v>0</v>
      </c>
      <c r="BL15" s="71" t="n">
        <v>0</v>
      </c>
      <c r="BM15" s="71" t="n">
        <v>0</v>
      </c>
      <c r="BN15" s="71" t="n">
        <v>0</v>
      </c>
      <c r="BO15" s="71" t="n">
        <v>0</v>
      </c>
      <c r="BP15" s="71" t="n">
        <v>0</v>
      </c>
      <c r="BQ15" s="71" t="n">
        <v>0</v>
      </c>
      <c r="BR15" s="71" t="n">
        <v>0</v>
      </c>
      <c r="BS15" s="71" t="n">
        <v>0</v>
      </c>
      <c r="BT15" s="71" t="n">
        <v>0</v>
      </c>
      <c r="BU15" s="71" t="n">
        <v>0</v>
      </c>
      <c r="BV15" s="71" t="n">
        <v>0</v>
      </c>
      <c r="BW15" s="71" t="n">
        <v>0</v>
      </c>
      <c r="BX15" s="71" t="n">
        <v>0</v>
      </c>
      <c r="BY15" s="71" t="n">
        <v>0</v>
      </c>
      <c r="BZ15" s="71" t="n">
        <v>0</v>
      </c>
      <c r="CA15" s="71" t="n">
        <v>0</v>
      </c>
      <c r="CB15" s="71" t="n">
        <v>0</v>
      </c>
      <c r="CC15" s="71" t="n">
        <v>0</v>
      </c>
      <c r="CD15" s="71" t="n">
        <v>0</v>
      </c>
      <c r="CE15" s="71" t="n">
        <v>0</v>
      </c>
      <c r="CF15" s="71" t="n">
        <v>0</v>
      </c>
      <c r="CG15" s="71" t="n">
        <v>0</v>
      </c>
      <c r="CH15" s="71" t="n">
        <v>0</v>
      </c>
    </row>
    <row r="16" customFormat="false" ht="15" hidden="false" customHeight="true" outlineLevel="0" collapsed="false">
      <c r="A16" s="30" t="s">
        <v>211</v>
      </c>
      <c r="B16" s="30"/>
      <c r="C16" s="68" t="n">
        <f aca="false">C14+C15</f>
        <v>0</v>
      </c>
      <c r="D16" s="68" t="n">
        <f aca="false">D14+D15</f>
        <v>0</v>
      </c>
      <c r="E16" s="68" t="n">
        <f aca="false">E14+E15</f>
        <v>0</v>
      </c>
      <c r="F16" s="68" t="n">
        <f aca="false">F14+F15</f>
        <v>0</v>
      </c>
      <c r="G16" s="68" t="n">
        <f aca="false">G14+G15</f>
        <v>110840.58</v>
      </c>
      <c r="H16" s="68" t="n">
        <f aca="false">H14+H15</f>
        <v>12631.58</v>
      </c>
      <c r="I16" s="68" t="n">
        <f aca="false">I14+I15</f>
        <v>12631.58</v>
      </c>
      <c r="J16" s="68" t="n">
        <f aca="false">J14+J15</f>
        <v>12631.58</v>
      </c>
      <c r="K16" s="68" t="n">
        <f aca="false">K14+K15</f>
        <v>12631.58</v>
      </c>
      <c r="L16" s="68" t="n">
        <f aca="false">L14+L15</f>
        <v>12631.58</v>
      </c>
      <c r="M16" s="68" t="n">
        <f aca="false">M14+M15</f>
        <v>12631.58</v>
      </c>
      <c r="N16" s="68" t="n">
        <f aca="false">N14+N15</f>
        <v>12631.58</v>
      </c>
      <c r="O16" s="68" t="n">
        <f aca="false">O14+O15</f>
        <v>12631.58</v>
      </c>
      <c r="P16" s="68" t="n">
        <f aca="false">P14+P15</f>
        <v>12631.58</v>
      </c>
      <c r="Q16" s="68" t="n">
        <f aca="false">Q14+Q15</f>
        <v>12631.58</v>
      </c>
      <c r="R16" s="68" t="n">
        <f aca="false">R14+R15</f>
        <v>12631.58</v>
      </c>
      <c r="S16" s="68" t="n">
        <f aca="false">S14+S15</f>
        <v>12631.58</v>
      </c>
      <c r="T16" s="68" t="n">
        <f aca="false">T14+T15</f>
        <v>12631.58</v>
      </c>
      <c r="U16" s="68" t="n">
        <f aca="false">U14+U15</f>
        <v>12631.58</v>
      </c>
      <c r="V16" s="68" t="n">
        <f aca="false">V14+V15</f>
        <v>12631.58</v>
      </c>
      <c r="W16" s="68" t="n">
        <f aca="false">W14+W15</f>
        <v>12631.58</v>
      </c>
      <c r="X16" s="68" t="n">
        <f aca="false">X14+X15</f>
        <v>12631.58</v>
      </c>
      <c r="Y16" s="68" t="n">
        <f aca="false">Y14+Y15</f>
        <v>12631.58</v>
      </c>
      <c r="Z16" s="68" t="n">
        <f aca="false">Z14+Z15</f>
        <v>0</v>
      </c>
      <c r="AA16" s="68" t="n">
        <f aca="false">AA14+AA15</f>
        <v>0</v>
      </c>
      <c r="AB16" s="68" t="n">
        <f aca="false">AB14+AB15</f>
        <v>0</v>
      </c>
      <c r="AC16" s="68" t="n">
        <f aca="false">AC14+AC15</f>
        <v>0</v>
      </c>
      <c r="AD16" s="68" t="n">
        <f aca="false">AD14+AD15</f>
        <v>0</v>
      </c>
      <c r="AE16" s="68" t="n">
        <f aca="false">AE14+AE15</f>
        <v>0</v>
      </c>
      <c r="AF16" s="68" t="n">
        <f aca="false">AF14+AF15</f>
        <v>0</v>
      </c>
      <c r="AG16" s="68" t="n">
        <f aca="false">AG14+AG15</f>
        <v>0</v>
      </c>
      <c r="AH16" s="68" t="n">
        <f aca="false">AH14+AH15</f>
        <v>0</v>
      </c>
      <c r="AI16" s="68" t="n">
        <f aca="false">AI14+AI15</f>
        <v>0</v>
      </c>
      <c r="AJ16" s="68" t="n">
        <f aca="false">AJ14+AJ15</f>
        <v>0</v>
      </c>
      <c r="AK16" s="68" t="n">
        <f aca="false">AK14+AK15</f>
        <v>0</v>
      </c>
      <c r="AL16" s="68" t="n">
        <f aca="false">AL14+AL15</f>
        <v>0</v>
      </c>
      <c r="AM16" s="68" t="n">
        <f aca="false">AM14+AM15</f>
        <v>0</v>
      </c>
      <c r="AN16" s="68" t="n">
        <f aca="false">AN14+AN15</f>
        <v>0</v>
      </c>
      <c r="AO16" s="68" t="n">
        <f aca="false">AO14+AO15</f>
        <v>0</v>
      </c>
      <c r="AP16" s="68" t="n">
        <f aca="false">AP14+AP15</f>
        <v>0</v>
      </c>
      <c r="AQ16" s="68" t="n">
        <f aca="false">AQ14+AQ15</f>
        <v>0</v>
      </c>
      <c r="AR16" s="68" t="n">
        <f aca="false">AR14+AR15</f>
        <v>0</v>
      </c>
      <c r="AS16" s="68" t="n">
        <f aca="false">AS14+AS15</f>
        <v>0</v>
      </c>
      <c r="AT16" s="68" t="n">
        <f aca="false">AT14+AT15</f>
        <v>0</v>
      </c>
      <c r="AU16" s="68" t="n">
        <f aca="false">AU14+AU15</f>
        <v>0</v>
      </c>
      <c r="AV16" s="68" t="n">
        <f aca="false">AV14+AV15</f>
        <v>0</v>
      </c>
      <c r="AW16" s="68" t="n">
        <f aca="false">AW14+AW15</f>
        <v>0</v>
      </c>
      <c r="AX16" s="68" t="n">
        <f aca="false">AX14+AX15</f>
        <v>0</v>
      </c>
      <c r="AY16" s="68" t="n">
        <f aca="false">AY14+AY15</f>
        <v>0</v>
      </c>
      <c r="AZ16" s="68" t="n">
        <f aca="false">AZ14+AZ15</f>
        <v>0</v>
      </c>
      <c r="BA16" s="68" t="n">
        <f aca="false">BA14+BA15</f>
        <v>0</v>
      </c>
      <c r="BB16" s="68" t="n">
        <f aca="false">BB14+BB15</f>
        <v>0</v>
      </c>
      <c r="BC16" s="68" t="n">
        <f aca="false">BC14+BC15</f>
        <v>0</v>
      </c>
      <c r="BD16" s="68" t="n">
        <f aca="false">BD14+BD15</f>
        <v>0</v>
      </c>
      <c r="BE16" s="68" t="n">
        <f aca="false">BE14+BE15</f>
        <v>0</v>
      </c>
      <c r="BF16" s="68" t="n">
        <f aca="false">BF14+BF15</f>
        <v>0</v>
      </c>
      <c r="BG16" s="68" t="n">
        <f aca="false">BG14+BG15</f>
        <v>0</v>
      </c>
      <c r="BH16" s="68" t="n">
        <f aca="false">BH14+BH15</f>
        <v>0</v>
      </c>
      <c r="BI16" s="68" t="n">
        <f aca="false">BI14+BI15</f>
        <v>0</v>
      </c>
      <c r="BJ16" s="68" t="n">
        <f aca="false">BJ14+BJ15</f>
        <v>0</v>
      </c>
      <c r="BK16" s="68" t="n">
        <f aca="false">BK14+BK15</f>
        <v>0</v>
      </c>
      <c r="BL16" s="68" t="n">
        <f aca="false">BL14+BL15</f>
        <v>0</v>
      </c>
      <c r="BM16" s="68" t="n">
        <f aca="false">BM14+BM15</f>
        <v>0</v>
      </c>
      <c r="BN16" s="68" t="n">
        <f aca="false">BN14+BN15</f>
        <v>0</v>
      </c>
      <c r="BO16" s="68" t="n">
        <f aca="false">BO14+BO15</f>
        <v>0</v>
      </c>
      <c r="BP16" s="68" t="n">
        <f aca="false">BP14+BP15</f>
        <v>0</v>
      </c>
      <c r="BQ16" s="68" t="n">
        <f aca="false">BQ14+BQ15</f>
        <v>0</v>
      </c>
      <c r="BR16" s="68" t="n">
        <f aca="false">BR14+BR15</f>
        <v>0</v>
      </c>
      <c r="BS16" s="68" t="n">
        <f aca="false">BS14+BS15</f>
        <v>0</v>
      </c>
      <c r="BT16" s="68" t="n">
        <f aca="false">BT14+BT15</f>
        <v>0</v>
      </c>
      <c r="BU16" s="68" t="n">
        <f aca="false">BU14+BU15</f>
        <v>0</v>
      </c>
      <c r="BV16" s="68" t="n">
        <f aca="false">BV14+BV15</f>
        <v>0</v>
      </c>
      <c r="BW16" s="68" t="n">
        <f aca="false">BW14+BW15</f>
        <v>0</v>
      </c>
      <c r="BX16" s="68" t="n">
        <f aca="false">BX14+BX15</f>
        <v>0</v>
      </c>
      <c r="BY16" s="68" t="n">
        <f aca="false">BY14+BY15</f>
        <v>0</v>
      </c>
      <c r="BZ16" s="68" t="n">
        <f aca="false">BZ14+BZ15</f>
        <v>0</v>
      </c>
      <c r="CA16" s="68" t="n">
        <f aca="false">CA14+CA15</f>
        <v>0</v>
      </c>
      <c r="CB16" s="68" t="n">
        <f aca="false">CB14+CB15</f>
        <v>0</v>
      </c>
      <c r="CC16" s="68" t="n">
        <f aca="false">CC14+CC15</f>
        <v>0</v>
      </c>
      <c r="CD16" s="68" t="n">
        <f aca="false">CD14+CD15</f>
        <v>0</v>
      </c>
      <c r="CE16" s="68" t="n">
        <f aca="false">CE14+CE15</f>
        <v>0</v>
      </c>
      <c r="CF16" s="68" t="n">
        <f aca="false">CF14+CF15</f>
        <v>0</v>
      </c>
      <c r="CG16" s="68" t="n">
        <f aca="false">CG14+CG15</f>
        <v>0</v>
      </c>
      <c r="CH16" s="68" t="n">
        <f aca="false">CH14+CH15</f>
        <v>0</v>
      </c>
    </row>
    <row r="17" customFormat="false" ht="15" hidden="false" customHeight="true" outlineLevel="0" collapsed="false">
      <c r="A17" s="61" t="s">
        <v>212</v>
      </c>
      <c r="B17" s="3"/>
      <c r="C17" s="69" t="n">
        <f aca="false">C16</f>
        <v>0</v>
      </c>
      <c r="D17" s="69" t="n">
        <f aca="false">C17+D16</f>
        <v>0</v>
      </c>
      <c r="E17" s="69" t="n">
        <f aca="false">D17+E16</f>
        <v>0</v>
      </c>
      <c r="F17" s="69" t="n">
        <f aca="false">E17+F16</f>
        <v>0</v>
      </c>
      <c r="G17" s="69" t="n">
        <f aca="false">F17+G16</f>
        <v>110840.58</v>
      </c>
      <c r="H17" s="69" t="n">
        <f aca="false">G17+H16</f>
        <v>123472.16</v>
      </c>
      <c r="I17" s="69" t="n">
        <f aca="false">H17+I16</f>
        <v>136103.74</v>
      </c>
      <c r="J17" s="69" t="n">
        <f aca="false">I17+J16</f>
        <v>148735.32</v>
      </c>
      <c r="K17" s="69" t="n">
        <f aca="false">J17+K16</f>
        <v>161366.9</v>
      </c>
      <c r="L17" s="69" t="n">
        <f aca="false">K17+L16</f>
        <v>173998.48</v>
      </c>
      <c r="M17" s="69" t="n">
        <f aca="false">L17+M16</f>
        <v>186630.06</v>
      </c>
      <c r="N17" s="69" t="n">
        <f aca="false">M17+N16</f>
        <v>199261.64</v>
      </c>
      <c r="O17" s="69" t="n">
        <f aca="false">N17+O16</f>
        <v>211893.22</v>
      </c>
      <c r="P17" s="69" t="n">
        <f aca="false">O17+P16</f>
        <v>224524.8</v>
      </c>
      <c r="Q17" s="69" t="n">
        <f aca="false">P17+Q16</f>
        <v>237156.38</v>
      </c>
      <c r="R17" s="69" t="n">
        <f aca="false">Q17+R16</f>
        <v>249787.96</v>
      </c>
      <c r="S17" s="69" t="n">
        <f aca="false">R17+S16</f>
        <v>262419.54</v>
      </c>
      <c r="T17" s="69" t="n">
        <f aca="false">S17+T16</f>
        <v>275051.12</v>
      </c>
      <c r="U17" s="69" t="n">
        <f aca="false">T17+U16</f>
        <v>287682.7</v>
      </c>
      <c r="V17" s="69" t="n">
        <f aca="false">U17+V16</f>
        <v>300314.28</v>
      </c>
      <c r="W17" s="69" t="n">
        <f aca="false">V17+W16</f>
        <v>312945.86</v>
      </c>
      <c r="X17" s="69" t="n">
        <f aca="false">W17+X16</f>
        <v>325577.44</v>
      </c>
      <c r="Y17" s="69" t="n">
        <f aca="false">X17+Y16</f>
        <v>338209.02</v>
      </c>
      <c r="Z17" s="69" t="n">
        <f aca="false">Y17+Z16</f>
        <v>338209.02</v>
      </c>
      <c r="AA17" s="69" t="n">
        <f aca="false">Z17+AA16</f>
        <v>338209.02</v>
      </c>
      <c r="AB17" s="69" t="n">
        <f aca="false">AA17+AB16</f>
        <v>338209.02</v>
      </c>
      <c r="AC17" s="69" t="n">
        <f aca="false">AB17+AC16</f>
        <v>338209.02</v>
      </c>
      <c r="AD17" s="69" t="n">
        <f aca="false">AC17+AD16</f>
        <v>338209.02</v>
      </c>
      <c r="AE17" s="69" t="n">
        <f aca="false">AD17+AE16</f>
        <v>338209.02</v>
      </c>
      <c r="AF17" s="69" t="n">
        <f aca="false">AE17+AF16</f>
        <v>338209.02</v>
      </c>
      <c r="AG17" s="69" t="n">
        <f aca="false">AF17+AG16</f>
        <v>338209.02</v>
      </c>
      <c r="AH17" s="69" t="n">
        <f aca="false">AG17+AH16</f>
        <v>338209.02</v>
      </c>
      <c r="AI17" s="69" t="n">
        <f aca="false">AH17+AI16</f>
        <v>338209.02</v>
      </c>
      <c r="AJ17" s="69" t="n">
        <f aca="false">AI17+AJ16</f>
        <v>338209.02</v>
      </c>
      <c r="AK17" s="69" t="n">
        <f aca="false">AJ17+AK16</f>
        <v>338209.02</v>
      </c>
      <c r="AL17" s="69" t="n">
        <f aca="false">AK17+AL16</f>
        <v>338209.02</v>
      </c>
      <c r="AM17" s="69" t="n">
        <f aca="false">AL17+AM16</f>
        <v>338209.02</v>
      </c>
      <c r="AN17" s="69" t="n">
        <f aca="false">AM17+AN16</f>
        <v>338209.02</v>
      </c>
      <c r="AO17" s="69" t="n">
        <f aca="false">AN17+AO16</f>
        <v>338209.02</v>
      </c>
      <c r="AP17" s="69" t="n">
        <f aca="false">AO17+AP16</f>
        <v>338209.02</v>
      </c>
      <c r="AQ17" s="69" t="n">
        <f aca="false">AP17+AQ16</f>
        <v>338209.02</v>
      </c>
      <c r="AR17" s="69" t="n">
        <f aca="false">AQ17+AR16</f>
        <v>338209.02</v>
      </c>
      <c r="AS17" s="69" t="n">
        <f aca="false">AR17+AS16</f>
        <v>338209.02</v>
      </c>
      <c r="AT17" s="69" t="n">
        <f aca="false">AS17+AT16</f>
        <v>338209.02</v>
      </c>
      <c r="AU17" s="69" t="n">
        <f aca="false">AT17+AU16</f>
        <v>338209.02</v>
      </c>
      <c r="AV17" s="69" t="n">
        <f aca="false">AU17+AV16</f>
        <v>338209.02</v>
      </c>
      <c r="AW17" s="69" t="n">
        <f aca="false">AV17+AW16</f>
        <v>338209.02</v>
      </c>
      <c r="AX17" s="69" t="n">
        <f aca="false">AW17+AX16</f>
        <v>338209.02</v>
      </c>
      <c r="AY17" s="69" t="n">
        <f aca="false">AX17+AY16</f>
        <v>338209.02</v>
      </c>
      <c r="AZ17" s="69" t="n">
        <f aca="false">AY17+AZ16</f>
        <v>338209.02</v>
      </c>
      <c r="BA17" s="69" t="n">
        <f aca="false">AZ17+BA16</f>
        <v>338209.02</v>
      </c>
      <c r="BB17" s="69" t="n">
        <f aca="false">BA17+BB16</f>
        <v>338209.02</v>
      </c>
      <c r="BC17" s="69" t="n">
        <f aca="false">BB17+BC16</f>
        <v>338209.02</v>
      </c>
      <c r="BD17" s="69" t="n">
        <f aca="false">BC17+BD16</f>
        <v>338209.02</v>
      </c>
      <c r="BE17" s="69" t="n">
        <f aca="false">BD17+BE16</f>
        <v>338209.02</v>
      </c>
      <c r="BF17" s="69" t="n">
        <f aca="false">BE17+BF16</f>
        <v>338209.02</v>
      </c>
      <c r="BG17" s="69" t="n">
        <f aca="false">BF17+BG16</f>
        <v>338209.02</v>
      </c>
      <c r="BH17" s="69" t="n">
        <f aca="false">BG17+BH16</f>
        <v>338209.02</v>
      </c>
      <c r="BI17" s="69" t="n">
        <f aca="false">BH17+BI16</f>
        <v>338209.02</v>
      </c>
      <c r="BJ17" s="69" t="n">
        <f aca="false">BI17+BJ16</f>
        <v>338209.02</v>
      </c>
      <c r="BK17" s="69" t="n">
        <f aca="false">BJ17+BK16</f>
        <v>338209.02</v>
      </c>
      <c r="BL17" s="69" t="n">
        <f aca="false">BK17+BL16</f>
        <v>338209.02</v>
      </c>
      <c r="BM17" s="69" t="n">
        <f aca="false">BL17+BM16</f>
        <v>338209.02</v>
      </c>
      <c r="BN17" s="69" t="n">
        <f aca="false">BM17+BN16</f>
        <v>338209.02</v>
      </c>
      <c r="BO17" s="69" t="n">
        <f aca="false">BN17+BO16</f>
        <v>338209.02</v>
      </c>
      <c r="BP17" s="69" t="n">
        <f aca="false">BO17+BP16</f>
        <v>338209.02</v>
      </c>
      <c r="BQ17" s="69" t="n">
        <f aca="false">BP17+BQ16</f>
        <v>338209.02</v>
      </c>
      <c r="BR17" s="69" t="n">
        <f aca="false">BQ17+BR16</f>
        <v>338209.02</v>
      </c>
      <c r="BS17" s="69" t="n">
        <f aca="false">BR17+BS16</f>
        <v>338209.02</v>
      </c>
      <c r="BT17" s="69" t="n">
        <f aca="false">BS17+BT16</f>
        <v>338209.02</v>
      </c>
      <c r="BU17" s="69" t="n">
        <f aca="false">BT17+BU16</f>
        <v>338209.02</v>
      </c>
      <c r="BV17" s="69" t="n">
        <f aca="false">BU17+BV16</f>
        <v>338209.02</v>
      </c>
      <c r="BW17" s="69" t="n">
        <f aca="false">BV17+BW16</f>
        <v>338209.02</v>
      </c>
      <c r="BX17" s="69" t="n">
        <f aca="false">BW17+BX16</f>
        <v>338209.02</v>
      </c>
      <c r="BY17" s="69" t="n">
        <f aca="false">BX17+BY16</f>
        <v>338209.02</v>
      </c>
      <c r="BZ17" s="69" t="n">
        <f aca="false">BY17+BZ16</f>
        <v>338209.02</v>
      </c>
      <c r="CA17" s="69" t="n">
        <f aca="false">BZ17+CA16</f>
        <v>338209.02</v>
      </c>
      <c r="CB17" s="69" t="n">
        <f aca="false">CA17+CB16</f>
        <v>338209.02</v>
      </c>
      <c r="CC17" s="69" t="n">
        <f aca="false">CB17+CC16</f>
        <v>338209.02</v>
      </c>
      <c r="CD17" s="69" t="n">
        <f aca="false">CC17+CD16</f>
        <v>338209.02</v>
      </c>
      <c r="CE17" s="69" t="n">
        <f aca="false">CD17+CE16</f>
        <v>338209.02</v>
      </c>
      <c r="CF17" s="69" t="n">
        <f aca="false">CE17+CF16</f>
        <v>338209.02</v>
      </c>
      <c r="CG17" s="69" t="n">
        <f aca="false">CF17+CG16</f>
        <v>338209.02</v>
      </c>
      <c r="CH17" s="69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7" t="n">
        <f aca="false">Model!C57+Model!C58+Model!C59</f>
        <v>0</v>
      </c>
      <c r="D20" s="67" t="n">
        <f aca="false">Model!D57+Model!D58+Model!D59</f>
        <v>0</v>
      </c>
      <c r="E20" s="67" t="n">
        <f aca="false">Model!E57+Model!E58+Model!E59</f>
        <v>0</v>
      </c>
      <c r="F20" s="67" t="n">
        <f aca="false">Model!F57+Model!F58+Model!F59</f>
        <v>0</v>
      </c>
      <c r="G20" s="67" t="n">
        <f aca="false">Model!G57+Model!G58+Model!G59</f>
        <v>0</v>
      </c>
      <c r="H20" s="67" t="n">
        <f aca="false">Model!H57+Model!H58+Model!H59</f>
        <v>192797.63</v>
      </c>
      <c r="I20" s="67" t="n">
        <f aca="false">Model!I57+Model!I58+Model!I59</f>
        <v>11052.63</v>
      </c>
      <c r="J20" s="67" t="n">
        <f aca="false">Model!J57+Model!J58+Model!J59</f>
        <v>11052.63</v>
      </c>
      <c r="K20" s="67" t="n">
        <f aca="false">Model!K57+Model!K58+Model!K59</f>
        <v>11052.63</v>
      </c>
      <c r="L20" s="67" t="n">
        <f aca="false">Model!L57+Model!L58+Model!L59</f>
        <v>11052.63</v>
      </c>
      <c r="M20" s="67" t="n">
        <f aca="false">Model!M57+Model!M58+Model!M59</f>
        <v>11052.63</v>
      </c>
      <c r="N20" s="67" t="n">
        <f aca="false">Model!N57+Model!N58+Model!N59</f>
        <v>11052.63</v>
      </c>
      <c r="O20" s="67" t="n">
        <f aca="false">Model!O57+Model!O58+Model!O59</f>
        <v>11052.63</v>
      </c>
      <c r="P20" s="67" t="n">
        <f aca="false">Model!P57+Model!P58+Model!P59</f>
        <v>11052.63</v>
      </c>
      <c r="Q20" s="67" t="n">
        <f aca="false">Model!Q57+Model!Q58+Model!Q59</f>
        <v>11052.63</v>
      </c>
      <c r="R20" s="67" t="n">
        <f aca="false">Model!R57+Model!R58+Model!R59</f>
        <v>11052.63</v>
      </c>
      <c r="S20" s="67" t="n">
        <f aca="false">Model!S57+Model!S58+Model!S59</f>
        <v>11052.63</v>
      </c>
      <c r="T20" s="67" t="n">
        <f aca="false">Model!T57+Model!T58+Model!T59</f>
        <v>11052.63</v>
      </c>
      <c r="U20" s="67" t="n">
        <f aca="false">Model!U57+Model!U58+Model!U59</f>
        <v>11052.63</v>
      </c>
      <c r="V20" s="67" t="n">
        <f aca="false">Model!V57+Model!V58+Model!V59</f>
        <v>11052.63</v>
      </c>
      <c r="W20" s="67" t="n">
        <f aca="false">Model!W57+Model!W58+Model!W59</f>
        <v>11052.63</v>
      </c>
      <c r="X20" s="67" t="n">
        <f aca="false">Model!X57+Model!X58+Model!X59</f>
        <v>11052.63</v>
      </c>
      <c r="Y20" s="67" t="n">
        <f aca="false">Model!Y57+Model!Y58+Model!Y59</f>
        <v>11052.63</v>
      </c>
      <c r="Z20" s="67" t="n">
        <f aca="false">Model!Z57+Model!Z58+Model!Z59</f>
        <v>11052.63</v>
      </c>
      <c r="AA20" s="67" t="n">
        <f aca="false">Model!AA57+Model!AA58+Model!AA59</f>
        <v>0</v>
      </c>
      <c r="AB20" s="67" t="n">
        <f aca="false">Model!AB57+Model!AB58+Model!AB59</f>
        <v>0</v>
      </c>
      <c r="AC20" s="67" t="n">
        <f aca="false">Model!AC57+Model!AC58+Model!AC59</f>
        <v>0</v>
      </c>
      <c r="AD20" s="67" t="n">
        <f aca="false">Model!AD57+Model!AD58+Model!AD59</f>
        <v>0</v>
      </c>
      <c r="AE20" s="67" t="n">
        <f aca="false">Model!AE57+Model!AE58+Model!AE59</f>
        <v>0</v>
      </c>
      <c r="AF20" s="67" t="n">
        <f aca="false">Model!AF57+Model!AF58+Model!AF59</f>
        <v>0</v>
      </c>
      <c r="AG20" s="67" t="n">
        <f aca="false">Model!AG57+Model!AG58+Model!AG59</f>
        <v>0</v>
      </c>
      <c r="AH20" s="67" t="n">
        <f aca="false">Model!AH57+Model!AH58+Model!AH59</f>
        <v>0</v>
      </c>
      <c r="AI20" s="67" t="n">
        <f aca="false">Model!AI57+Model!AI58+Model!AI59</f>
        <v>0</v>
      </c>
      <c r="AJ20" s="67" t="n">
        <f aca="false">Model!AJ57+Model!AJ58+Model!AJ59</f>
        <v>0</v>
      </c>
      <c r="AK20" s="67" t="n">
        <f aca="false">Model!AK57+Model!AK58+Model!AK59</f>
        <v>0</v>
      </c>
      <c r="AL20" s="67" t="n">
        <f aca="false">Model!AL57+Model!AL58+Model!AL59</f>
        <v>0</v>
      </c>
      <c r="AM20" s="67" t="n">
        <f aca="false">Model!AM57+Model!AM58+Model!AM59</f>
        <v>0</v>
      </c>
      <c r="AN20" s="67" t="n">
        <f aca="false">Model!AN57+Model!AN58+Model!AN59</f>
        <v>0</v>
      </c>
      <c r="AO20" s="67" t="n">
        <f aca="false">Model!AO57+Model!AO58+Model!AO59</f>
        <v>0</v>
      </c>
      <c r="AP20" s="67" t="n">
        <f aca="false">Model!AP57+Model!AP58+Model!AP59</f>
        <v>0</v>
      </c>
      <c r="AQ20" s="67" t="n">
        <f aca="false">Model!AQ57+Model!AQ58+Model!AQ59</f>
        <v>0</v>
      </c>
      <c r="AR20" s="67" t="n">
        <f aca="false">Model!AR57+Model!AR58+Model!AR59</f>
        <v>0</v>
      </c>
      <c r="AS20" s="67" t="n">
        <f aca="false">Model!AS57+Model!AS58+Model!AS59</f>
        <v>0</v>
      </c>
      <c r="AT20" s="67" t="n">
        <f aca="false">Model!AT57+Model!AT58+Model!AT59</f>
        <v>0</v>
      </c>
      <c r="AU20" s="67" t="n">
        <f aca="false">Model!AU57+Model!AU58+Model!AU59</f>
        <v>0</v>
      </c>
      <c r="AV20" s="67" t="n">
        <f aca="false">Model!AV57+Model!AV58+Model!AV59</f>
        <v>0</v>
      </c>
      <c r="AW20" s="67" t="n">
        <f aca="false">Model!AW57+Model!AW58+Model!AW59</f>
        <v>0</v>
      </c>
      <c r="AX20" s="67" t="n">
        <f aca="false">Model!AX57+Model!AX58+Model!AX59</f>
        <v>0</v>
      </c>
      <c r="AY20" s="67" t="n">
        <f aca="false">Model!AY57+Model!AY58+Model!AY59</f>
        <v>0</v>
      </c>
      <c r="AZ20" s="67" t="n">
        <f aca="false">Model!AZ57+Model!AZ58+Model!AZ59</f>
        <v>0</v>
      </c>
      <c r="BA20" s="67" t="n">
        <f aca="false">Model!BA57+Model!BA58+Model!BA59</f>
        <v>0</v>
      </c>
      <c r="BB20" s="67" t="n">
        <f aca="false">Model!BB57+Model!BB58+Model!BB59</f>
        <v>0</v>
      </c>
      <c r="BC20" s="67" t="n">
        <f aca="false">Model!BC57+Model!BC58+Model!BC59</f>
        <v>0</v>
      </c>
      <c r="BD20" s="67" t="n">
        <f aca="false">Model!BD57+Model!BD58+Model!BD59</f>
        <v>0</v>
      </c>
      <c r="BE20" s="67" t="n">
        <f aca="false">Model!BE57+Model!BE58+Model!BE59</f>
        <v>0</v>
      </c>
      <c r="BF20" s="67" t="n">
        <f aca="false">Model!BF57+Model!BF58+Model!BF59</f>
        <v>0</v>
      </c>
      <c r="BG20" s="67" t="n">
        <f aca="false">Model!BG57+Model!BG58+Model!BG59</f>
        <v>0</v>
      </c>
      <c r="BH20" s="67" t="n">
        <f aca="false">Model!BH57+Model!BH58+Model!BH59</f>
        <v>0</v>
      </c>
      <c r="BI20" s="67" t="n">
        <f aca="false">Model!BI57+Model!BI58+Model!BI59</f>
        <v>0</v>
      </c>
      <c r="BJ20" s="67" t="n">
        <f aca="false">Model!BJ57+Model!BJ58+Model!BJ59</f>
        <v>0</v>
      </c>
      <c r="BK20" s="67" t="n">
        <f aca="false">Model!BK57+Model!BK58+Model!BK59</f>
        <v>0</v>
      </c>
      <c r="BL20" s="67" t="n">
        <f aca="false">Model!BL57+Model!BL58+Model!BL59</f>
        <v>0</v>
      </c>
      <c r="BM20" s="67" t="n">
        <f aca="false">Model!BM57+Model!BM58+Model!BM59</f>
        <v>0</v>
      </c>
      <c r="BN20" s="67" t="n">
        <f aca="false">Model!BN57+Model!BN58+Model!BN59</f>
        <v>0</v>
      </c>
      <c r="BO20" s="67" t="n">
        <f aca="false">Model!BO57+Model!BO58+Model!BO59</f>
        <v>0</v>
      </c>
      <c r="BP20" s="67" t="n">
        <f aca="false">Model!BP57+Model!BP58+Model!BP59</f>
        <v>0</v>
      </c>
      <c r="BQ20" s="67" t="n">
        <f aca="false">Model!BQ57+Model!BQ58+Model!BQ59</f>
        <v>0</v>
      </c>
      <c r="BR20" s="67" t="n">
        <f aca="false">Model!BR57+Model!BR58+Model!BR59</f>
        <v>0</v>
      </c>
      <c r="BS20" s="67" t="n">
        <f aca="false">Model!BS57+Model!BS58+Model!BS59</f>
        <v>0</v>
      </c>
      <c r="BT20" s="67" t="n">
        <f aca="false">Model!BT57+Model!BT58+Model!BT59</f>
        <v>0</v>
      </c>
      <c r="BU20" s="67" t="n">
        <f aca="false">Model!BU57+Model!BU58+Model!BU59</f>
        <v>0</v>
      </c>
      <c r="BV20" s="67" t="n">
        <f aca="false">Model!BV57+Model!BV58+Model!BV59</f>
        <v>0</v>
      </c>
      <c r="BW20" s="67" t="n">
        <f aca="false">Model!BW57+Model!BW58+Model!BW59</f>
        <v>0</v>
      </c>
      <c r="BX20" s="67" t="n">
        <f aca="false">Model!BX57+Model!BX58+Model!BX59</f>
        <v>0</v>
      </c>
      <c r="BY20" s="67" t="n">
        <f aca="false">Model!BY57+Model!BY58+Model!BY59</f>
        <v>0</v>
      </c>
      <c r="BZ20" s="67" t="n">
        <f aca="false">Model!BZ57+Model!BZ58+Model!BZ59</f>
        <v>0</v>
      </c>
      <c r="CA20" s="67" t="n">
        <f aca="false">Model!CA57+Model!CA58+Model!CA59</f>
        <v>0</v>
      </c>
      <c r="CB20" s="67" t="n">
        <f aca="false">Model!CB57+Model!CB58+Model!CB59</f>
        <v>0</v>
      </c>
      <c r="CC20" s="67" t="n">
        <f aca="false">Model!CC57+Model!CC58+Model!CC59</f>
        <v>0</v>
      </c>
      <c r="CD20" s="67" t="n">
        <f aca="false">Model!CD57+Model!CD58+Model!CD59</f>
        <v>0</v>
      </c>
      <c r="CE20" s="67" t="n">
        <f aca="false">Model!CE57+Model!CE58+Model!CE59</f>
        <v>0</v>
      </c>
      <c r="CF20" s="67" t="n">
        <f aca="false">Model!CF57+Model!CF58+Model!CF59</f>
        <v>0</v>
      </c>
      <c r="CG20" s="67" t="n">
        <f aca="false">Model!CG57+Model!CG58+Model!CG59</f>
        <v>0</v>
      </c>
      <c r="CH20" s="67" t="n">
        <f aca="false">Model!CH57+Model!CH58+Model!CH59</f>
        <v>0</v>
      </c>
    </row>
    <row r="21" customFormat="false" ht="15" hidden="false" customHeight="true" outlineLevel="0" collapsed="false">
      <c r="A21" s="70" t="s">
        <v>214</v>
      </c>
      <c r="B21" s="3"/>
      <c r="C21" s="71" t="n">
        <v>0</v>
      </c>
      <c r="D21" s="71" t="n">
        <v>0</v>
      </c>
      <c r="E21" s="71" t="n">
        <v>0</v>
      </c>
      <c r="F21" s="71" t="n">
        <v>0</v>
      </c>
      <c r="G21" s="71" t="n">
        <v>0</v>
      </c>
      <c r="H21" s="71" t="n">
        <f aca="false">IF(Projects!$G$12="Yes",-135452,0)</f>
        <v>-135452</v>
      </c>
      <c r="I21" s="71" t="n">
        <v>0</v>
      </c>
      <c r="J21" s="71" t="n">
        <v>0</v>
      </c>
      <c r="K21" s="71" t="n">
        <v>0</v>
      </c>
      <c r="L21" s="71" t="n">
        <v>0</v>
      </c>
      <c r="M21" s="71" t="n">
        <v>0</v>
      </c>
      <c r="N21" s="71" t="n">
        <v>0</v>
      </c>
      <c r="O21" s="71" t="n">
        <v>0</v>
      </c>
      <c r="P21" s="71" t="n">
        <v>0</v>
      </c>
      <c r="Q21" s="71" t="n">
        <v>0</v>
      </c>
      <c r="R21" s="71" t="n">
        <v>0</v>
      </c>
      <c r="S21" s="71" t="n">
        <v>0</v>
      </c>
      <c r="T21" s="71" t="n">
        <v>0</v>
      </c>
      <c r="U21" s="71" t="n">
        <v>0</v>
      </c>
      <c r="V21" s="71" t="n">
        <v>0</v>
      </c>
      <c r="W21" s="71" t="n">
        <v>0</v>
      </c>
      <c r="X21" s="71" t="n">
        <v>0</v>
      </c>
      <c r="Y21" s="71" t="n">
        <v>0</v>
      </c>
      <c r="Z21" s="71" t="n">
        <v>0</v>
      </c>
      <c r="AA21" s="71" t="n">
        <v>0</v>
      </c>
      <c r="AB21" s="71" t="n">
        <v>0</v>
      </c>
      <c r="AC21" s="71" t="n">
        <v>0</v>
      </c>
      <c r="AD21" s="71" t="n">
        <v>0</v>
      </c>
      <c r="AE21" s="71" t="n">
        <v>0</v>
      </c>
      <c r="AF21" s="71" t="n">
        <v>0</v>
      </c>
      <c r="AG21" s="71" t="n">
        <v>0</v>
      </c>
      <c r="AH21" s="71" t="n">
        <v>0</v>
      </c>
      <c r="AI21" s="71" t="n">
        <v>0</v>
      </c>
      <c r="AJ21" s="71" t="n">
        <v>0</v>
      </c>
      <c r="AK21" s="71" t="n">
        <v>0</v>
      </c>
      <c r="AL21" s="71" t="n">
        <v>0</v>
      </c>
      <c r="AM21" s="71" t="n">
        <v>0</v>
      </c>
      <c r="AN21" s="71" t="n">
        <v>0</v>
      </c>
      <c r="AO21" s="71" t="n">
        <v>0</v>
      </c>
      <c r="AP21" s="71" t="n">
        <v>0</v>
      </c>
      <c r="AQ21" s="71" t="n">
        <v>0</v>
      </c>
      <c r="AR21" s="71" t="n">
        <v>0</v>
      </c>
      <c r="AS21" s="71" t="n">
        <v>0</v>
      </c>
      <c r="AT21" s="71" t="n">
        <v>0</v>
      </c>
      <c r="AU21" s="71" t="n">
        <v>0</v>
      </c>
      <c r="AV21" s="71" t="n">
        <v>0</v>
      </c>
      <c r="AW21" s="71" t="n">
        <v>0</v>
      </c>
      <c r="AX21" s="71" t="n">
        <v>0</v>
      </c>
      <c r="AY21" s="71" t="n">
        <v>0</v>
      </c>
      <c r="AZ21" s="71" t="n">
        <v>0</v>
      </c>
      <c r="BA21" s="71" t="n">
        <v>0</v>
      </c>
      <c r="BB21" s="71" t="n">
        <v>0</v>
      </c>
      <c r="BC21" s="71" t="n">
        <v>0</v>
      </c>
      <c r="BD21" s="71" t="n">
        <v>0</v>
      </c>
      <c r="BE21" s="71" t="n">
        <v>0</v>
      </c>
      <c r="BF21" s="71" t="n">
        <v>0</v>
      </c>
      <c r="BG21" s="71" t="n">
        <v>0</v>
      </c>
      <c r="BH21" s="71" t="n">
        <v>0</v>
      </c>
      <c r="BI21" s="71" t="n">
        <v>0</v>
      </c>
      <c r="BJ21" s="71" t="n">
        <v>0</v>
      </c>
      <c r="BK21" s="71" t="n">
        <v>0</v>
      </c>
      <c r="BL21" s="71" t="n">
        <v>0</v>
      </c>
      <c r="BM21" s="71" t="n">
        <v>0</v>
      </c>
      <c r="BN21" s="71" t="n">
        <v>0</v>
      </c>
      <c r="BO21" s="71" t="n">
        <v>0</v>
      </c>
      <c r="BP21" s="71" t="n">
        <v>0</v>
      </c>
      <c r="BQ21" s="71" t="n">
        <v>0</v>
      </c>
      <c r="BR21" s="71" t="n">
        <v>0</v>
      </c>
      <c r="BS21" s="71" t="n">
        <v>0</v>
      </c>
      <c r="BT21" s="71" t="n">
        <v>0</v>
      </c>
      <c r="BU21" s="71" t="n">
        <v>0</v>
      </c>
      <c r="BV21" s="71" t="n">
        <v>0</v>
      </c>
      <c r="BW21" s="71" t="n">
        <v>0</v>
      </c>
      <c r="BX21" s="71" t="n">
        <v>0</v>
      </c>
      <c r="BY21" s="71" t="n">
        <v>0</v>
      </c>
      <c r="BZ21" s="71" t="n">
        <v>0</v>
      </c>
      <c r="CA21" s="71" t="n">
        <v>0</v>
      </c>
      <c r="CB21" s="71" t="n">
        <v>0</v>
      </c>
      <c r="CC21" s="71" t="n">
        <v>0</v>
      </c>
      <c r="CD21" s="71" t="n">
        <v>0</v>
      </c>
      <c r="CE21" s="71" t="n">
        <v>0</v>
      </c>
      <c r="CF21" s="71" t="n">
        <v>0</v>
      </c>
      <c r="CG21" s="71" t="n">
        <v>0</v>
      </c>
      <c r="CH21" s="71" t="n">
        <v>0</v>
      </c>
    </row>
    <row r="22" customFormat="false" ht="15" hidden="false" customHeight="true" outlineLevel="0" collapsed="false">
      <c r="A22" s="30" t="s">
        <v>211</v>
      </c>
      <c r="B22" s="30"/>
      <c r="C22" s="68" t="n">
        <f aca="false">C20+C21</f>
        <v>0</v>
      </c>
      <c r="D22" s="68" t="n">
        <f aca="false">D20+D21</f>
        <v>0</v>
      </c>
      <c r="E22" s="68" t="n">
        <f aca="false">E20+E21</f>
        <v>0</v>
      </c>
      <c r="F22" s="68" t="n">
        <f aca="false">F20+F21</f>
        <v>0</v>
      </c>
      <c r="G22" s="68" t="n">
        <f aca="false">G20+G21</f>
        <v>0</v>
      </c>
      <c r="H22" s="68" t="n">
        <f aca="false">H20+H21</f>
        <v>57345.63</v>
      </c>
      <c r="I22" s="68" t="n">
        <f aca="false">I20+I21</f>
        <v>11052.63</v>
      </c>
      <c r="J22" s="68" t="n">
        <f aca="false">J20+J21</f>
        <v>11052.63</v>
      </c>
      <c r="K22" s="68" t="n">
        <f aca="false">K20+K21</f>
        <v>11052.63</v>
      </c>
      <c r="L22" s="68" t="n">
        <f aca="false">L20+L21</f>
        <v>11052.63</v>
      </c>
      <c r="M22" s="68" t="n">
        <f aca="false">M20+M21</f>
        <v>11052.63</v>
      </c>
      <c r="N22" s="68" t="n">
        <f aca="false">N20+N21</f>
        <v>11052.63</v>
      </c>
      <c r="O22" s="68" t="n">
        <f aca="false">O20+O21</f>
        <v>11052.63</v>
      </c>
      <c r="P22" s="68" t="n">
        <f aca="false">P20+P21</f>
        <v>11052.63</v>
      </c>
      <c r="Q22" s="68" t="n">
        <f aca="false">Q20+Q21</f>
        <v>11052.63</v>
      </c>
      <c r="R22" s="68" t="n">
        <f aca="false">R20+R21</f>
        <v>11052.63</v>
      </c>
      <c r="S22" s="68" t="n">
        <f aca="false">S20+S21</f>
        <v>11052.63</v>
      </c>
      <c r="T22" s="68" t="n">
        <f aca="false">T20+T21</f>
        <v>11052.63</v>
      </c>
      <c r="U22" s="68" t="n">
        <f aca="false">U20+U21</f>
        <v>11052.63</v>
      </c>
      <c r="V22" s="68" t="n">
        <f aca="false">V20+V21</f>
        <v>11052.63</v>
      </c>
      <c r="W22" s="68" t="n">
        <f aca="false">W20+W21</f>
        <v>11052.63</v>
      </c>
      <c r="X22" s="68" t="n">
        <f aca="false">X20+X21</f>
        <v>11052.63</v>
      </c>
      <c r="Y22" s="68" t="n">
        <f aca="false">Y20+Y21</f>
        <v>11052.63</v>
      </c>
      <c r="Z22" s="68" t="n">
        <f aca="false">Z20+Z21</f>
        <v>11052.63</v>
      </c>
      <c r="AA22" s="68" t="n">
        <f aca="false">AA20+AA21</f>
        <v>0</v>
      </c>
      <c r="AB22" s="68" t="n">
        <f aca="false">AB20+AB21</f>
        <v>0</v>
      </c>
      <c r="AC22" s="68" t="n">
        <f aca="false">AC20+AC21</f>
        <v>0</v>
      </c>
      <c r="AD22" s="68" t="n">
        <f aca="false">AD20+AD21</f>
        <v>0</v>
      </c>
      <c r="AE22" s="68" t="n">
        <f aca="false">AE20+AE21</f>
        <v>0</v>
      </c>
      <c r="AF22" s="68" t="n">
        <f aca="false">AF20+AF21</f>
        <v>0</v>
      </c>
      <c r="AG22" s="68" t="n">
        <f aca="false">AG20+AG21</f>
        <v>0</v>
      </c>
      <c r="AH22" s="68" t="n">
        <f aca="false">AH20+AH21</f>
        <v>0</v>
      </c>
      <c r="AI22" s="68" t="n">
        <f aca="false">AI20+AI21</f>
        <v>0</v>
      </c>
      <c r="AJ22" s="68" t="n">
        <f aca="false">AJ20+AJ21</f>
        <v>0</v>
      </c>
      <c r="AK22" s="68" t="n">
        <f aca="false">AK20+AK21</f>
        <v>0</v>
      </c>
      <c r="AL22" s="68" t="n">
        <f aca="false">AL20+AL21</f>
        <v>0</v>
      </c>
      <c r="AM22" s="68" t="n">
        <f aca="false">AM20+AM21</f>
        <v>0</v>
      </c>
      <c r="AN22" s="68" t="n">
        <f aca="false">AN20+AN21</f>
        <v>0</v>
      </c>
      <c r="AO22" s="68" t="n">
        <f aca="false">AO20+AO21</f>
        <v>0</v>
      </c>
      <c r="AP22" s="68" t="n">
        <f aca="false">AP20+AP21</f>
        <v>0</v>
      </c>
      <c r="AQ22" s="68" t="n">
        <f aca="false">AQ20+AQ21</f>
        <v>0</v>
      </c>
      <c r="AR22" s="68" t="n">
        <f aca="false">AR20+AR21</f>
        <v>0</v>
      </c>
      <c r="AS22" s="68" t="n">
        <f aca="false">AS20+AS21</f>
        <v>0</v>
      </c>
      <c r="AT22" s="68" t="n">
        <f aca="false">AT20+AT21</f>
        <v>0</v>
      </c>
      <c r="AU22" s="68" t="n">
        <f aca="false">AU20+AU21</f>
        <v>0</v>
      </c>
      <c r="AV22" s="68" t="n">
        <f aca="false">AV20+AV21</f>
        <v>0</v>
      </c>
      <c r="AW22" s="68" t="n">
        <f aca="false">AW20+AW21</f>
        <v>0</v>
      </c>
      <c r="AX22" s="68" t="n">
        <f aca="false">AX20+AX21</f>
        <v>0</v>
      </c>
      <c r="AY22" s="68" t="n">
        <f aca="false">AY20+AY21</f>
        <v>0</v>
      </c>
      <c r="AZ22" s="68" t="n">
        <f aca="false">AZ20+AZ21</f>
        <v>0</v>
      </c>
      <c r="BA22" s="68" t="n">
        <f aca="false">BA20+BA21</f>
        <v>0</v>
      </c>
      <c r="BB22" s="68" t="n">
        <f aca="false">BB20+BB21</f>
        <v>0</v>
      </c>
      <c r="BC22" s="68" t="n">
        <f aca="false">BC20+BC21</f>
        <v>0</v>
      </c>
      <c r="BD22" s="68" t="n">
        <f aca="false">BD20+BD21</f>
        <v>0</v>
      </c>
      <c r="BE22" s="68" t="n">
        <f aca="false">BE20+BE21</f>
        <v>0</v>
      </c>
      <c r="BF22" s="68" t="n">
        <f aca="false">BF20+BF21</f>
        <v>0</v>
      </c>
      <c r="BG22" s="68" t="n">
        <f aca="false">BG20+BG21</f>
        <v>0</v>
      </c>
      <c r="BH22" s="68" t="n">
        <f aca="false">BH20+BH21</f>
        <v>0</v>
      </c>
      <c r="BI22" s="68" t="n">
        <f aca="false">BI20+BI21</f>
        <v>0</v>
      </c>
      <c r="BJ22" s="68" t="n">
        <f aca="false">BJ20+BJ21</f>
        <v>0</v>
      </c>
      <c r="BK22" s="68" t="n">
        <f aca="false">BK20+BK21</f>
        <v>0</v>
      </c>
      <c r="BL22" s="68" t="n">
        <f aca="false">BL20+BL21</f>
        <v>0</v>
      </c>
      <c r="BM22" s="68" t="n">
        <f aca="false">BM20+BM21</f>
        <v>0</v>
      </c>
      <c r="BN22" s="68" t="n">
        <f aca="false">BN20+BN21</f>
        <v>0</v>
      </c>
      <c r="BO22" s="68" t="n">
        <f aca="false">BO20+BO21</f>
        <v>0</v>
      </c>
      <c r="BP22" s="68" t="n">
        <f aca="false">BP20+BP21</f>
        <v>0</v>
      </c>
      <c r="BQ22" s="68" t="n">
        <f aca="false">BQ20+BQ21</f>
        <v>0</v>
      </c>
      <c r="BR22" s="68" t="n">
        <f aca="false">BR20+BR21</f>
        <v>0</v>
      </c>
      <c r="BS22" s="68" t="n">
        <f aca="false">BS20+BS21</f>
        <v>0</v>
      </c>
      <c r="BT22" s="68" t="n">
        <f aca="false">BT20+BT21</f>
        <v>0</v>
      </c>
      <c r="BU22" s="68" t="n">
        <f aca="false">BU20+BU21</f>
        <v>0</v>
      </c>
      <c r="BV22" s="68" t="n">
        <f aca="false">BV20+BV21</f>
        <v>0</v>
      </c>
      <c r="BW22" s="68" t="n">
        <f aca="false">BW20+BW21</f>
        <v>0</v>
      </c>
      <c r="BX22" s="68" t="n">
        <f aca="false">BX20+BX21</f>
        <v>0</v>
      </c>
      <c r="BY22" s="68" t="n">
        <f aca="false">BY20+BY21</f>
        <v>0</v>
      </c>
      <c r="BZ22" s="68" t="n">
        <f aca="false">BZ20+BZ21</f>
        <v>0</v>
      </c>
      <c r="CA22" s="68" t="n">
        <f aca="false">CA20+CA21</f>
        <v>0</v>
      </c>
      <c r="CB22" s="68" t="n">
        <f aca="false">CB20+CB21</f>
        <v>0</v>
      </c>
      <c r="CC22" s="68" t="n">
        <f aca="false">CC20+CC21</f>
        <v>0</v>
      </c>
      <c r="CD22" s="68" t="n">
        <f aca="false">CD20+CD21</f>
        <v>0</v>
      </c>
      <c r="CE22" s="68" t="n">
        <f aca="false">CE20+CE21</f>
        <v>0</v>
      </c>
      <c r="CF22" s="68" t="n">
        <f aca="false">CF20+CF21</f>
        <v>0</v>
      </c>
      <c r="CG22" s="68" t="n">
        <f aca="false">CG20+CG21</f>
        <v>0</v>
      </c>
      <c r="CH22" s="68" t="n">
        <f aca="false">CH20+CH21</f>
        <v>0</v>
      </c>
    </row>
    <row r="23" customFormat="false" ht="15" hidden="false" customHeight="true" outlineLevel="0" collapsed="false">
      <c r="A23" s="61" t="s">
        <v>212</v>
      </c>
      <c r="B23" s="3"/>
      <c r="C23" s="69" t="n">
        <f aca="false">C22</f>
        <v>0</v>
      </c>
      <c r="D23" s="69" t="n">
        <f aca="false">C23+D22</f>
        <v>0</v>
      </c>
      <c r="E23" s="69" t="n">
        <f aca="false">D23+E22</f>
        <v>0</v>
      </c>
      <c r="F23" s="69" t="n">
        <f aca="false">E23+F22</f>
        <v>0</v>
      </c>
      <c r="G23" s="69" t="n">
        <f aca="false">F23+G22</f>
        <v>0</v>
      </c>
      <c r="H23" s="69" t="n">
        <f aca="false">G23+H22</f>
        <v>57345.63</v>
      </c>
      <c r="I23" s="69" t="n">
        <f aca="false">H23+I22</f>
        <v>68398.26</v>
      </c>
      <c r="J23" s="69" t="n">
        <f aca="false">I23+J22</f>
        <v>79450.89</v>
      </c>
      <c r="K23" s="69" t="n">
        <f aca="false">J23+K22</f>
        <v>90503.52</v>
      </c>
      <c r="L23" s="69" t="n">
        <f aca="false">K23+L22</f>
        <v>101556.15</v>
      </c>
      <c r="M23" s="69" t="n">
        <f aca="false">L23+M22</f>
        <v>112608.78</v>
      </c>
      <c r="N23" s="69" t="n">
        <f aca="false">M23+N22</f>
        <v>123661.41</v>
      </c>
      <c r="O23" s="69" t="n">
        <f aca="false">N23+O22</f>
        <v>134714.04</v>
      </c>
      <c r="P23" s="69" t="n">
        <f aca="false">O23+P22</f>
        <v>145766.67</v>
      </c>
      <c r="Q23" s="69" t="n">
        <f aca="false">P23+Q22</f>
        <v>156819.3</v>
      </c>
      <c r="R23" s="69" t="n">
        <f aca="false">Q23+R22</f>
        <v>167871.93</v>
      </c>
      <c r="S23" s="69" t="n">
        <f aca="false">R23+S22</f>
        <v>178924.56</v>
      </c>
      <c r="T23" s="69" t="n">
        <f aca="false">S23+T22</f>
        <v>189977.19</v>
      </c>
      <c r="U23" s="69" t="n">
        <f aca="false">T23+U22</f>
        <v>201029.82</v>
      </c>
      <c r="V23" s="69" t="n">
        <f aca="false">U23+V22</f>
        <v>212082.45</v>
      </c>
      <c r="W23" s="69" t="n">
        <f aca="false">V23+W22</f>
        <v>223135.08</v>
      </c>
      <c r="X23" s="69" t="n">
        <f aca="false">W23+X22</f>
        <v>234187.71</v>
      </c>
      <c r="Y23" s="69" t="n">
        <f aca="false">X23+Y22</f>
        <v>245240.34</v>
      </c>
      <c r="Z23" s="69" t="n">
        <f aca="false">Y23+Z22</f>
        <v>256292.97</v>
      </c>
      <c r="AA23" s="69" t="n">
        <f aca="false">Z23+AA22</f>
        <v>256292.97</v>
      </c>
      <c r="AB23" s="69" t="n">
        <f aca="false">AA23+AB22</f>
        <v>256292.97</v>
      </c>
      <c r="AC23" s="69" t="n">
        <f aca="false">AB23+AC22</f>
        <v>256292.97</v>
      </c>
      <c r="AD23" s="69" t="n">
        <f aca="false">AC23+AD22</f>
        <v>256292.97</v>
      </c>
      <c r="AE23" s="69" t="n">
        <f aca="false">AD23+AE22</f>
        <v>256292.97</v>
      </c>
      <c r="AF23" s="69" t="n">
        <f aca="false">AE23+AF22</f>
        <v>256292.97</v>
      </c>
      <c r="AG23" s="69" t="n">
        <f aca="false">AF23+AG22</f>
        <v>256292.97</v>
      </c>
      <c r="AH23" s="69" t="n">
        <f aca="false">AG23+AH22</f>
        <v>256292.97</v>
      </c>
      <c r="AI23" s="69" t="n">
        <f aca="false">AH23+AI22</f>
        <v>256292.97</v>
      </c>
      <c r="AJ23" s="69" t="n">
        <f aca="false">AI23+AJ22</f>
        <v>256292.97</v>
      </c>
      <c r="AK23" s="69" t="n">
        <f aca="false">AJ23+AK22</f>
        <v>256292.97</v>
      </c>
      <c r="AL23" s="69" t="n">
        <f aca="false">AK23+AL22</f>
        <v>256292.97</v>
      </c>
      <c r="AM23" s="69" t="n">
        <f aca="false">AL23+AM22</f>
        <v>256292.97</v>
      </c>
      <c r="AN23" s="69" t="n">
        <f aca="false">AM23+AN22</f>
        <v>256292.97</v>
      </c>
      <c r="AO23" s="69" t="n">
        <f aca="false">AN23+AO22</f>
        <v>256292.97</v>
      </c>
      <c r="AP23" s="69" t="n">
        <f aca="false">AO23+AP22</f>
        <v>256292.97</v>
      </c>
      <c r="AQ23" s="69" t="n">
        <f aca="false">AP23+AQ22</f>
        <v>256292.97</v>
      </c>
      <c r="AR23" s="69" t="n">
        <f aca="false">AQ23+AR22</f>
        <v>256292.97</v>
      </c>
      <c r="AS23" s="69" t="n">
        <f aca="false">AR23+AS22</f>
        <v>256292.97</v>
      </c>
      <c r="AT23" s="69" t="n">
        <f aca="false">AS23+AT22</f>
        <v>256292.97</v>
      </c>
      <c r="AU23" s="69" t="n">
        <f aca="false">AT23+AU22</f>
        <v>256292.97</v>
      </c>
      <c r="AV23" s="69" t="n">
        <f aca="false">AU23+AV22</f>
        <v>256292.97</v>
      </c>
      <c r="AW23" s="69" t="n">
        <f aca="false">AV23+AW22</f>
        <v>256292.97</v>
      </c>
      <c r="AX23" s="69" t="n">
        <f aca="false">AW23+AX22</f>
        <v>256292.97</v>
      </c>
      <c r="AY23" s="69" t="n">
        <f aca="false">AX23+AY22</f>
        <v>256292.97</v>
      </c>
      <c r="AZ23" s="69" t="n">
        <f aca="false">AY23+AZ22</f>
        <v>256292.97</v>
      </c>
      <c r="BA23" s="69" t="n">
        <f aca="false">AZ23+BA22</f>
        <v>256292.97</v>
      </c>
      <c r="BB23" s="69" t="n">
        <f aca="false">BA23+BB22</f>
        <v>256292.97</v>
      </c>
      <c r="BC23" s="69" t="n">
        <f aca="false">BB23+BC22</f>
        <v>256292.97</v>
      </c>
      <c r="BD23" s="69" t="n">
        <f aca="false">BC23+BD22</f>
        <v>256292.97</v>
      </c>
      <c r="BE23" s="69" t="n">
        <f aca="false">BD23+BE22</f>
        <v>256292.97</v>
      </c>
      <c r="BF23" s="69" t="n">
        <f aca="false">BE23+BF22</f>
        <v>256292.97</v>
      </c>
      <c r="BG23" s="69" t="n">
        <f aca="false">BF23+BG22</f>
        <v>256292.97</v>
      </c>
      <c r="BH23" s="69" t="n">
        <f aca="false">BG23+BH22</f>
        <v>256292.97</v>
      </c>
      <c r="BI23" s="69" t="n">
        <f aca="false">BH23+BI22</f>
        <v>256292.97</v>
      </c>
      <c r="BJ23" s="69" t="n">
        <f aca="false">BI23+BJ22</f>
        <v>256292.97</v>
      </c>
      <c r="BK23" s="69" t="n">
        <f aca="false">BJ23+BK22</f>
        <v>256292.97</v>
      </c>
      <c r="BL23" s="69" t="n">
        <f aca="false">BK23+BL22</f>
        <v>256292.97</v>
      </c>
      <c r="BM23" s="69" t="n">
        <f aca="false">BL23+BM22</f>
        <v>256292.97</v>
      </c>
      <c r="BN23" s="69" t="n">
        <f aca="false">BM23+BN22</f>
        <v>256292.97</v>
      </c>
      <c r="BO23" s="69" t="n">
        <f aca="false">BN23+BO22</f>
        <v>256292.97</v>
      </c>
      <c r="BP23" s="69" t="n">
        <f aca="false">BO23+BP22</f>
        <v>256292.97</v>
      </c>
      <c r="BQ23" s="69" t="n">
        <f aca="false">BP23+BQ22</f>
        <v>256292.97</v>
      </c>
      <c r="BR23" s="69" t="n">
        <f aca="false">BQ23+BR22</f>
        <v>256292.97</v>
      </c>
      <c r="BS23" s="69" t="n">
        <f aca="false">BR23+BS22</f>
        <v>256292.97</v>
      </c>
      <c r="BT23" s="69" t="n">
        <f aca="false">BS23+BT22</f>
        <v>256292.97</v>
      </c>
      <c r="BU23" s="69" t="n">
        <f aca="false">BT23+BU22</f>
        <v>256292.97</v>
      </c>
      <c r="BV23" s="69" t="n">
        <f aca="false">BU23+BV22</f>
        <v>256292.97</v>
      </c>
      <c r="BW23" s="69" t="n">
        <f aca="false">BV23+BW22</f>
        <v>256292.97</v>
      </c>
      <c r="BX23" s="69" t="n">
        <f aca="false">BW23+BX22</f>
        <v>256292.97</v>
      </c>
      <c r="BY23" s="69" t="n">
        <f aca="false">BX23+BY22</f>
        <v>256292.97</v>
      </c>
      <c r="BZ23" s="69" t="n">
        <f aca="false">BY23+BZ22</f>
        <v>256292.97</v>
      </c>
      <c r="CA23" s="69" t="n">
        <f aca="false">BZ23+CA22</f>
        <v>256292.97</v>
      </c>
      <c r="CB23" s="69" t="n">
        <f aca="false">CA23+CB22</f>
        <v>256292.97</v>
      </c>
      <c r="CC23" s="69" t="n">
        <f aca="false">CB23+CC22</f>
        <v>256292.97</v>
      </c>
      <c r="CD23" s="69" t="n">
        <f aca="false">CC23+CD22</f>
        <v>256292.97</v>
      </c>
      <c r="CE23" s="69" t="n">
        <f aca="false">CD23+CE22</f>
        <v>256292.97</v>
      </c>
      <c r="CF23" s="69" t="n">
        <f aca="false">CE23+CF22</f>
        <v>256292.97</v>
      </c>
      <c r="CG23" s="69" t="n">
        <f aca="false">CF23+CG22</f>
        <v>256292.97</v>
      </c>
      <c r="CH23" s="69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7" t="n">
        <f aca="false">Model!C60</f>
        <v>0</v>
      </c>
      <c r="D26" s="67" t="n">
        <f aca="false">Model!D60</f>
        <v>0</v>
      </c>
      <c r="E26" s="67" t="n">
        <f aca="false">Model!E60</f>
        <v>0</v>
      </c>
      <c r="F26" s="67" t="n">
        <f aca="false">Model!F60</f>
        <v>0</v>
      </c>
      <c r="G26" s="67" t="n">
        <f aca="false">Model!G60</f>
        <v>0</v>
      </c>
      <c r="H26" s="67" t="n">
        <f aca="false">Model!H60</f>
        <v>0</v>
      </c>
      <c r="I26" s="67" t="n">
        <f aca="false">Model!I60</f>
        <v>0</v>
      </c>
      <c r="J26" s="67" t="n">
        <f aca="false">Model!J60</f>
        <v>0</v>
      </c>
      <c r="K26" s="67" t="n">
        <f aca="false">Model!K60</f>
        <v>0</v>
      </c>
      <c r="L26" s="67" t="n">
        <f aca="false">Model!L60</f>
        <v>0</v>
      </c>
      <c r="M26" s="67" t="n">
        <f aca="false">Model!M60</f>
        <v>0</v>
      </c>
      <c r="N26" s="67" t="n">
        <f aca="false">Model!N60</f>
        <v>0</v>
      </c>
      <c r="O26" s="67" t="n">
        <f aca="false">Model!O60</f>
        <v>0</v>
      </c>
      <c r="P26" s="67" t="n">
        <f aca="false">Model!P60</f>
        <v>0</v>
      </c>
      <c r="Q26" s="67" t="n">
        <f aca="false">Model!Q60</f>
        <v>0</v>
      </c>
      <c r="R26" s="67" t="n">
        <f aca="false">Model!R60</f>
        <v>0</v>
      </c>
      <c r="S26" s="67" t="n">
        <f aca="false">Model!S60</f>
        <v>0</v>
      </c>
      <c r="T26" s="67" t="n">
        <f aca="false">Model!T60</f>
        <v>0</v>
      </c>
      <c r="U26" s="67" t="n">
        <f aca="false">Model!U60</f>
        <v>0</v>
      </c>
      <c r="V26" s="67" t="n">
        <f aca="false">Model!V60</f>
        <v>0</v>
      </c>
      <c r="W26" s="67" t="n">
        <f aca="false">Model!W60</f>
        <v>0</v>
      </c>
      <c r="X26" s="67" t="n">
        <f aca="false">Model!X60</f>
        <v>0</v>
      </c>
      <c r="Y26" s="67" t="n">
        <f aca="false">Model!Y60</f>
        <v>0</v>
      </c>
      <c r="Z26" s="67" t="n">
        <f aca="false">Model!Z60</f>
        <v>0</v>
      </c>
      <c r="AA26" s="67" t="n">
        <f aca="false">Model!AA60</f>
        <v>0</v>
      </c>
      <c r="AB26" s="67" t="n">
        <f aca="false">Model!AB60</f>
        <v>0</v>
      </c>
      <c r="AC26" s="67" t="n">
        <f aca="false">Model!AC60</f>
        <v>0</v>
      </c>
      <c r="AD26" s="67" t="n">
        <f aca="false">Model!AD60</f>
        <v>0</v>
      </c>
      <c r="AE26" s="67" t="n">
        <f aca="false">Model!AE60</f>
        <v>0</v>
      </c>
      <c r="AF26" s="67" t="n">
        <f aca="false">Model!AF60</f>
        <v>0</v>
      </c>
      <c r="AG26" s="67" t="n">
        <f aca="false">Model!AG60</f>
        <v>0</v>
      </c>
      <c r="AH26" s="67" t="n">
        <f aca="false">Model!AH60</f>
        <v>0</v>
      </c>
      <c r="AI26" s="67" t="n">
        <f aca="false">Model!AI60</f>
        <v>0</v>
      </c>
      <c r="AJ26" s="67" t="n">
        <f aca="false">Model!AJ60</f>
        <v>0</v>
      </c>
      <c r="AK26" s="67" t="n">
        <f aca="false">Model!AK60</f>
        <v>0</v>
      </c>
      <c r="AL26" s="67" t="n">
        <f aca="false">Model!AL60</f>
        <v>0</v>
      </c>
      <c r="AM26" s="67" t="n">
        <f aca="false">Model!AM60</f>
        <v>0</v>
      </c>
      <c r="AN26" s="67" t="n">
        <f aca="false">Model!AN60</f>
        <v>0</v>
      </c>
      <c r="AO26" s="67" t="n">
        <f aca="false">Model!AO60</f>
        <v>0</v>
      </c>
      <c r="AP26" s="67" t="n">
        <f aca="false">Model!AP60</f>
        <v>0</v>
      </c>
      <c r="AQ26" s="67" t="n">
        <f aca="false">Model!AQ60</f>
        <v>0</v>
      </c>
      <c r="AR26" s="67" t="n">
        <f aca="false">Model!AR60</f>
        <v>81683</v>
      </c>
      <c r="AS26" s="67" t="n">
        <f aca="false">Model!AS60</f>
        <v>0</v>
      </c>
      <c r="AT26" s="67" t="n">
        <f aca="false">Model!AT60</f>
        <v>0</v>
      </c>
      <c r="AU26" s="67" t="n">
        <f aca="false">Model!AU60</f>
        <v>81682</v>
      </c>
      <c r="AV26" s="67" t="n">
        <f aca="false">Model!AV60</f>
        <v>0</v>
      </c>
      <c r="AW26" s="67" t="n">
        <f aca="false">Model!AW60</f>
        <v>0</v>
      </c>
      <c r="AX26" s="67" t="n">
        <f aca="false">Model!AX60</f>
        <v>81682</v>
      </c>
      <c r="AY26" s="67" t="n">
        <f aca="false">Model!AY60</f>
        <v>0</v>
      </c>
      <c r="AZ26" s="67" t="n">
        <f aca="false">Model!AZ60</f>
        <v>0</v>
      </c>
      <c r="BA26" s="67" t="n">
        <f aca="false">Model!BA60</f>
        <v>81682</v>
      </c>
      <c r="BB26" s="67" t="n">
        <f aca="false">Model!BB60</f>
        <v>0</v>
      </c>
      <c r="BC26" s="67" t="n">
        <f aca="false">Model!BC60</f>
        <v>0</v>
      </c>
      <c r="BD26" s="67" t="n">
        <f aca="false">Model!BD60</f>
        <v>59178</v>
      </c>
      <c r="BE26" s="67" t="n">
        <f aca="false">Model!BE60</f>
        <v>0</v>
      </c>
      <c r="BF26" s="67" t="n">
        <f aca="false">Model!BF60</f>
        <v>0</v>
      </c>
      <c r="BG26" s="67" t="n">
        <f aca="false">Model!BG60</f>
        <v>59176</v>
      </c>
      <c r="BH26" s="67" t="n">
        <f aca="false">Model!BH60</f>
        <v>0</v>
      </c>
      <c r="BI26" s="67" t="n">
        <f aca="false">Model!BI60</f>
        <v>0</v>
      </c>
      <c r="BJ26" s="67" t="n">
        <f aca="false">Model!BJ60</f>
        <v>59176</v>
      </c>
      <c r="BK26" s="67" t="n">
        <f aca="false">Model!BK60</f>
        <v>0</v>
      </c>
      <c r="BL26" s="67" t="n">
        <f aca="false">Model!BL60</f>
        <v>0</v>
      </c>
      <c r="BM26" s="67" t="n">
        <f aca="false">Model!BM60</f>
        <v>59176</v>
      </c>
      <c r="BN26" s="67" t="n">
        <f aca="false">Model!BN60</f>
        <v>0</v>
      </c>
      <c r="BO26" s="67" t="n">
        <f aca="false">Model!BO60</f>
        <v>0</v>
      </c>
      <c r="BP26" s="67" t="n">
        <f aca="false">Model!BP60</f>
        <v>67763</v>
      </c>
      <c r="BQ26" s="67" t="n">
        <f aca="false">Model!BQ60</f>
        <v>0</v>
      </c>
      <c r="BR26" s="67" t="n">
        <f aca="false">Model!BR60</f>
        <v>0</v>
      </c>
      <c r="BS26" s="67" t="n">
        <f aca="false">Model!BS60</f>
        <v>67762</v>
      </c>
      <c r="BT26" s="67" t="n">
        <f aca="false">Model!BT60</f>
        <v>0</v>
      </c>
      <c r="BU26" s="67" t="n">
        <f aca="false">Model!BU60</f>
        <v>0</v>
      </c>
      <c r="BV26" s="67" t="n">
        <f aca="false">Model!BV60</f>
        <v>67762</v>
      </c>
      <c r="BW26" s="67" t="n">
        <f aca="false">Model!BW60</f>
        <v>0</v>
      </c>
      <c r="BX26" s="67" t="n">
        <f aca="false">Model!BX60</f>
        <v>0</v>
      </c>
      <c r="BY26" s="67" t="n">
        <f aca="false">Model!BY60</f>
        <v>67762</v>
      </c>
      <c r="BZ26" s="67" t="n">
        <f aca="false">Model!BZ60</f>
        <v>0</v>
      </c>
      <c r="CA26" s="67" t="n">
        <f aca="false">Model!CA60</f>
        <v>0</v>
      </c>
      <c r="CB26" s="67" t="n">
        <f aca="false">Model!CB60</f>
        <v>76499</v>
      </c>
      <c r="CC26" s="67" t="n">
        <f aca="false">Model!CC60</f>
        <v>0</v>
      </c>
      <c r="CD26" s="67" t="n">
        <f aca="false">Model!CD60</f>
        <v>0</v>
      </c>
      <c r="CE26" s="67" t="n">
        <f aca="false">Model!CE60</f>
        <v>76499</v>
      </c>
      <c r="CF26" s="67" t="n">
        <f aca="false">Model!CF60</f>
        <v>0</v>
      </c>
      <c r="CG26" s="67" t="n">
        <f aca="false">Model!CG60</f>
        <v>0</v>
      </c>
      <c r="CH26" s="67" t="n">
        <f aca="false">Model!CH60</f>
        <v>76499</v>
      </c>
    </row>
    <row r="27" customFormat="false" ht="15" hidden="false" customHeight="true" outlineLevel="0" collapsed="false">
      <c r="A27" s="70" t="s">
        <v>214</v>
      </c>
      <c r="B27" s="3"/>
      <c r="C27" s="71" t="n">
        <f aca="false">Model!C82</f>
        <v>-0</v>
      </c>
      <c r="D27" s="71" t="n">
        <f aca="false">Model!D82</f>
        <v>-0</v>
      </c>
      <c r="E27" s="71" t="n">
        <f aca="false">Model!E82</f>
        <v>-0</v>
      </c>
      <c r="F27" s="71" t="n">
        <f aca="false">Model!F82</f>
        <v>-0</v>
      </c>
      <c r="G27" s="71" t="n">
        <f aca="false">Model!G82</f>
        <v>-0</v>
      </c>
      <c r="H27" s="71" t="n">
        <f aca="false">Model!H82</f>
        <v>-0</v>
      </c>
      <c r="I27" s="71" t="n">
        <f aca="false">Model!I82</f>
        <v>-0</v>
      </c>
      <c r="J27" s="71" t="n">
        <f aca="false">Model!J82</f>
        <v>-0</v>
      </c>
      <c r="K27" s="71" t="n">
        <f aca="false">Model!K82</f>
        <v>-0</v>
      </c>
      <c r="L27" s="71" t="n">
        <f aca="false">Model!L82</f>
        <v>-0</v>
      </c>
      <c r="M27" s="71" t="n">
        <f aca="false">Model!M82</f>
        <v>-0</v>
      </c>
      <c r="N27" s="71" t="n">
        <f aca="false">Model!N82</f>
        <v>-0</v>
      </c>
      <c r="O27" s="71" t="n">
        <f aca="false">Model!O82</f>
        <v>-0</v>
      </c>
      <c r="P27" s="71" t="n">
        <f aca="false">Model!P82</f>
        <v>-0</v>
      </c>
      <c r="Q27" s="71" t="n">
        <f aca="false">Model!Q82</f>
        <v>-0</v>
      </c>
      <c r="R27" s="71" t="n">
        <f aca="false">Model!R82</f>
        <v>-0</v>
      </c>
      <c r="S27" s="71" t="n">
        <f aca="false">Model!S82</f>
        <v>-0</v>
      </c>
      <c r="T27" s="71" t="n">
        <f aca="false">Model!T82</f>
        <v>-0</v>
      </c>
      <c r="U27" s="71" t="n">
        <f aca="false">Model!U82</f>
        <v>-0</v>
      </c>
      <c r="V27" s="71" t="n">
        <f aca="false">Model!V82</f>
        <v>-0</v>
      </c>
      <c r="W27" s="71" t="n">
        <f aca="false">Model!W82</f>
        <v>-0</v>
      </c>
      <c r="X27" s="71" t="n">
        <f aca="false">Model!X82</f>
        <v>-0</v>
      </c>
      <c r="Y27" s="71" t="n">
        <f aca="false">Model!Y82</f>
        <v>-0</v>
      </c>
      <c r="Z27" s="71" t="n">
        <f aca="false">Model!Z82</f>
        <v>-0</v>
      </c>
      <c r="AA27" s="71" t="n">
        <f aca="false">Model!AA82</f>
        <v>-0</v>
      </c>
      <c r="AB27" s="71" t="n">
        <f aca="false">Model!AB82</f>
        <v>-0</v>
      </c>
      <c r="AC27" s="71" t="n">
        <f aca="false">Model!AC82</f>
        <v>-0</v>
      </c>
      <c r="AD27" s="71" t="n">
        <f aca="false">Model!AD82</f>
        <v>-0</v>
      </c>
      <c r="AE27" s="71" t="n">
        <f aca="false">Model!AE82</f>
        <v>-0</v>
      </c>
      <c r="AF27" s="71" t="n">
        <f aca="false">Model!AF82</f>
        <v>-0</v>
      </c>
      <c r="AG27" s="71" t="n">
        <f aca="false">Model!AG82</f>
        <v>-0</v>
      </c>
      <c r="AH27" s="71" t="n">
        <f aca="false">Model!AH82</f>
        <v>-0</v>
      </c>
      <c r="AI27" s="71" t="n">
        <f aca="false">Model!AI82</f>
        <v>-0</v>
      </c>
      <c r="AJ27" s="71" t="n">
        <f aca="false">Model!AJ82</f>
        <v>-0</v>
      </c>
      <c r="AK27" s="71" t="n">
        <f aca="false">Model!AK82</f>
        <v>-0</v>
      </c>
      <c r="AL27" s="71" t="n">
        <f aca="false">Model!AL82</f>
        <v>-0</v>
      </c>
      <c r="AM27" s="71" t="n">
        <f aca="false">Model!AM82</f>
        <v>-0</v>
      </c>
      <c r="AN27" s="71" t="n">
        <f aca="false">Model!AN82</f>
        <v>-0</v>
      </c>
      <c r="AO27" s="71" t="n">
        <f aca="false">Model!AO82</f>
        <v>-0</v>
      </c>
      <c r="AP27" s="71" t="n">
        <f aca="false">Model!AP82</f>
        <v>-0</v>
      </c>
      <c r="AQ27" s="71" t="n">
        <f aca="false">Model!AQ82</f>
        <v>-0</v>
      </c>
      <c r="AR27" s="71" t="n">
        <f aca="false">Model!AR82</f>
        <v>-81683</v>
      </c>
      <c r="AS27" s="71" t="n">
        <f aca="false">Model!AS82</f>
        <v>-0</v>
      </c>
      <c r="AT27" s="71" t="n">
        <f aca="false">Model!AT82</f>
        <v>-0</v>
      </c>
      <c r="AU27" s="71" t="n">
        <f aca="false">Model!AU82</f>
        <v>-81682</v>
      </c>
      <c r="AV27" s="71" t="n">
        <f aca="false">Model!AV82</f>
        <v>-0</v>
      </c>
      <c r="AW27" s="71" t="n">
        <f aca="false">Model!AW82</f>
        <v>-0</v>
      </c>
      <c r="AX27" s="71" t="n">
        <f aca="false">Model!AX82</f>
        <v>-81682</v>
      </c>
      <c r="AY27" s="71" t="n">
        <f aca="false">Model!AY82</f>
        <v>-0</v>
      </c>
      <c r="AZ27" s="71" t="n">
        <f aca="false">Model!AZ82</f>
        <v>-0</v>
      </c>
      <c r="BA27" s="71" t="n">
        <f aca="false">Model!BA82</f>
        <v>-81682</v>
      </c>
      <c r="BB27" s="71" t="n">
        <f aca="false">Model!BB82</f>
        <v>-0</v>
      </c>
      <c r="BC27" s="71" t="n">
        <f aca="false">Model!BC82</f>
        <v>-0</v>
      </c>
      <c r="BD27" s="71" t="n">
        <f aca="false">Model!BD82</f>
        <v>-59178</v>
      </c>
      <c r="BE27" s="71" t="n">
        <f aca="false">Model!BE82</f>
        <v>-0</v>
      </c>
      <c r="BF27" s="71" t="n">
        <f aca="false">Model!BF82</f>
        <v>-0</v>
      </c>
      <c r="BG27" s="71" t="n">
        <f aca="false">Model!BG82</f>
        <v>-59176</v>
      </c>
      <c r="BH27" s="71" t="n">
        <f aca="false">Model!BH82</f>
        <v>-0</v>
      </c>
      <c r="BI27" s="71" t="n">
        <f aca="false">Model!BI82</f>
        <v>-0</v>
      </c>
      <c r="BJ27" s="71" t="n">
        <f aca="false">Model!BJ82</f>
        <v>-59176</v>
      </c>
      <c r="BK27" s="71" t="n">
        <f aca="false">Model!BK82</f>
        <v>-0</v>
      </c>
      <c r="BL27" s="71" t="n">
        <f aca="false">Model!BL82</f>
        <v>-0</v>
      </c>
      <c r="BM27" s="71" t="n">
        <f aca="false">Model!BM82</f>
        <v>-59176</v>
      </c>
      <c r="BN27" s="71" t="n">
        <f aca="false">Model!BN82</f>
        <v>-0</v>
      </c>
      <c r="BO27" s="71" t="n">
        <f aca="false">Model!BO82</f>
        <v>-0</v>
      </c>
      <c r="BP27" s="71" t="n">
        <f aca="false">Model!BP82</f>
        <v>-16249.48</v>
      </c>
      <c r="BQ27" s="71" t="n">
        <f aca="false">Model!BQ82</f>
        <v>-0</v>
      </c>
      <c r="BR27" s="71" t="n">
        <f aca="false">Model!BR82</f>
        <v>-0</v>
      </c>
      <c r="BS27" s="71" t="n">
        <f aca="false">Model!BS82</f>
        <v>-0</v>
      </c>
      <c r="BT27" s="71" t="n">
        <f aca="false">Model!BT82</f>
        <v>-0</v>
      </c>
      <c r="BU27" s="71" t="n">
        <f aca="false">Model!BU82</f>
        <v>-0</v>
      </c>
      <c r="BV27" s="71" t="n">
        <f aca="false">Model!BV82</f>
        <v>-0</v>
      </c>
      <c r="BW27" s="71" t="n">
        <f aca="false">Model!BW82</f>
        <v>-0</v>
      </c>
      <c r="BX27" s="71" t="n">
        <f aca="false">Model!BX82</f>
        <v>-0</v>
      </c>
      <c r="BY27" s="71" t="n">
        <f aca="false">Model!BY82</f>
        <v>-0</v>
      </c>
      <c r="BZ27" s="71" t="n">
        <f aca="false">Model!BZ82</f>
        <v>-0</v>
      </c>
      <c r="CA27" s="71" t="n">
        <f aca="false">Model!CA82</f>
        <v>-0</v>
      </c>
      <c r="CB27" s="71" t="n">
        <f aca="false">Model!CB82</f>
        <v>-0</v>
      </c>
      <c r="CC27" s="71" t="n">
        <f aca="false">Model!CC82</f>
        <v>-0</v>
      </c>
      <c r="CD27" s="71" t="n">
        <f aca="false">Model!CD82</f>
        <v>-0</v>
      </c>
      <c r="CE27" s="71" t="n">
        <f aca="false">Model!CE82</f>
        <v>-0</v>
      </c>
      <c r="CF27" s="71" t="n">
        <f aca="false">Model!CF82</f>
        <v>-0</v>
      </c>
      <c r="CG27" s="71" t="n">
        <f aca="false">Model!CG82</f>
        <v>-0</v>
      </c>
      <c r="CH27" s="71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8" t="n">
        <f aca="false">C26+C27</f>
        <v>0</v>
      </c>
      <c r="D28" s="68" t="n">
        <f aca="false">D26+D27</f>
        <v>0</v>
      </c>
      <c r="E28" s="68" t="n">
        <f aca="false">E26+E27</f>
        <v>0</v>
      </c>
      <c r="F28" s="68" t="n">
        <f aca="false">F26+F27</f>
        <v>0</v>
      </c>
      <c r="G28" s="68" t="n">
        <f aca="false">G26+G27</f>
        <v>0</v>
      </c>
      <c r="H28" s="68" t="n">
        <f aca="false">H26+H27</f>
        <v>0</v>
      </c>
      <c r="I28" s="68" t="n">
        <f aca="false">I26+I27</f>
        <v>0</v>
      </c>
      <c r="J28" s="68" t="n">
        <f aca="false">J26+J27</f>
        <v>0</v>
      </c>
      <c r="K28" s="68" t="n">
        <f aca="false">K26+K27</f>
        <v>0</v>
      </c>
      <c r="L28" s="68" t="n">
        <f aca="false">L26+L27</f>
        <v>0</v>
      </c>
      <c r="M28" s="68" t="n">
        <f aca="false">M26+M27</f>
        <v>0</v>
      </c>
      <c r="N28" s="68" t="n">
        <f aca="false">N26+N27</f>
        <v>0</v>
      </c>
      <c r="O28" s="68" t="n">
        <f aca="false">O26+O27</f>
        <v>0</v>
      </c>
      <c r="P28" s="68" t="n">
        <f aca="false">P26+P27</f>
        <v>0</v>
      </c>
      <c r="Q28" s="68" t="n">
        <f aca="false">Q26+Q27</f>
        <v>0</v>
      </c>
      <c r="R28" s="68" t="n">
        <f aca="false">R26+R27</f>
        <v>0</v>
      </c>
      <c r="S28" s="68" t="n">
        <f aca="false">S26+S27</f>
        <v>0</v>
      </c>
      <c r="T28" s="68" t="n">
        <f aca="false">T26+T27</f>
        <v>0</v>
      </c>
      <c r="U28" s="68" t="n">
        <f aca="false">U26+U27</f>
        <v>0</v>
      </c>
      <c r="V28" s="68" t="n">
        <f aca="false">V26+V27</f>
        <v>0</v>
      </c>
      <c r="W28" s="68" t="n">
        <f aca="false">W26+W27</f>
        <v>0</v>
      </c>
      <c r="X28" s="68" t="n">
        <f aca="false">X26+X27</f>
        <v>0</v>
      </c>
      <c r="Y28" s="68" t="n">
        <f aca="false">Y26+Y27</f>
        <v>0</v>
      </c>
      <c r="Z28" s="68" t="n">
        <f aca="false">Z26+Z27</f>
        <v>0</v>
      </c>
      <c r="AA28" s="68" t="n">
        <f aca="false">AA26+AA27</f>
        <v>0</v>
      </c>
      <c r="AB28" s="68" t="n">
        <f aca="false">AB26+AB27</f>
        <v>0</v>
      </c>
      <c r="AC28" s="68" t="n">
        <f aca="false">AC26+AC27</f>
        <v>0</v>
      </c>
      <c r="AD28" s="68" t="n">
        <f aca="false">AD26+AD27</f>
        <v>0</v>
      </c>
      <c r="AE28" s="68" t="n">
        <f aca="false">AE26+AE27</f>
        <v>0</v>
      </c>
      <c r="AF28" s="68" t="n">
        <f aca="false">AF26+AF27</f>
        <v>0</v>
      </c>
      <c r="AG28" s="68" t="n">
        <f aca="false">AG26+AG27</f>
        <v>0</v>
      </c>
      <c r="AH28" s="68" t="n">
        <f aca="false">AH26+AH27</f>
        <v>0</v>
      </c>
      <c r="AI28" s="68" t="n">
        <f aca="false">AI26+AI27</f>
        <v>0</v>
      </c>
      <c r="AJ28" s="68" t="n">
        <f aca="false">AJ26+AJ27</f>
        <v>0</v>
      </c>
      <c r="AK28" s="68" t="n">
        <f aca="false">AK26+AK27</f>
        <v>0</v>
      </c>
      <c r="AL28" s="68" t="n">
        <f aca="false">AL26+AL27</f>
        <v>0</v>
      </c>
      <c r="AM28" s="68" t="n">
        <f aca="false">AM26+AM27</f>
        <v>0</v>
      </c>
      <c r="AN28" s="68" t="n">
        <f aca="false">AN26+AN27</f>
        <v>0</v>
      </c>
      <c r="AO28" s="68" t="n">
        <f aca="false">AO26+AO27</f>
        <v>0</v>
      </c>
      <c r="AP28" s="68" t="n">
        <f aca="false">AP26+AP27</f>
        <v>0</v>
      </c>
      <c r="AQ28" s="68" t="n">
        <f aca="false">AQ26+AQ27</f>
        <v>0</v>
      </c>
      <c r="AR28" s="68" t="n">
        <f aca="false">AR26+AR27</f>
        <v>0</v>
      </c>
      <c r="AS28" s="68" t="n">
        <f aca="false">AS26+AS27</f>
        <v>0</v>
      </c>
      <c r="AT28" s="68" t="n">
        <f aca="false">AT26+AT27</f>
        <v>0</v>
      </c>
      <c r="AU28" s="68" t="n">
        <f aca="false">AU26+AU27</f>
        <v>0</v>
      </c>
      <c r="AV28" s="68" t="n">
        <f aca="false">AV26+AV27</f>
        <v>0</v>
      </c>
      <c r="AW28" s="68" t="n">
        <f aca="false">AW26+AW27</f>
        <v>0</v>
      </c>
      <c r="AX28" s="68" t="n">
        <f aca="false">AX26+AX27</f>
        <v>0</v>
      </c>
      <c r="AY28" s="68" t="n">
        <f aca="false">AY26+AY27</f>
        <v>0</v>
      </c>
      <c r="AZ28" s="68" t="n">
        <f aca="false">AZ26+AZ27</f>
        <v>0</v>
      </c>
      <c r="BA28" s="68" t="n">
        <f aca="false">BA26+BA27</f>
        <v>0</v>
      </c>
      <c r="BB28" s="68" t="n">
        <f aca="false">BB26+BB27</f>
        <v>0</v>
      </c>
      <c r="BC28" s="68" t="n">
        <f aca="false">BC26+BC27</f>
        <v>0</v>
      </c>
      <c r="BD28" s="68" t="n">
        <f aca="false">BD26+BD27</f>
        <v>0</v>
      </c>
      <c r="BE28" s="68" t="n">
        <f aca="false">BE26+BE27</f>
        <v>0</v>
      </c>
      <c r="BF28" s="68" t="n">
        <f aca="false">BF26+BF27</f>
        <v>0</v>
      </c>
      <c r="BG28" s="68" t="n">
        <f aca="false">BG26+BG27</f>
        <v>0</v>
      </c>
      <c r="BH28" s="68" t="n">
        <f aca="false">BH26+BH27</f>
        <v>0</v>
      </c>
      <c r="BI28" s="68" t="n">
        <f aca="false">BI26+BI27</f>
        <v>0</v>
      </c>
      <c r="BJ28" s="68" t="n">
        <f aca="false">BJ26+BJ27</f>
        <v>0</v>
      </c>
      <c r="BK28" s="68" t="n">
        <f aca="false">BK26+BK27</f>
        <v>0</v>
      </c>
      <c r="BL28" s="68" t="n">
        <f aca="false">BL26+BL27</f>
        <v>0</v>
      </c>
      <c r="BM28" s="68" t="n">
        <f aca="false">BM26+BM27</f>
        <v>0</v>
      </c>
      <c r="BN28" s="68" t="n">
        <f aca="false">BN26+BN27</f>
        <v>0</v>
      </c>
      <c r="BO28" s="68" t="n">
        <f aca="false">BO26+BO27</f>
        <v>0</v>
      </c>
      <c r="BP28" s="68" t="n">
        <f aca="false">BP26+BP27</f>
        <v>51513.52</v>
      </c>
      <c r="BQ28" s="68" t="n">
        <f aca="false">BQ26+BQ27</f>
        <v>0</v>
      </c>
      <c r="BR28" s="68" t="n">
        <f aca="false">BR26+BR27</f>
        <v>0</v>
      </c>
      <c r="BS28" s="68" t="n">
        <f aca="false">BS26+BS27</f>
        <v>67762</v>
      </c>
      <c r="BT28" s="68" t="n">
        <f aca="false">BT26+BT27</f>
        <v>0</v>
      </c>
      <c r="BU28" s="68" t="n">
        <f aca="false">BU26+BU27</f>
        <v>0</v>
      </c>
      <c r="BV28" s="68" t="n">
        <f aca="false">BV26+BV27</f>
        <v>67762</v>
      </c>
      <c r="BW28" s="68" t="n">
        <f aca="false">BW26+BW27</f>
        <v>0</v>
      </c>
      <c r="BX28" s="68" t="n">
        <f aca="false">BX26+BX27</f>
        <v>0</v>
      </c>
      <c r="BY28" s="68" t="n">
        <f aca="false">BY26+BY27</f>
        <v>67762</v>
      </c>
      <c r="BZ28" s="68" t="n">
        <f aca="false">BZ26+BZ27</f>
        <v>0</v>
      </c>
      <c r="CA28" s="68" t="n">
        <f aca="false">CA26+CA27</f>
        <v>0</v>
      </c>
      <c r="CB28" s="68" t="n">
        <f aca="false">CB26+CB27</f>
        <v>76499</v>
      </c>
      <c r="CC28" s="68" t="n">
        <f aca="false">CC26+CC27</f>
        <v>0</v>
      </c>
      <c r="CD28" s="68" t="n">
        <f aca="false">CD26+CD27</f>
        <v>0</v>
      </c>
      <c r="CE28" s="68" t="n">
        <f aca="false">CE26+CE27</f>
        <v>76499</v>
      </c>
      <c r="CF28" s="68" t="n">
        <f aca="false">CF26+CF27</f>
        <v>0</v>
      </c>
      <c r="CG28" s="68" t="n">
        <f aca="false">CG26+CG27</f>
        <v>0</v>
      </c>
      <c r="CH28" s="68" t="n">
        <f aca="false">CH26+CH27</f>
        <v>76499</v>
      </c>
    </row>
    <row r="29" customFormat="false" ht="15" hidden="false" customHeight="true" outlineLevel="0" collapsed="false">
      <c r="A29" s="61" t="s">
        <v>212</v>
      </c>
      <c r="B29" s="3"/>
      <c r="C29" s="69" t="n">
        <f aca="false">C28</f>
        <v>0</v>
      </c>
      <c r="D29" s="69" t="n">
        <f aca="false">C29+D28</f>
        <v>0</v>
      </c>
      <c r="E29" s="69" t="n">
        <f aca="false">D29+E28</f>
        <v>0</v>
      </c>
      <c r="F29" s="69" t="n">
        <f aca="false">E29+F28</f>
        <v>0</v>
      </c>
      <c r="G29" s="69" t="n">
        <f aca="false">F29+G28</f>
        <v>0</v>
      </c>
      <c r="H29" s="69" t="n">
        <f aca="false">G29+H28</f>
        <v>0</v>
      </c>
      <c r="I29" s="69" t="n">
        <f aca="false">H29+I28</f>
        <v>0</v>
      </c>
      <c r="J29" s="69" t="n">
        <f aca="false">I29+J28</f>
        <v>0</v>
      </c>
      <c r="K29" s="69" t="n">
        <f aca="false">J29+K28</f>
        <v>0</v>
      </c>
      <c r="L29" s="69" t="n">
        <f aca="false">K29+L28</f>
        <v>0</v>
      </c>
      <c r="M29" s="69" t="n">
        <f aca="false">L29+M28</f>
        <v>0</v>
      </c>
      <c r="N29" s="69" t="n">
        <f aca="false">M29+N28</f>
        <v>0</v>
      </c>
      <c r="O29" s="69" t="n">
        <f aca="false">N29+O28</f>
        <v>0</v>
      </c>
      <c r="P29" s="69" t="n">
        <f aca="false">O29+P28</f>
        <v>0</v>
      </c>
      <c r="Q29" s="69" t="n">
        <f aca="false">P29+Q28</f>
        <v>0</v>
      </c>
      <c r="R29" s="69" t="n">
        <f aca="false">Q29+R28</f>
        <v>0</v>
      </c>
      <c r="S29" s="69" t="n">
        <f aca="false">R29+S28</f>
        <v>0</v>
      </c>
      <c r="T29" s="69" t="n">
        <f aca="false">S29+T28</f>
        <v>0</v>
      </c>
      <c r="U29" s="69" t="n">
        <f aca="false">T29+U28</f>
        <v>0</v>
      </c>
      <c r="V29" s="69" t="n">
        <f aca="false">U29+V28</f>
        <v>0</v>
      </c>
      <c r="W29" s="69" t="n">
        <f aca="false">V29+W28</f>
        <v>0</v>
      </c>
      <c r="X29" s="69" t="n">
        <f aca="false">W29+X28</f>
        <v>0</v>
      </c>
      <c r="Y29" s="69" t="n">
        <f aca="false">X29+Y28</f>
        <v>0</v>
      </c>
      <c r="Z29" s="69" t="n">
        <f aca="false">Y29+Z28</f>
        <v>0</v>
      </c>
      <c r="AA29" s="69" t="n">
        <f aca="false">Z29+AA28</f>
        <v>0</v>
      </c>
      <c r="AB29" s="69" t="n">
        <f aca="false">AA29+AB28</f>
        <v>0</v>
      </c>
      <c r="AC29" s="69" t="n">
        <f aca="false">AB29+AC28</f>
        <v>0</v>
      </c>
      <c r="AD29" s="69" t="n">
        <f aca="false">AC29+AD28</f>
        <v>0</v>
      </c>
      <c r="AE29" s="69" t="n">
        <f aca="false">AD29+AE28</f>
        <v>0</v>
      </c>
      <c r="AF29" s="69" t="n">
        <f aca="false">AE29+AF28</f>
        <v>0</v>
      </c>
      <c r="AG29" s="69" t="n">
        <f aca="false">AF29+AG28</f>
        <v>0</v>
      </c>
      <c r="AH29" s="69" t="n">
        <f aca="false">AG29+AH28</f>
        <v>0</v>
      </c>
      <c r="AI29" s="69" t="n">
        <f aca="false">AH29+AI28</f>
        <v>0</v>
      </c>
      <c r="AJ29" s="69" t="n">
        <f aca="false">AI29+AJ28</f>
        <v>0</v>
      </c>
      <c r="AK29" s="69" t="n">
        <f aca="false">AJ29+AK28</f>
        <v>0</v>
      </c>
      <c r="AL29" s="69" t="n">
        <f aca="false">AK29+AL28</f>
        <v>0</v>
      </c>
      <c r="AM29" s="69" t="n">
        <f aca="false">AL29+AM28</f>
        <v>0</v>
      </c>
      <c r="AN29" s="69" t="n">
        <f aca="false">AM29+AN28</f>
        <v>0</v>
      </c>
      <c r="AO29" s="69" t="n">
        <f aca="false">AN29+AO28</f>
        <v>0</v>
      </c>
      <c r="AP29" s="69" t="n">
        <f aca="false">AO29+AP28</f>
        <v>0</v>
      </c>
      <c r="AQ29" s="69" t="n">
        <f aca="false">AP29+AQ28</f>
        <v>0</v>
      </c>
      <c r="AR29" s="69" t="n">
        <f aca="false">AQ29+AR28</f>
        <v>0</v>
      </c>
      <c r="AS29" s="69" t="n">
        <f aca="false">AR29+AS28</f>
        <v>0</v>
      </c>
      <c r="AT29" s="69" t="n">
        <f aca="false">AS29+AT28</f>
        <v>0</v>
      </c>
      <c r="AU29" s="69" t="n">
        <f aca="false">AT29+AU28</f>
        <v>0</v>
      </c>
      <c r="AV29" s="69" t="n">
        <f aca="false">AU29+AV28</f>
        <v>0</v>
      </c>
      <c r="AW29" s="69" t="n">
        <f aca="false">AV29+AW28</f>
        <v>0</v>
      </c>
      <c r="AX29" s="69" t="n">
        <f aca="false">AW29+AX28</f>
        <v>0</v>
      </c>
      <c r="AY29" s="69" t="n">
        <f aca="false">AX29+AY28</f>
        <v>0</v>
      </c>
      <c r="AZ29" s="69" t="n">
        <f aca="false">AY29+AZ28</f>
        <v>0</v>
      </c>
      <c r="BA29" s="69" t="n">
        <f aca="false">AZ29+BA28</f>
        <v>0</v>
      </c>
      <c r="BB29" s="69" t="n">
        <f aca="false">BA29+BB28</f>
        <v>0</v>
      </c>
      <c r="BC29" s="69" t="n">
        <f aca="false">BB29+BC28</f>
        <v>0</v>
      </c>
      <c r="BD29" s="69" t="n">
        <f aca="false">BC29+BD28</f>
        <v>0</v>
      </c>
      <c r="BE29" s="69" t="n">
        <f aca="false">BD29+BE28</f>
        <v>0</v>
      </c>
      <c r="BF29" s="69" t="n">
        <f aca="false">BE29+BF28</f>
        <v>0</v>
      </c>
      <c r="BG29" s="69" t="n">
        <f aca="false">BF29+BG28</f>
        <v>0</v>
      </c>
      <c r="BH29" s="69" t="n">
        <f aca="false">BG29+BH28</f>
        <v>0</v>
      </c>
      <c r="BI29" s="69" t="n">
        <f aca="false">BH29+BI28</f>
        <v>0</v>
      </c>
      <c r="BJ29" s="69" t="n">
        <f aca="false">BI29+BJ28</f>
        <v>0</v>
      </c>
      <c r="BK29" s="69" t="n">
        <f aca="false">BJ29+BK28</f>
        <v>0</v>
      </c>
      <c r="BL29" s="69" t="n">
        <f aca="false">BK29+BL28</f>
        <v>0</v>
      </c>
      <c r="BM29" s="69" t="n">
        <f aca="false">BL29+BM28</f>
        <v>0</v>
      </c>
      <c r="BN29" s="69" t="n">
        <f aca="false">BM29+BN28</f>
        <v>0</v>
      </c>
      <c r="BO29" s="69" t="n">
        <f aca="false">BN29+BO28</f>
        <v>0</v>
      </c>
      <c r="BP29" s="69" t="n">
        <f aca="false">BO29+BP28</f>
        <v>51513.52</v>
      </c>
      <c r="BQ29" s="69" t="n">
        <f aca="false">BP29+BQ28</f>
        <v>51513.52</v>
      </c>
      <c r="BR29" s="69" t="n">
        <f aca="false">BQ29+BR28</f>
        <v>51513.52</v>
      </c>
      <c r="BS29" s="69" t="n">
        <f aca="false">BR29+BS28</f>
        <v>119275.52</v>
      </c>
      <c r="BT29" s="69" t="n">
        <f aca="false">BS29+BT28</f>
        <v>119275.52</v>
      </c>
      <c r="BU29" s="69" t="n">
        <f aca="false">BT29+BU28</f>
        <v>119275.52</v>
      </c>
      <c r="BV29" s="69" t="n">
        <f aca="false">BU29+BV28</f>
        <v>187037.52</v>
      </c>
      <c r="BW29" s="69" t="n">
        <f aca="false">BV29+BW28</f>
        <v>187037.52</v>
      </c>
      <c r="BX29" s="69" t="n">
        <f aca="false">BW29+BX28</f>
        <v>187037.52</v>
      </c>
      <c r="BY29" s="69" t="n">
        <f aca="false">BX29+BY28</f>
        <v>254799.52</v>
      </c>
      <c r="BZ29" s="69" t="n">
        <f aca="false">BY29+BZ28</f>
        <v>254799.52</v>
      </c>
      <c r="CA29" s="69" t="n">
        <f aca="false">BZ29+CA28</f>
        <v>254799.52</v>
      </c>
      <c r="CB29" s="69" t="n">
        <f aca="false">CA29+CB28</f>
        <v>331298.52</v>
      </c>
      <c r="CC29" s="69" t="n">
        <f aca="false">CB29+CC28</f>
        <v>331298.52</v>
      </c>
      <c r="CD29" s="69" t="n">
        <f aca="false">CC29+CD28</f>
        <v>331298.52</v>
      </c>
      <c r="CE29" s="69" t="n">
        <f aca="false">CD29+CE28</f>
        <v>407797.52</v>
      </c>
      <c r="CF29" s="69" t="n">
        <f aca="false">CE29+CF28</f>
        <v>407797.52</v>
      </c>
      <c r="CG29" s="69" t="n">
        <f aca="false">CF29+CG28</f>
        <v>407797.52</v>
      </c>
      <c r="CH29" s="69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7" t="n">
        <f aca="false">Model!C61</f>
        <v>0</v>
      </c>
      <c r="D32" s="67" t="n">
        <f aca="false">Model!D61</f>
        <v>0</v>
      </c>
      <c r="E32" s="67" t="n">
        <f aca="false">Model!E61</f>
        <v>0</v>
      </c>
      <c r="F32" s="67" t="n">
        <f aca="false">Model!F61</f>
        <v>0</v>
      </c>
      <c r="G32" s="67" t="n">
        <f aca="false">Model!G61</f>
        <v>0</v>
      </c>
      <c r="H32" s="67" t="n">
        <f aca="false">Model!H61</f>
        <v>0</v>
      </c>
      <c r="I32" s="67" t="n">
        <f aca="false">Model!I61</f>
        <v>0</v>
      </c>
      <c r="J32" s="67" t="n">
        <f aca="false">Model!J61</f>
        <v>0</v>
      </c>
      <c r="K32" s="67" t="n">
        <f aca="false">Model!K61</f>
        <v>0</v>
      </c>
      <c r="L32" s="67" t="n">
        <f aca="false">Model!L61</f>
        <v>0</v>
      </c>
      <c r="M32" s="67" t="n">
        <f aca="false">Model!M61</f>
        <v>0</v>
      </c>
      <c r="N32" s="67" t="n">
        <f aca="false">Model!N61</f>
        <v>0</v>
      </c>
      <c r="O32" s="67" t="n">
        <f aca="false">Model!O61</f>
        <v>0</v>
      </c>
      <c r="P32" s="67" t="n">
        <f aca="false">Model!P61</f>
        <v>0</v>
      </c>
      <c r="Q32" s="67" t="n">
        <f aca="false">Model!Q61</f>
        <v>0</v>
      </c>
      <c r="R32" s="67" t="n">
        <f aca="false">Model!R61</f>
        <v>0</v>
      </c>
      <c r="S32" s="67" t="n">
        <f aca="false">Model!S61</f>
        <v>0</v>
      </c>
      <c r="T32" s="67" t="n">
        <f aca="false">Model!T61</f>
        <v>0</v>
      </c>
      <c r="U32" s="67" t="n">
        <f aca="false">Model!U61</f>
        <v>0</v>
      </c>
      <c r="V32" s="67" t="n">
        <f aca="false">Model!V61</f>
        <v>0</v>
      </c>
      <c r="W32" s="67" t="n">
        <f aca="false">Model!W61</f>
        <v>0</v>
      </c>
      <c r="X32" s="67" t="n">
        <f aca="false">Model!X61</f>
        <v>0</v>
      </c>
      <c r="Y32" s="67" t="n">
        <f aca="false">Model!Y61</f>
        <v>0</v>
      </c>
      <c r="Z32" s="67" t="n">
        <f aca="false">Model!Z61</f>
        <v>0</v>
      </c>
      <c r="AA32" s="67" t="n">
        <f aca="false">Model!AA61</f>
        <v>0</v>
      </c>
      <c r="AB32" s="67" t="n">
        <f aca="false">Model!AB61</f>
        <v>0</v>
      </c>
      <c r="AC32" s="67" t="n">
        <f aca="false">Model!AC61</f>
        <v>0</v>
      </c>
      <c r="AD32" s="67" t="n">
        <f aca="false">Model!AD61</f>
        <v>0</v>
      </c>
      <c r="AE32" s="67" t="n">
        <f aca="false">Model!AE61</f>
        <v>0</v>
      </c>
      <c r="AF32" s="67" t="n">
        <f aca="false">Model!AF61</f>
        <v>0</v>
      </c>
      <c r="AG32" s="67" t="n">
        <f aca="false">Model!AG61</f>
        <v>0</v>
      </c>
      <c r="AH32" s="67" t="n">
        <f aca="false">Model!AH61</f>
        <v>0</v>
      </c>
      <c r="AI32" s="67" t="n">
        <f aca="false">Model!AI61</f>
        <v>0</v>
      </c>
      <c r="AJ32" s="67" t="n">
        <f aca="false">Model!AJ61</f>
        <v>0</v>
      </c>
      <c r="AK32" s="67" t="n">
        <f aca="false">Model!AK61</f>
        <v>0</v>
      </c>
      <c r="AL32" s="67" t="n">
        <f aca="false">Model!AL61</f>
        <v>0</v>
      </c>
      <c r="AM32" s="67" t="n">
        <f aca="false">Model!AM61</f>
        <v>0</v>
      </c>
      <c r="AN32" s="67" t="n">
        <f aca="false">Model!AN61</f>
        <v>0</v>
      </c>
      <c r="AO32" s="67" t="n">
        <f aca="false">Model!AO61</f>
        <v>0</v>
      </c>
      <c r="AP32" s="67" t="n">
        <f aca="false">Model!AP61</f>
        <v>0</v>
      </c>
      <c r="AQ32" s="67" t="n">
        <f aca="false">Model!AQ61</f>
        <v>0</v>
      </c>
      <c r="AR32" s="67" t="n">
        <f aca="false">Model!AR61</f>
        <v>0</v>
      </c>
      <c r="AS32" s="67" t="n">
        <f aca="false">Model!AS61</f>
        <v>0</v>
      </c>
      <c r="AT32" s="67" t="n">
        <f aca="false">Model!AT61</f>
        <v>0</v>
      </c>
      <c r="AU32" s="67" t="n">
        <f aca="false">Model!AU61</f>
        <v>0</v>
      </c>
      <c r="AV32" s="67" t="n">
        <f aca="false">Model!AV61</f>
        <v>0</v>
      </c>
      <c r="AW32" s="67" t="n">
        <f aca="false">Model!AW61</f>
        <v>0</v>
      </c>
      <c r="AX32" s="67" t="n">
        <f aca="false">Model!AX61</f>
        <v>0</v>
      </c>
      <c r="AY32" s="67" t="n">
        <f aca="false">Model!AY61</f>
        <v>0</v>
      </c>
      <c r="AZ32" s="67" t="n">
        <f aca="false">Model!AZ61</f>
        <v>0</v>
      </c>
      <c r="BA32" s="67" t="n">
        <f aca="false">Model!BA61</f>
        <v>851839</v>
      </c>
      <c r="BB32" s="67" t="n">
        <f aca="false">Model!BB61</f>
        <v>0</v>
      </c>
      <c r="BC32" s="67" t="n">
        <f aca="false">Model!BC61</f>
        <v>0</v>
      </c>
      <c r="BD32" s="67" t="n">
        <f aca="false">Model!BD61</f>
        <v>71700</v>
      </c>
      <c r="BE32" s="67" t="n">
        <f aca="false">Model!BE61</f>
        <v>0</v>
      </c>
      <c r="BF32" s="67" t="n">
        <f aca="false">Model!BF61</f>
        <v>0</v>
      </c>
      <c r="BG32" s="67" t="n">
        <f aca="false">Model!BG61</f>
        <v>71700</v>
      </c>
      <c r="BH32" s="67" t="n">
        <f aca="false">Model!BH61</f>
        <v>0</v>
      </c>
      <c r="BI32" s="67" t="n">
        <f aca="false">Model!BI61</f>
        <v>0</v>
      </c>
      <c r="BJ32" s="67" t="n">
        <f aca="false">Model!BJ61</f>
        <v>71700</v>
      </c>
      <c r="BK32" s="67" t="n">
        <f aca="false">Model!BK61</f>
        <v>0</v>
      </c>
      <c r="BL32" s="67" t="n">
        <f aca="false">Model!BL61</f>
        <v>0</v>
      </c>
      <c r="BM32" s="67" t="n">
        <f aca="false">Model!BM61</f>
        <v>71700</v>
      </c>
      <c r="BN32" s="67" t="n">
        <f aca="false">Model!BN61</f>
        <v>0</v>
      </c>
      <c r="BO32" s="67" t="n">
        <f aca="false">Model!BO61</f>
        <v>0</v>
      </c>
      <c r="BP32" s="67" t="n">
        <f aca="false">Model!BP61</f>
        <v>74643</v>
      </c>
      <c r="BQ32" s="67" t="n">
        <f aca="false">Model!BQ61</f>
        <v>0</v>
      </c>
      <c r="BR32" s="67" t="n">
        <f aca="false">Model!BR61</f>
        <v>0</v>
      </c>
      <c r="BS32" s="67" t="n">
        <f aca="false">Model!BS61</f>
        <v>74640</v>
      </c>
      <c r="BT32" s="67" t="n">
        <f aca="false">Model!BT61</f>
        <v>0</v>
      </c>
      <c r="BU32" s="67" t="n">
        <f aca="false">Model!BU61</f>
        <v>0</v>
      </c>
      <c r="BV32" s="67" t="n">
        <f aca="false">Model!BV61</f>
        <v>74640</v>
      </c>
      <c r="BW32" s="67" t="n">
        <f aca="false">Model!BW61</f>
        <v>0</v>
      </c>
      <c r="BX32" s="67" t="n">
        <f aca="false">Model!BX61</f>
        <v>0</v>
      </c>
      <c r="BY32" s="67" t="n">
        <f aca="false">Model!BY61</f>
        <v>74640</v>
      </c>
      <c r="BZ32" s="67" t="n">
        <f aca="false">Model!BZ61</f>
        <v>0</v>
      </c>
      <c r="CA32" s="67" t="n">
        <f aca="false">Model!CA61</f>
        <v>0</v>
      </c>
      <c r="CB32" s="67" t="n">
        <f aca="false">Model!CB61</f>
        <v>81363</v>
      </c>
      <c r="CC32" s="67" t="n">
        <f aca="false">Model!CC61</f>
        <v>0</v>
      </c>
      <c r="CD32" s="67" t="n">
        <f aca="false">Model!CD61</f>
        <v>0</v>
      </c>
      <c r="CE32" s="67" t="n">
        <f aca="false">Model!CE61</f>
        <v>81362</v>
      </c>
      <c r="CF32" s="67" t="n">
        <f aca="false">Model!CF61</f>
        <v>0</v>
      </c>
      <c r="CG32" s="67" t="n">
        <f aca="false">Model!CG61</f>
        <v>0</v>
      </c>
      <c r="CH32" s="67" t="n">
        <f aca="false">Model!CH61</f>
        <v>81362</v>
      </c>
    </row>
    <row r="33" customFormat="false" ht="15" hidden="false" customHeight="true" outlineLevel="0" collapsed="false">
      <c r="A33" s="70" t="s">
        <v>214</v>
      </c>
      <c r="B33" s="3"/>
      <c r="C33" s="71" t="n">
        <f aca="false">Model!C83</f>
        <v>-0</v>
      </c>
      <c r="D33" s="71" t="n">
        <f aca="false">Model!D83</f>
        <v>-0</v>
      </c>
      <c r="E33" s="71" t="n">
        <f aca="false">Model!E83</f>
        <v>-0</v>
      </c>
      <c r="F33" s="71" t="n">
        <f aca="false">Model!F83</f>
        <v>-0</v>
      </c>
      <c r="G33" s="71" t="n">
        <f aca="false">Model!G83</f>
        <v>-0</v>
      </c>
      <c r="H33" s="71" t="n">
        <f aca="false">Model!H83</f>
        <v>-0</v>
      </c>
      <c r="I33" s="71" t="n">
        <f aca="false">Model!I83</f>
        <v>-0</v>
      </c>
      <c r="J33" s="71" t="n">
        <f aca="false">Model!J83</f>
        <v>-0</v>
      </c>
      <c r="K33" s="71" t="n">
        <f aca="false">Model!K83</f>
        <v>-0</v>
      </c>
      <c r="L33" s="71" t="n">
        <f aca="false">Model!L83</f>
        <v>-0</v>
      </c>
      <c r="M33" s="71" t="n">
        <f aca="false">Model!M83</f>
        <v>-0</v>
      </c>
      <c r="N33" s="71" t="n">
        <f aca="false">Model!N83</f>
        <v>-0</v>
      </c>
      <c r="O33" s="71" t="n">
        <f aca="false">Model!O83</f>
        <v>-0</v>
      </c>
      <c r="P33" s="71" t="n">
        <f aca="false">Model!P83</f>
        <v>-0</v>
      </c>
      <c r="Q33" s="71" t="n">
        <f aca="false">Model!Q83</f>
        <v>-0</v>
      </c>
      <c r="R33" s="71" t="n">
        <f aca="false">Model!R83</f>
        <v>-0</v>
      </c>
      <c r="S33" s="71" t="n">
        <f aca="false">Model!S83</f>
        <v>-0</v>
      </c>
      <c r="T33" s="71" t="n">
        <f aca="false">Model!T83</f>
        <v>-0</v>
      </c>
      <c r="U33" s="71" t="n">
        <f aca="false">Model!U83</f>
        <v>-0</v>
      </c>
      <c r="V33" s="71" t="n">
        <f aca="false">Model!V83</f>
        <v>-0</v>
      </c>
      <c r="W33" s="71" t="n">
        <f aca="false">Model!W83</f>
        <v>-0</v>
      </c>
      <c r="X33" s="71" t="n">
        <f aca="false">Model!X83</f>
        <v>-0</v>
      </c>
      <c r="Y33" s="71" t="n">
        <f aca="false">Model!Y83</f>
        <v>-0</v>
      </c>
      <c r="Z33" s="71" t="n">
        <f aca="false">Model!Z83</f>
        <v>-0</v>
      </c>
      <c r="AA33" s="71" t="n">
        <f aca="false">Model!AA83</f>
        <v>-0</v>
      </c>
      <c r="AB33" s="71" t="n">
        <f aca="false">Model!AB83</f>
        <v>-0</v>
      </c>
      <c r="AC33" s="71" t="n">
        <f aca="false">Model!AC83</f>
        <v>-0</v>
      </c>
      <c r="AD33" s="71" t="n">
        <f aca="false">Model!AD83</f>
        <v>-0</v>
      </c>
      <c r="AE33" s="71" t="n">
        <f aca="false">Model!AE83</f>
        <v>-0</v>
      </c>
      <c r="AF33" s="71" t="n">
        <f aca="false">Model!AF83</f>
        <v>-0</v>
      </c>
      <c r="AG33" s="71" t="n">
        <f aca="false">Model!AG83</f>
        <v>-0</v>
      </c>
      <c r="AH33" s="71" t="n">
        <f aca="false">Model!AH83</f>
        <v>-0</v>
      </c>
      <c r="AI33" s="71" t="n">
        <f aca="false">Model!AI83</f>
        <v>-0</v>
      </c>
      <c r="AJ33" s="71" t="n">
        <f aca="false">Model!AJ83</f>
        <v>-0</v>
      </c>
      <c r="AK33" s="71" t="n">
        <f aca="false">Model!AK83</f>
        <v>-0</v>
      </c>
      <c r="AL33" s="71" t="n">
        <f aca="false">Model!AL83</f>
        <v>-0</v>
      </c>
      <c r="AM33" s="71" t="n">
        <f aca="false">Model!AM83</f>
        <v>-0</v>
      </c>
      <c r="AN33" s="71" t="n">
        <f aca="false">Model!AN83</f>
        <v>-0</v>
      </c>
      <c r="AO33" s="71" t="n">
        <f aca="false">Model!AO83</f>
        <v>-0</v>
      </c>
      <c r="AP33" s="71" t="n">
        <f aca="false">Model!AP83</f>
        <v>-0</v>
      </c>
      <c r="AQ33" s="71" t="n">
        <f aca="false">Model!AQ83</f>
        <v>-0</v>
      </c>
      <c r="AR33" s="71" t="n">
        <f aca="false">Model!AR83</f>
        <v>-0</v>
      </c>
      <c r="AS33" s="71" t="n">
        <f aca="false">Model!AS83</f>
        <v>-0</v>
      </c>
      <c r="AT33" s="71" t="n">
        <f aca="false">Model!AT83</f>
        <v>-0</v>
      </c>
      <c r="AU33" s="71" t="n">
        <f aca="false">Model!AU83</f>
        <v>-0</v>
      </c>
      <c r="AV33" s="71" t="n">
        <f aca="false">Model!AV83</f>
        <v>-0</v>
      </c>
      <c r="AW33" s="71" t="n">
        <f aca="false">Model!AW83</f>
        <v>-0</v>
      </c>
      <c r="AX33" s="71" t="n">
        <f aca="false">Model!AX83</f>
        <v>-0</v>
      </c>
      <c r="AY33" s="71" t="n">
        <f aca="false">Model!AY83</f>
        <v>-0</v>
      </c>
      <c r="AZ33" s="71" t="n">
        <f aca="false">Model!AZ83</f>
        <v>-0</v>
      </c>
      <c r="BA33" s="71" t="n">
        <f aca="false">Model!BA83</f>
        <v>-851839</v>
      </c>
      <c r="BB33" s="71" t="n">
        <f aca="false">Model!BB83</f>
        <v>-0</v>
      </c>
      <c r="BC33" s="71" t="n">
        <f aca="false">Model!BC83</f>
        <v>-0</v>
      </c>
      <c r="BD33" s="71" t="n">
        <f aca="false">Model!BD83</f>
        <v>-71700</v>
      </c>
      <c r="BE33" s="71" t="n">
        <f aca="false">Model!BE83</f>
        <v>-0</v>
      </c>
      <c r="BF33" s="71" t="n">
        <f aca="false">Model!BF83</f>
        <v>-0</v>
      </c>
      <c r="BG33" s="71" t="n">
        <f aca="false">Model!BG83</f>
        <v>-71700</v>
      </c>
      <c r="BH33" s="71" t="n">
        <f aca="false">Model!BH83</f>
        <v>-0</v>
      </c>
      <c r="BI33" s="71" t="n">
        <f aca="false">Model!BI83</f>
        <v>-0</v>
      </c>
      <c r="BJ33" s="71" t="n">
        <f aca="false">Model!BJ83</f>
        <v>-71700</v>
      </c>
      <c r="BK33" s="71" t="n">
        <f aca="false">Model!BK83</f>
        <v>-0</v>
      </c>
      <c r="BL33" s="71" t="n">
        <f aca="false">Model!BL83</f>
        <v>-0</v>
      </c>
      <c r="BM33" s="71" t="n">
        <f aca="false">Model!BM83</f>
        <v>-71700</v>
      </c>
      <c r="BN33" s="71" t="n">
        <f aca="false">Model!BN83</f>
        <v>-0</v>
      </c>
      <c r="BO33" s="71" t="n">
        <f aca="false">Model!BO83</f>
        <v>-0</v>
      </c>
      <c r="BP33" s="71" t="n">
        <f aca="false">Model!BP83</f>
        <v>-74643</v>
      </c>
      <c r="BQ33" s="71" t="n">
        <f aca="false">Model!BQ83</f>
        <v>-0</v>
      </c>
      <c r="BR33" s="71" t="n">
        <f aca="false">Model!BR83</f>
        <v>-0</v>
      </c>
      <c r="BS33" s="71" t="n">
        <f aca="false">Model!BS83</f>
        <v>-74640</v>
      </c>
      <c r="BT33" s="71" t="n">
        <f aca="false">Model!BT83</f>
        <v>-0</v>
      </c>
      <c r="BU33" s="71" t="n">
        <f aca="false">Model!BU83</f>
        <v>-0</v>
      </c>
      <c r="BV33" s="71" t="n">
        <f aca="false">Model!BV83</f>
        <v>-74640</v>
      </c>
      <c r="BW33" s="71" t="n">
        <f aca="false">Model!BW83</f>
        <v>-0</v>
      </c>
      <c r="BX33" s="71" t="n">
        <f aca="false">Model!BX83</f>
        <v>-0</v>
      </c>
      <c r="BY33" s="71" t="n">
        <f aca="false">Model!BY83</f>
        <v>-74640</v>
      </c>
      <c r="BZ33" s="71" t="n">
        <f aca="false">Model!BZ83</f>
        <v>-0</v>
      </c>
      <c r="CA33" s="71" t="n">
        <f aca="false">Model!CA83</f>
        <v>-0</v>
      </c>
      <c r="CB33" s="71" t="n">
        <f aca="false">Model!CB83</f>
        <v>-81363</v>
      </c>
      <c r="CC33" s="71" t="n">
        <f aca="false">Model!CC83</f>
        <v>-0</v>
      </c>
      <c r="CD33" s="71" t="n">
        <f aca="false">Model!CD83</f>
        <v>-0</v>
      </c>
      <c r="CE33" s="71" t="n">
        <f aca="false">Model!CE83</f>
        <v>-81362</v>
      </c>
      <c r="CF33" s="71" t="n">
        <f aca="false">Model!CF83</f>
        <v>-0</v>
      </c>
      <c r="CG33" s="71" t="n">
        <f aca="false">Model!CG83</f>
        <v>-0</v>
      </c>
      <c r="CH33" s="71" t="n">
        <f aca="false">Model!CH83</f>
        <v>-74753.9733935208</v>
      </c>
    </row>
    <row r="34" customFormat="false" ht="15" hidden="false" customHeight="true" outlineLevel="0" collapsed="false">
      <c r="A34" s="70" t="s">
        <v>38</v>
      </c>
      <c r="B34" s="3"/>
      <c r="C34" s="71" t="n">
        <f aca="false">Model!C155</f>
        <v>0</v>
      </c>
      <c r="D34" s="71" t="n">
        <f aca="false">Model!D155</f>
        <v>0</v>
      </c>
      <c r="E34" s="71" t="n">
        <f aca="false">Model!E155</f>
        <v>0</v>
      </c>
      <c r="F34" s="71" t="n">
        <f aca="false">Model!F155</f>
        <v>0</v>
      </c>
      <c r="G34" s="71" t="n">
        <f aca="false">Model!G155</f>
        <v>0</v>
      </c>
      <c r="H34" s="71" t="n">
        <f aca="false">Model!H155</f>
        <v>0</v>
      </c>
      <c r="I34" s="71" t="n">
        <f aca="false">Model!I155</f>
        <v>0</v>
      </c>
      <c r="J34" s="71" t="n">
        <f aca="false">Model!J155</f>
        <v>0</v>
      </c>
      <c r="K34" s="71" t="n">
        <f aca="false">Model!K155</f>
        <v>0</v>
      </c>
      <c r="L34" s="71" t="n">
        <f aca="false">Model!L155</f>
        <v>0</v>
      </c>
      <c r="M34" s="71" t="n">
        <f aca="false">Model!M155</f>
        <v>0</v>
      </c>
      <c r="N34" s="71" t="n">
        <f aca="false">Model!N155</f>
        <v>0</v>
      </c>
      <c r="O34" s="71" t="n">
        <f aca="false">Model!O155</f>
        <v>0</v>
      </c>
      <c r="P34" s="71" t="n">
        <f aca="false">Model!P155</f>
        <v>0</v>
      </c>
      <c r="Q34" s="71" t="n">
        <f aca="false">Model!Q155</f>
        <v>0</v>
      </c>
      <c r="R34" s="71" t="n">
        <f aca="false">Model!R155</f>
        <v>0</v>
      </c>
      <c r="S34" s="71" t="n">
        <f aca="false">Model!S155</f>
        <v>0</v>
      </c>
      <c r="T34" s="71" t="n">
        <f aca="false">Model!T155</f>
        <v>0</v>
      </c>
      <c r="U34" s="71" t="n">
        <f aca="false">Model!U155</f>
        <v>0</v>
      </c>
      <c r="V34" s="71" t="n">
        <f aca="false">Model!V155</f>
        <v>0</v>
      </c>
      <c r="W34" s="71" t="n">
        <f aca="false">Model!W155</f>
        <v>0</v>
      </c>
      <c r="X34" s="71" t="n">
        <f aca="false">Model!X155</f>
        <v>0</v>
      </c>
      <c r="Y34" s="71" t="n">
        <f aca="false">Model!Y155</f>
        <v>0</v>
      </c>
      <c r="Z34" s="71" t="n">
        <f aca="false">Model!Z155</f>
        <v>0</v>
      </c>
      <c r="AA34" s="71" t="n">
        <f aca="false">Model!AA155</f>
        <v>0</v>
      </c>
      <c r="AB34" s="71" t="n">
        <f aca="false">Model!AB155</f>
        <v>0</v>
      </c>
      <c r="AC34" s="71" t="n">
        <f aca="false">Model!AC155</f>
        <v>0</v>
      </c>
      <c r="AD34" s="71" t="n">
        <f aca="false">Model!AD155</f>
        <v>0</v>
      </c>
      <c r="AE34" s="71" t="n">
        <f aca="false">Model!AE155</f>
        <v>0</v>
      </c>
      <c r="AF34" s="71" t="n">
        <f aca="false">Model!AF155</f>
        <v>0</v>
      </c>
      <c r="AG34" s="71" t="n">
        <f aca="false">Model!AG155</f>
        <v>0</v>
      </c>
      <c r="AH34" s="71" t="n">
        <f aca="false">Model!AH155</f>
        <v>0</v>
      </c>
      <c r="AI34" s="71" t="n">
        <f aca="false">Model!AI155</f>
        <v>0</v>
      </c>
      <c r="AJ34" s="71" t="n">
        <f aca="false">Model!AJ155</f>
        <v>0</v>
      </c>
      <c r="AK34" s="71" t="n">
        <f aca="false">Model!AK155</f>
        <v>0</v>
      </c>
      <c r="AL34" s="71" t="n">
        <f aca="false">Model!AL155</f>
        <v>0</v>
      </c>
      <c r="AM34" s="71" t="n">
        <f aca="false">Model!AM155</f>
        <v>0</v>
      </c>
      <c r="AN34" s="71" t="n">
        <f aca="false">Model!AN155</f>
        <v>0</v>
      </c>
      <c r="AO34" s="71" t="n">
        <f aca="false">Model!AO155</f>
        <v>0</v>
      </c>
      <c r="AP34" s="71" t="n">
        <f aca="false">Model!AP155</f>
        <v>0</v>
      </c>
      <c r="AQ34" s="71" t="n">
        <f aca="false">Model!AQ155</f>
        <v>0</v>
      </c>
      <c r="AR34" s="71" t="n">
        <f aca="false">Model!AR155</f>
        <v>0</v>
      </c>
      <c r="AS34" s="71" t="n">
        <f aca="false">Model!AS155</f>
        <v>0</v>
      </c>
      <c r="AT34" s="71" t="n">
        <f aca="false">Model!AT155</f>
        <v>0</v>
      </c>
      <c r="AU34" s="71" t="n">
        <f aca="false">Model!AU155</f>
        <v>0</v>
      </c>
      <c r="AV34" s="71" t="n">
        <f aca="false">Model!AV155</f>
        <v>0</v>
      </c>
      <c r="AW34" s="71" t="n">
        <f aca="false">Model!AW155</f>
        <v>0</v>
      </c>
      <c r="AX34" s="71" t="n">
        <f aca="false">Model!AX155</f>
        <v>0</v>
      </c>
      <c r="AY34" s="71" t="n">
        <f aca="false">Model!AY155</f>
        <v>0</v>
      </c>
      <c r="AZ34" s="71" t="n">
        <f aca="false">Model!AZ155</f>
        <v>0</v>
      </c>
      <c r="BA34" s="71" t="n">
        <f aca="false">Model!BA155</f>
        <v>0</v>
      </c>
      <c r="BB34" s="71" t="n">
        <f aca="false">Model!BB155</f>
        <v>0</v>
      </c>
      <c r="BC34" s="71" t="n">
        <f aca="false">Model!BC155</f>
        <v>0</v>
      </c>
      <c r="BD34" s="71" t="n">
        <f aca="false">Model!BD155</f>
        <v>0</v>
      </c>
      <c r="BE34" s="71" t="n">
        <f aca="false">Model!BE155</f>
        <v>0</v>
      </c>
      <c r="BF34" s="71" t="n">
        <f aca="false">Model!BF155</f>
        <v>0</v>
      </c>
      <c r="BG34" s="71" t="n">
        <f aca="false">Model!BG155</f>
        <v>0</v>
      </c>
      <c r="BH34" s="71" t="n">
        <f aca="false">Model!BH155</f>
        <v>0</v>
      </c>
      <c r="BI34" s="71" t="n">
        <f aca="false">Model!BI155</f>
        <v>0</v>
      </c>
      <c r="BJ34" s="71" t="n">
        <f aca="false">Model!BJ155</f>
        <v>0</v>
      </c>
      <c r="BK34" s="71" t="n">
        <f aca="false">Model!BK155</f>
        <v>0</v>
      </c>
      <c r="BL34" s="71" t="n">
        <f aca="false">Model!BL155</f>
        <v>0</v>
      </c>
      <c r="BM34" s="71" t="n">
        <f aca="false">Model!BM155</f>
        <v>0</v>
      </c>
      <c r="BN34" s="71" t="n">
        <f aca="false">Model!BN155</f>
        <v>0</v>
      </c>
      <c r="BO34" s="71" t="n">
        <f aca="false">Model!BO155</f>
        <v>0</v>
      </c>
      <c r="BP34" s="71" t="n">
        <f aca="false">Model!BP155</f>
        <v>0</v>
      </c>
      <c r="BQ34" s="71" t="n">
        <f aca="false">Model!BQ155</f>
        <v>0</v>
      </c>
      <c r="BR34" s="71" t="n">
        <f aca="false">Model!BR155</f>
        <v>0</v>
      </c>
      <c r="BS34" s="71" t="n">
        <f aca="false">Model!BS155</f>
        <v>0</v>
      </c>
      <c r="BT34" s="71" t="n">
        <f aca="false">Model!BT155</f>
        <v>0</v>
      </c>
      <c r="BU34" s="71" t="n">
        <f aca="false">Model!BU155</f>
        <v>0</v>
      </c>
      <c r="BV34" s="71" t="n">
        <f aca="false">Model!BV155</f>
        <v>0</v>
      </c>
      <c r="BW34" s="71" t="n">
        <f aca="false">Model!BW155</f>
        <v>0</v>
      </c>
      <c r="BX34" s="71" t="n">
        <f aca="false">Model!BX155</f>
        <v>0</v>
      </c>
      <c r="BY34" s="71" t="n">
        <f aca="false">Model!BY155</f>
        <v>0</v>
      </c>
      <c r="BZ34" s="71" t="n">
        <f aca="false">Model!BZ155</f>
        <v>0</v>
      </c>
      <c r="CA34" s="71" t="n">
        <f aca="false">Model!CA155</f>
        <v>0</v>
      </c>
      <c r="CB34" s="71" t="n">
        <f aca="false">Model!CB155</f>
        <v>0</v>
      </c>
      <c r="CC34" s="71" t="n">
        <f aca="false">Model!CC155</f>
        <v>0</v>
      </c>
      <c r="CD34" s="71" t="n">
        <f aca="false">Model!CD155</f>
        <v>0</v>
      </c>
      <c r="CE34" s="71" t="n">
        <f aca="false">Model!CE155</f>
        <v>0</v>
      </c>
      <c r="CF34" s="71" t="n">
        <f aca="false">Model!CF155</f>
        <v>0</v>
      </c>
      <c r="CG34" s="71" t="n">
        <f aca="false">Model!CG155</f>
        <v>0</v>
      </c>
      <c r="CH34" s="71" t="n">
        <f aca="false">Model!CH155</f>
        <v>0</v>
      </c>
    </row>
    <row r="35" customFormat="false" ht="15" hidden="false" customHeight="true" outlineLevel="0" collapsed="false">
      <c r="A35" s="30" t="s">
        <v>211</v>
      </c>
      <c r="B35" s="30"/>
      <c r="C35" s="68" t="n">
        <f aca="false">C32+C33+C34</f>
        <v>0</v>
      </c>
      <c r="D35" s="68" t="n">
        <f aca="false">D32+D33+D34</f>
        <v>0</v>
      </c>
      <c r="E35" s="68" t="n">
        <f aca="false">E32+E33+E34</f>
        <v>0</v>
      </c>
      <c r="F35" s="68" t="n">
        <f aca="false">F32+F33+F34</f>
        <v>0</v>
      </c>
      <c r="G35" s="68" t="n">
        <f aca="false">G32+G33+G34</f>
        <v>0</v>
      </c>
      <c r="H35" s="68" t="n">
        <f aca="false">H32+H33+H34</f>
        <v>0</v>
      </c>
      <c r="I35" s="68" t="n">
        <f aca="false">I32+I33+I34</f>
        <v>0</v>
      </c>
      <c r="J35" s="68" t="n">
        <f aca="false">J32+J33+J34</f>
        <v>0</v>
      </c>
      <c r="K35" s="68" t="n">
        <f aca="false">K32+K33+K34</f>
        <v>0</v>
      </c>
      <c r="L35" s="68" t="n">
        <f aca="false">L32+L33+L34</f>
        <v>0</v>
      </c>
      <c r="M35" s="68" t="n">
        <f aca="false">M32+M33+M34</f>
        <v>0</v>
      </c>
      <c r="N35" s="68" t="n">
        <f aca="false">N32+N33+N34</f>
        <v>0</v>
      </c>
      <c r="O35" s="68" t="n">
        <f aca="false">O32+O33+O34</f>
        <v>0</v>
      </c>
      <c r="P35" s="68" t="n">
        <f aca="false">P32+P33+P34</f>
        <v>0</v>
      </c>
      <c r="Q35" s="68" t="n">
        <f aca="false">Q32+Q33+Q34</f>
        <v>0</v>
      </c>
      <c r="R35" s="68" t="n">
        <f aca="false">R32+R33+R34</f>
        <v>0</v>
      </c>
      <c r="S35" s="68" t="n">
        <f aca="false">S32+S33+S34</f>
        <v>0</v>
      </c>
      <c r="T35" s="68" t="n">
        <f aca="false">T32+T33+T34</f>
        <v>0</v>
      </c>
      <c r="U35" s="68" t="n">
        <f aca="false">U32+U33+U34</f>
        <v>0</v>
      </c>
      <c r="V35" s="68" t="n">
        <f aca="false">V32+V33+V34</f>
        <v>0</v>
      </c>
      <c r="W35" s="68" t="n">
        <f aca="false">W32+W33+W34</f>
        <v>0</v>
      </c>
      <c r="X35" s="68" t="n">
        <f aca="false">X32+X33+X34</f>
        <v>0</v>
      </c>
      <c r="Y35" s="68" t="n">
        <f aca="false">Y32+Y33+Y34</f>
        <v>0</v>
      </c>
      <c r="Z35" s="68" t="n">
        <f aca="false">Z32+Z33+Z34</f>
        <v>0</v>
      </c>
      <c r="AA35" s="68" t="n">
        <f aca="false">AA32+AA33+AA34</f>
        <v>0</v>
      </c>
      <c r="AB35" s="68" t="n">
        <f aca="false">AB32+AB33+AB34</f>
        <v>0</v>
      </c>
      <c r="AC35" s="68" t="n">
        <f aca="false">AC32+AC33+AC34</f>
        <v>0</v>
      </c>
      <c r="AD35" s="68" t="n">
        <f aca="false">AD32+AD33+AD34</f>
        <v>0</v>
      </c>
      <c r="AE35" s="68" t="n">
        <f aca="false">AE32+AE33+AE34</f>
        <v>0</v>
      </c>
      <c r="AF35" s="68" t="n">
        <f aca="false">AF32+AF33+AF34</f>
        <v>0</v>
      </c>
      <c r="AG35" s="68" t="n">
        <f aca="false">AG32+AG33+AG34</f>
        <v>0</v>
      </c>
      <c r="AH35" s="68" t="n">
        <f aca="false">AH32+AH33+AH34</f>
        <v>0</v>
      </c>
      <c r="AI35" s="68" t="n">
        <f aca="false">AI32+AI33+AI34</f>
        <v>0</v>
      </c>
      <c r="AJ35" s="68" t="n">
        <f aca="false">AJ32+AJ33+AJ34</f>
        <v>0</v>
      </c>
      <c r="AK35" s="68" t="n">
        <f aca="false">AK32+AK33+AK34</f>
        <v>0</v>
      </c>
      <c r="AL35" s="68" t="n">
        <f aca="false">AL32+AL33+AL34</f>
        <v>0</v>
      </c>
      <c r="AM35" s="68" t="n">
        <f aca="false">AM32+AM33+AM34</f>
        <v>0</v>
      </c>
      <c r="AN35" s="68" t="n">
        <f aca="false">AN32+AN33+AN34</f>
        <v>0</v>
      </c>
      <c r="AO35" s="68" t="n">
        <f aca="false">AO32+AO33+AO34</f>
        <v>0</v>
      </c>
      <c r="AP35" s="68" t="n">
        <f aca="false">AP32+AP33+AP34</f>
        <v>0</v>
      </c>
      <c r="AQ35" s="68" t="n">
        <f aca="false">AQ32+AQ33+AQ34</f>
        <v>0</v>
      </c>
      <c r="AR35" s="68" t="n">
        <f aca="false">AR32+AR33+AR34</f>
        <v>0</v>
      </c>
      <c r="AS35" s="68" t="n">
        <f aca="false">AS32+AS33+AS34</f>
        <v>0</v>
      </c>
      <c r="AT35" s="68" t="n">
        <f aca="false">AT32+AT33+AT34</f>
        <v>0</v>
      </c>
      <c r="AU35" s="68" t="n">
        <f aca="false">AU32+AU33+AU34</f>
        <v>0</v>
      </c>
      <c r="AV35" s="68" t="n">
        <f aca="false">AV32+AV33+AV34</f>
        <v>0</v>
      </c>
      <c r="AW35" s="68" t="n">
        <f aca="false">AW32+AW33+AW34</f>
        <v>0</v>
      </c>
      <c r="AX35" s="68" t="n">
        <f aca="false">AX32+AX33+AX34</f>
        <v>0</v>
      </c>
      <c r="AY35" s="68" t="n">
        <f aca="false">AY32+AY33+AY34</f>
        <v>0</v>
      </c>
      <c r="AZ35" s="68" t="n">
        <f aca="false">AZ32+AZ33+AZ34</f>
        <v>0</v>
      </c>
      <c r="BA35" s="68" t="n">
        <f aca="false">BA32+BA33+BA34</f>
        <v>0</v>
      </c>
      <c r="BB35" s="68" t="n">
        <f aca="false">BB32+BB33+BB34</f>
        <v>0</v>
      </c>
      <c r="BC35" s="68" t="n">
        <f aca="false">BC32+BC33+BC34</f>
        <v>0</v>
      </c>
      <c r="BD35" s="68" t="n">
        <f aca="false">BD32+BD33+BD34</f>
        <v>0</v>
      </c>
      <c r="BE35" s="68" t="n">
        <f aca="false">BE32+BE33+BE34</f>
        <v>0</v>
      </c>
      <c r="BF35" s="68" t="n">
        <f aca="false">BF32+BF33+BF34</f>
        <v>0</v>
      </c>
      <c r="BG35" s="68" t="n">
        <f aca="false">BG32+BG33+BG34</f>
        <v>0</v>
      </c>
      <c r="BH35" s="68" t="n">
        <f aca="false">BH32+BH33+BH34</f>
        <v>0</v>
      </c>
      <c r="BI35" s="68" t="n">
        <f aca="false">BI32+BI33+BI34</f>
        <v>0</v>
      </c>
      <c r="BJ35" s="68" t="n">
        <f aca="false">BJ32+BJ33+BJ34</f>
        <v>0</v>
      </c>
      <c r="BK35" s="68" t="n">
        <f aca="false">BK32+BK33+BK34</f>
        <v>0</v>
      </c>
      <c r="BL35" s="68" t="n">
        <f aca="false">BL32+BL33+BL34</f>
        <v>0</v>
      </c>
      <c r="BM35" s="68" t="n">
        <f aca="false">BM32+BM33+BM34</f>
        <v>0</v>
      </c>
      <c r="BN35" s="68" t="n">
        <f aca="false">BN32+BN33+BN34</f>
        <v>0</v>
      </c>
      <c r="BO35" s="68" t="n">
        <f aca="false">BO32+BO33+BO34</f>
        <v>0</v>
      </c>
      <c r="BP35" s="68" t="n">
        <f aca="false">BP32+BP33+BP34</f>
        <v>0</v>
      </c>
      <c r="BQ35" s="68" t="n">
        <f aca="false">BQ32+BQ33+BQ34</f>
        <v>0</v>
      </c>
      <c r="BR35" s="68" t="n">
        <f aca="false">BR32+BR33+BR34</f>
        <v>0</v>
      </c>
      <c r="BS35" s="68" t="n">
        <f aca="false">BS32+BS33+BS34</f>
        <v>0</v>
      </c>
      <c r="BT35" s="68" t="n">
        <f aca="false">BT32+BT33+BT34</f>
        <v>0</v>
      </c>
      <c r="BU35" s="68" t="n">
        <f aca="false">BU32+BU33+BU34</f>
        <v>0</v>
      </c>
      <c r="BV35" s="68" t="n">
        <f aca="false">BV32+BV33+BV34</f>
        <v>0</v>
      </c>
      <c r="BW35" s="68" t="n">
        <f aca="false">BW32+BW33+BW34</f>
        <v>0</v>
      </c>
      <c r="BX35" s="68" t="n">
        <f aca="false">BX32+BX33+BX34</f>
        <v>0</v>
      </c>
      <c r="BY35" s="68" t="n">
        <f aca="false">BY32+BY33+BY34</f>
        <v>0</v>
      </c>
      <c r="BZ35" s="68" t="n">
        <f aca="false">BZ32+BZ33+BZ34</f>
        <v>0</v>
      </c>
      <c r="CA35" s="68" t="n">
        <f aca="false">CA32+CA33+CA34</f>
        <v>0</v>
      </c>
      <c r="CB35" s="68" t="n">
        <f aca="false">CB32+CB33+CB34</f>
        <v>0</v>
      </c>
      <c r="CC35" s="68" t="n">
        <f aca="false">CC32+CC33+CC34</f>
        <v>0</v>
      </c>
      <c r="CD35" s="68" t="n">
        <f aca="false">CD32+CD33+CD34</f>
        <v>0</v>
      </c>
      <c r="CE35" s="68" t="n">
        <f aca="false">CE32+CE33+CE34</f>
        <v>0</v>
      </c>
      <c r="CF35" s="68" t="n">
        <f aca="false">CF32+CF33+CF34</f>
        <v>0</v>
      </c>
      <c r="CG35" s="68" t="n">
        <f aca="false">CG32+CG33+CG34</f>
        <v>0</v>
      </c>
      <c r="CH35" s="68" t="n">
        <f aca="false">CH32+CH33+CH34</f>
        <v>6608.02660647922</v>
      </c>
    </row>
    <row r="36" customFormat="false" ht="15" hidden="false" customHeight="true" outlineLevel="0" collapsed="false">
      <c r="A36" s="61" t="s">
        <v>212</v>
      </c>
      <c r="B36" s="3"/>
      <c r="C36" s="69" t="n">
        <f aca="false">C35</f>
        <v>0</v>
      </c>
      <c r="D36" s="69" t="n">
        <f aca="false">C36+D35</f>
        <v>0</v>
      </c>
      <c r="E36" s="69" t="n">
        <f aca="false">D36+E35</f>
        <v>0</v>
      </c>
      <c r="F36" s="69" t="n">
        <f aca="false">E36+F35</f>
        <v>0</v>
      </c>
      <c r="G36" s="69" t="n">
        <f aca="false">F36+G35</f>
        <v>0</v>
      </c>
      <c r="H36" s="69" t="n">
        <f aca="false">G36+H35</f>
        <v>0</v>
      </c>
      <c r="I36" s="69" t="n">
        <f aca="false">H36+I35</f>
        <v>0</v>
      </c>
      <c r="J36" s="69" t="n">
        <f aca="false">I36+J35</f>
        <v>0</v>
      </c>
      <c r="K36" s="69" t="n">
        <f aca="false">J36+K35</f>
        <v>0</v>
      </c>
      <c r="L36" s="69" t="n">
        <f aca="false">K36+L35</f>
        <v>0</v>
      </c>
      <c r="M36" s="69" t="n">
        <f aca="false">L36+M35</f>
        <v>0</v>
      </c>
      <c r="N36" s="69" t="n">
        <f aca="false">M36+N35</f>
        <v>0</v>
      </c>
      <c r="O36" s="69" t="n">
        <f aca="false">N36+O35</f>
        <v>0</v>
      </c>
      <c r="P36" s="69" t="n">
        <f aca="false">O36+P35</f>
        <v>0</v>
      </c>
      <c r="Q36" s="69" t="n">
        <f aca="false">P36+Q35</f>
        <v>0</v>
      </c>
      <c r="R36" s="69" t="n">
        <f aca="false">Q36+R35</f>
        <v>0</v>
      </c>
      <c r="S36" s="69" t="n">
        <f aca="false">R36+S35</f>
        <v>0</v>
      </c>
      <c r="T36" s="69" t="n">
        <f aca="false">S36+T35</f>
        <v>0</v>
      </c>
      <c r="U36" s="69" t="n">
        <f aca="false">T36+U35</f>
        <v>0</v>
      </c>
      <c r="V36" s="69" t="n">
        <f aca="false">U36+V35</f>
        <v>0</v>
      </c>
      <c r="W36" s="69" t="n">
        <f aca="false">V36+W35</f>
        <v>0</v>
      </c>
      <c r="X36" s="69" t="n">
        <f aca="false">W36+X35</f>
        <v>0</v>
      </c>
      <c r="Y36" s="69" t="n">
        <f aca="false">X36+Y35</f>
        <v>0</v>
      </c>
      <c r="Z36" s="69" t="n">
        <f aca="false">Y36+Z35</f>
        <v>0</v>
      </c>
      <c r="AA36" s="69" t="n">
        <f aca="false">Z36+AA35</f>
        <v>0</v>
      </c>
      <c r="AB36" s="69" t="n">
        <f aca="false">AA36+AB35</f>
        <v>0</v>
      </c>
      <c r="AC36" s="69" t="n">
        <f aca="false">AB36+AC35</f>
        <v>0</v>
      </c>
      <c r="AD36" s="69" t="n">
        <f aca="false">AC36+AD35</f>
        <v>0</v>
      </c>
      <c r="AE36" s="69" t="n">
        <f aca="false">AD36+AE35</f>
        <v>0</v>
      </c>
      <c r="AF36" s="69" t="n">
        <f aca="false">AE36+AF35</f>
        <v>0</v>
      </c>
      <c r="AG36" s="69" t="n">
        <f aca="false">AF36+AG35</f>
        <v>0</v>
      </c>
      <c r="AH36" s="69" t="n">
        <f aca="false">AG36+AH35</f>
        <v>0</v>
      </c>
      <c r="AI36" s="69" t="n">
        <f aca="false">AH36+AI35</f>
        <v>0</v>
      </c>
      <c r="AJ36" s="69" t="n">
        <f aca="false">AI36+AJ35</f>
        <v>0</v>
      </c>
      <c r="AK36" s="69" t="n">
        <f aca="false">AJ36+AK35</f>
        <v>0</v>
      </c>
      <c r="AL36" s="69" t="n">
        <f aca="false">AK36+AL35</f>
        <v>0</v>
      </c>
      <c r="AM36" s="69" t="n">
        <f aca="false">AL36+AM35</f>
        <v>0</v>
      </c>
      <c r="AN36" s="69" t="n">
        <f aca="false">AM36+AN35</f>
        <v>0</v>
      </c>
      <c r="AO36" s="69" t="n">
        <f aca="false">AN36+AO35</f>
        <v>0</v>
      </c>
      <c r="AP36" s="69" t="n">
        <f aca="false">AO36+AP35</f>
        <v>0</v>
      </c>
      <c r="AQ36" s="69" t="n">
        <f aca="false">AP36+AQ35</f>
        <v>0</v>
      </c>
      <c r="AR36" s="69" t="n">
        <f aca="false">AQ36+AR35</f>
        <v>0</v>
      </c>
      <c r="AS36" s="69" t="n">
        <f aca="false">AR36+AS35</f>
        <v>0</v>
      </c>
      <c r="AT36" s="69" t="n">
        <f aca="false">AS36+AT35</f>
        <v>0</v>
      </c>
      <c r="AU36" s="69" t="n">
        <f aca="false">AT36+AU35</f>
        <v>0</v>
      </c>
      <c r="AV36" s="69" t="n">
        <f aca="false">AU36+AV35</f>
        <v>0</v>
      </c>
      <c r="AW36" s="69" t="n">
        <f aca="false">AV36+AW35</f>
        <v>0</v>
      </c>
      <c r="AX36" s="69" t="n">
        <f aca="false">AW36+AX35</f>
        <v>0</v>
      </c>
      <c r="AY36" s="69" t="n">
        <f aca="false">AX36+AY35</f>
        <v>0</v>
      </c>
      <c r="AZ36" s="69" t="n">
        <f aca="false">AY36+AZ35</f>
        <v>0</v>
      </c>
      <c r="BA36" s="69" t="n">
        <f aca="false">AZ36+BA35</f>
        <v>0</v>
      </c>
      <c r="BB36" s="69" t="n">
        <f aca="false">BA36+BB35</f>
        <v>0</v>
      </c>
      <c r="BC36" s="69" t="n">
        <f aca="false">BB36+BC35</f>
        <v>0</v>
      </c>
      <c r="BD36" s="69" t="n">
        <f aca="false">BC36+BD35</f>
        <v>0</v>
      </c>
      <c r="BE36" s="69" t="n">
        <f aca="false">BD36+BE35</f>
        <v>0</v>
      </c>
      <c r="BF36" s="69" t="n">
        <f aca="false">BE36+BF35</f>
        <v>0</v>
      </c>
      <c r="BG36" s="69" t="n">
        <f aca="false">BF36+BG35</f>
        <v>0</v>
      </c>
      <c r="BH36" s="69" t="n">
        <f aca="false">BG36+BH35</f>
        <v>0</v>
      </c>
      <c r="BI36" s="69" t="n">
        <f aca="false">BH36+BI35</f>
        <v>0</v>
      </c>
      <c r="BJ36" s="69" t="n">
        <f aca="false">BI36+BJ35</f>
        <v>0</v>
      </c>
      <c r="BK36" s="69" t="n">
        <f aca="false">BJ36+BK35</f>
        <v>0</v>
      </c>
      <c r="BL36" s="69" t="n">
        <f aca="false">BK36+BL35</f>
        <v>0</v>
      </c>
      <c r="BM36" s="69" t="n">
        <f aca="false">BL36+BM35</f>
        <v>0</v>
      </c>
      <c r="BN36" s="69" t="n">
        <f aca="false">BM36+BN35</f>
        <v>0</v>
      </c>
      <c r="BO36" s="69" t="n">
        <f aca="false">BN36+BO35</f>
        <v>0</v>
      </c>
      <c r="BP36" s="69" t="n">
        <f aca="false">BO36+BP35</f>
        <v>0</v>
      </c>
      <c r="BQ36" s="69" t="n">
        <f aca="false">BP36+BQ35</f>
        <v>0</v>
      </c>
      <c r="BR36" s="69" t="n">
        <f aca="false">BQ36+BR35</f>
        <v>0</v>
      </c>
      <c r="BS36" s="69" t="n">
        <f aca="false">BR36+BS35</f>
        <v>0</v>
      </c>
      <c r="BT36" s="69" t="n">
        <f aca="false">BS36+BT35</f>
        <v>0</v>
      </c>
      <c r="BU36" s="69" t="n">
        <f aca="false">BT36+BU35</f>
        <v>0</v>
      </c>
      <c r="BV36" s="69" t="n">
        <f aca="false">BU36+BV35</f>
        <v>0</v>
      </c>
      <c r="BW36" s="69" t="n">
        <f aca="false">BV36+BW35</f>
        <v>0</v>
      </c>
      <c r="BX36" s="69" t="n">
        <f aca="false">BW36+BX35</f>
        <v>0</v>
      </c>
      <c r="BY36" s="69" t="n">
        <f aca="false">BX36+BY35</f>
        <v>0</v>
      </c>
      <c r="BZ36" s="69" t="n">
        <f aca="false">BY36+BZ35</f>
        <v>0</v>
      </c>
      <c r="CA36" s="69" t="n">
        <f aca="false">BZ36+CA35</f>
        <v>0</v>
      </c>
      <c r="CB36" s="69" t="n">
        <f aca="false">CA36+CB35</f>
        <v>0</v>
      </c>
      <c r="CC36" s="69" t="n">
        <f aca="false">CB36+CC35</f>
        <v>0</v>
      </c>
      <c r="CD36" s="69" t="n">
        <f aca="false">CC36+CD35</f>
        <v>0</v>
      </c>
      <c r="CE36" s="69" t="n">
        <f aca="false">CD36+CE35</f>
        <v>0</v>
      </c>
      <c r="CF36" s="69" t="n">
        <f aca="false">CE36+CF35</f>
        <v>0</v>
      </c>
      <c r="CG36" s="69" t="n">
        <f aca="false">CF36+CG35</f>
        <v>0</v>
      </c>
      <c r="CH36" s="69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7" t="n">
        <v>0</v>
      </c>
      <c r="D39" s="67" t="n">
        <v>0</v>
      </c>
      <c r="E39" s="67" t="n">
        <v>0</v>
      </c>
      <c r="F39" s="67" t="n">
        <v>0</v>
      </c>
      <c r="G39" s="67" t="n">
        <v>0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</v>
      </c>
      <c r="S39" s="67" t="n">
        <v>0</v>
      </c>
      <c r="T39" s="67" t="n">
        <v>0</v>
      </c>
      <c r="U39" s="67" t="n">
        <v>0</v>
      </c>
      <c r="V39" s="67" t="n">
        <v>0</v>
      </c>
      <c r="W39" s="67" t="n">
        <v>0</v>
      </c>
      <c r="X39" s="67" t="n">
        <v>0</v>
      </c>
      <c r="Y39" s="67" t="n">
        <v>0</v>
      </c>
      <c r="Z39" s="67" t="n">
        <v>0</v>
      </c>
      <c r="AA39" s="67" t="n">
        <v>0</v>
      </c>
      <c r="AB39" s="67" t="n">
        <v>0</v>
      </c>
      <c r="AC39" s="67" t="n">
        <v>0</v>
      </c>
      <c r="AD39" s="67" t="n">
        <v>0</v>
      </c>
      <c r="AE39" s="67" t="n">
        <v>0</v>
      </c>
      <c r="AF39" s="67" t="n">
        <v>0</v>
      </c>
      <c r="AG39" s="67" t="n">
        <v>0</v>
      </c>
      <c r="AH39" s="67" t="n">
        <v>0</v>
      </c>
      <c r="AI39" s="67" t="n">
        <v>0</v>
      </c>
      <c r="AJ39" s="67" t="n">
        <v>0</v>
      </c>
      <c r="AK39" s="67" t="n">
        <v>0</v>
      </c>
      <c r="AL39" s="67" t="n">
        <v>0</v>
      </c>
      <c r="AM39" s="67" t="n">
        <v>0</v>
      </c>
      <c r="AN39" s="67" t="n">
        <v>0</v>
      </c>
      <c r="AO39" s="67" t="n">
        <v>0</v>
      </c>
      <c r="AP39" s="67" t="n">
        <v>0</v>
      </c>
      <c r="AQ39" s="67" t="n">
        <v>0</v>
      </c>
      <c r="AR39" s="67" t="n">
        <v>0</v>
      </c>
      <c r="AS39" s="67" t="n">
        <v>0</v>
      </c>
      <c r="AT39" s="67" t="n">
        <v>0</v>
      </c>
      <c r="AU39" s="67" t="n">
        <v>0</v>
      </c>
      <c r="AV39" s="67" t="n">
        <v>0</v>
      </c>
      <c r="AW39" s="67" t="n">
        <v>0</v>
      </c>
      <c r="AX39" s="67" t="n">
        <v>0</v>
      </c>
      <c r="AY39" s="67" t="n">
        <v>0</v>
      </c>
      <c r="AZ39" s="67" t="n">
        <v>0</v>
      </c>
      <c r="BA39" s="67" t="n">
        <v>0</v>
      </c>
      <c r="BB39" s="67" t="n">
        <v>0</v>
      </c>
      <c r="BC39" s="67" t="n">
        <v>0</v>
      </c>
      <c r="BD39" s="67" t="n">
        <v>0</v>
      </c>
      <c r="BE39" s="67" t="n">
        <v>0</v>
      </c>
      <c r="BF39" s="67" t="n">
        <v>0</v>
      </c>
      <c r="BG39" s="67" t="n">
        <v>0</v>
      </c>
      <c r="BH39" s="67" t="n">
        <v>0</v>
      </c>
      <c r="BI39" s="67" t="n">
        <v>0</v>
      </c>
      <c r="BJ39" s="67" t="n">
        <v>0</v>
      </c>
      <c r="BK39" s="67" t="n">
        <v>0</v>
      </c>
      <c r="BL39" s="67" t="n">
        <v>0</v>
      </c>
      <c r="BM39" s="67" t="n">
        <v>0</v>
      </c>
      <c r="BN39" s="67" t="n">
        <v>0</v>
      </c>
      <c r="BO39" s="67" t="n">
        <v>0</v>
      </c>
      <c r="BP39" s="67" t="n">
        <v>0</v>
      </c>
      <c r="BQ39" s="67" t="n">
        <v>0</v>
      </c>
      <c r="BR39" s="67" t="n">
        <v>0</v>
      </c>
      <c r="BS39" s="67" t="n">
        <v>0</v>
      </c>
      <c r="BT39" s="67" t="n">
        <v>0</v>
      </c>
      <c r="BU39" s="67" t="n">
        <v>0</v>
      </c>
      <c r="BV39" s="67" t="n">
        <v>0</v>
      </c>
      <c r="BW39" s="67" t="n">
        <v>0</v>
      </c>
      <c r="BX39" s="67" t="n">
        <v>0</v>
      </c>
      <c r="BY39" s="67" t="n">
        <v>0</v>
      </c>
      <c r="BZ39" s="67" t="n">
        <v>0</v>
      </c>
      <c r="CA39" s="67" t="n">
        <v>0</v>
      </c>
      <c r="CB39" s="67" t="n">
        <v>0</v>
      </c>
      <c r="CC39" s="67" t="n">
        <v>0</v>
      </c>
      <c r="CD39" s="67" t="n">
        <v>0</v>
      </c>
      <c r="CE39" s="67" t="n">
        <v>0</v>
      </c>
      <c r="CF39" s="67" t="n">
        <v>0</v>
      </c>
      <c r="CG39" s="67" t="n">
        <v>0</v>
      </c>
      <c r="CH39" s="67" t="n">
        <v>0</v>
      </c>
    </row>
    <row r="40" customFormat="false" ht="15" hidden="false" customHeight="true" outlineLevel="0" collapsed="false">
      <c r="A40" s="70" t="s">
        <v>214</v>
      </c>
      <c r="B40" s="3"/>
      <c r="C40" s="71" t="n">
        <f aca="false">Model!C84</f>
        <v>-0</v>
      </c>
      <c r="D40" s="71" t="n">
        <f aca="false">Model!D84</f>
        <v>-0</v>
      </c>
      <c r="E40" s="71" t="n">
        <f aca="false">Model!E84</f>
        <v>-0</v>
      </c>
      <c r="F40" s="71" t="n">
        <f aca="false">Model!F84</f>
        <v>-0</v>
      </c>
      <c r="G40" s="71" t="n">
        <f aca="false">Model!G84</f>
        <v>-0</v>
      </c>
      <c r="H40" s="71" t="n">
        <f aca="false">Model!H84</f>
        <v>-0</v>
      </c>
      <c r="I40" s="71" t="n">
        <f aca="false">Model!I84</f>
        <v>-0</v>
      </c>
      <c r="J40" s="71" t="n">
        <f aca="false">Model!J84</f>
        <v>-0</v>
      </c>
      <c r="K40" s="71" t="n">
        <f aca="false">Model!K84</f>
        <v>-0</v>
      </c>
      <c r="L40" s="71" t="n">
        <f aca="false">Model!L84</f>
        <v>-0</v>
      </c>
      <c r="M40" s="71" t="n">
        <f aca="false">Model!M84</f>
        <v>-0</v>
      </c>
      <c r="N40" s="71" t="n">
        <f aca="false">Model!N84</f>
        <v>-0</v>
      </c>
      <c r="O40" s="71" t="n">
        <f aca="false">Model!O84</f>
        <v>-0</v>
      </c>
      <c r="P40" s="71" t="n">
        <f aca="false">Model!P84</f>
        <v>-0</v>
      </c>
      <c r="Q40" s="71" t="n">
        <f aca="false">Model!Q84</f>
        <v>-0</v>
      </c>
      <c r="R40" s="71" t="n">
        <f aca="false">Model!R84</f>
        <v>-0</v>
      </c>
      <c r="S40" s="71" t="n">
        <f aca="false">Model!S84</f>
        <v>-0</v>
      </c>
      <c r="T40" s="71" t="n">
        <f aca="false">Model!T84</f>
        <v>-0</v>
      </c>
      <c r="U40" s="71" t="n">
        <f aca="false">Model!U84</f>
        <v>-0</v>
      </c>
      <c r="V40" s="71" t="n">
        <f aca="false">Model!V84</f>
        <v>-0</v>
      </c>
      <c r="W40" s="71" t="n">
        <f aca="false">Model!W84</f>
        <v>-0</v>
      </c>
      <c r="X40" s="71" t="n">
        <f aca="false">Model!X84</f>
        <v>-0</v>
      </c>
      <c r="Y40" s="71" t="n">
        <f aca="false">Model!Y84</f>
        <v>-0</v>
      </c>
      <c r="Z40" s="71" t="n">
        <f aca="false">Model!Z84</f>
        <v>-0</v>
      </c>
      <c r="AA40" s="71" t="n">
        <f aca="false">Model!AA84</f>
        <v>-0</v>
      </c>
      <c r="AB40" s="71" t="n">
        <f aca="false">Model!AB84</f>
        <v>-0</v>
      </c>
      <c r="AC40" s="71" t="n">
        <f aca="false">Model!AC84</f>
        <v>-0</v>
      </c>
      <c r="AD40" s="71" t="n">
        <f aca="false">Model!AD84</f>
        <v>-0</v>
      </c>
      <c r="AE40" s="71" t="n">
        <f aca="false">Model!AE84</f>
        <v>-0</v>
      </c>
      <c r="AF40" s="71" t="n">
        <f aca="false">Model!AF84</f>
        <v>-0</v>
      </c>
      <c r="AG40" s="71" t="n">
        <f aca="false">Model!AG84</f>
        <v>-0</v>
      </c>
      <c r="AH40" s="71" t="n">
        <f aca="false">Model!AH84</f>
        <v>-0</v>
      </c>
      <c r="AI40" s="71" t="n">
        <f aca="false">Model!AI84</f>
        <v>-0</v>
      </c>
      <c r="AJ40" s="71" t="n">
        <f aca="false">Model!AJ84</f>
        <v>-0</v>
      </c>
      <c r="AK40" s="71" t="n">
        <f aca="false">Model!AK84</f>
        <v>-0</v>
      </c>
      <c r="AL40" s="71" t="n">
        <f aca="false">Model!AL84</f>
        <v>-0</v>
      </c>
      <c r="AM40" s="71" t="n">
        <f aca="false">Model!AM84</f>
        <v>-0</v>
      </c>
      <c r="AN40" s="71" t="n">
        <f aca="false">Model!AN84</f>
        <v>-0</v>
      </c>
      <c r="AO40" s="71" t="n">
        <f aca="false">Model!AO84</f>
        <v>-0</v>
      </c>
      <c r="AP40" s="71" t="n">
        <f aca="false">Model!AP84</f>
        <v>-0</v>
      </c>
      <c r="AQ40" s="71" t="n">
        <f aca="false">Model!AQ84</f>
        <v>-0</v>
      </c>
      <c r="AR40" s="71" t="n">
        <f aca="false">Model!AR84</f>
        <v>-0</v>
      </c>
      <c r="AS40" s="71" t="n">
        <f aca="false">Model!AS84</f>
        <v>-0</v>
      </c>
      <c r="AT40" s="71" t="n">
        <f aca="false">Model!AT84</f>
        <v>-0</v>
      </c>
      <c r="AU40" s="71" t="n">
        <f aca="false">Model!AU84</f>
        <v>-0</v>
      </c>
      <c r="AV40" s="71" t="n">
        <f aca="false">Model!AV84</f>
        <v>-0</v>
      </c>
      <c r="AW40" s="71" t="n">
        <f aca="false">Model!AW84</f>
        <v>-0</v>
      </c>
      <c r="AX40" s="71" t="n">
        <f aca="false">Model!AX84</f>
        <v>-0</v>
      </c>
      <c r="AY40" s="71" t="n">
        <f aca="false">Model!AY84</f>
        <v>-0</v>
      </c>
      <c r="AZ40" s="71" t="n">
        <f aca="false">Model!AZ84</f>
        <v>-0</v>
      </c>
      <c r="BA40" s="71" t="n">
        <f aca="false">Model!BA84</f>
        <v>-0</v>
      </c>
      <c r="BB40" s="71" t="n">
        <f aca="false">Model!BB84</f>
        <v>-0</v>
      </c>
      <c r="BC40" s="71" t="n">
        <f aca="false">Model!BC84</f>
        <v>-0</v>
      </c>
      <c r="BD40" s="71" t="n">
        <f aca="false">Model!BD84</f>
        <v>-0</v>
      </c>
      <c r="BE40" s="71" t="n">
        <f aca="false">Model!BE84</f>
        <v>-0</v>
      </c>
      <c r="BF40" s="71" t="n">
        <f aca="false">Model!BF84</f>
        <v>-0</v>
      </c>
      <c r="BG40" s="71" t="n">
        <f aca="false">Model!BG84</f>
        <v>-0</v>
      </c>
      <c r="BH40" s="71" t="n">
        <f aca="false">Model!BH84</f>
        <v>-0</v>
      </c>
      <c r="BI40" s="71" t="n">
        <f aca="false">Model!BI84</f>
        <v>-0</v>
      </c>
      <c r="BJ40" s="71" t="n">
        <f aca="false">Model!BJ84</f>
        <v>-0</v>
      </c>
      <c r="BK40" s="71" t="n">
        <f aca="false">Model!BK84</f>
        <v>-0</v>
      </c>
      <c r="BL40" s="71" t="n">
        <f aca="false">Model!BL84</f>
        <v>-0</v>
      </c>
      <c r="BM40" s="71" t="n">
        <f aca="false">Model!BM84</f>
        <v>-0</v>
      </c>
      <c r="BN40" s="71" t="n">
        <f aca="false">Model!BN84</f>
        <v>-0</v>
      </c>
      <c r="BO40" s="71" t="n">
        <f aca="false">Model!BO84</f>
        <v>-0</v>
      </c>
      <c r="BP40" s="71" t="n">
        <f aca="false">Model!BP84</f>
        <v>-0</v>
      </c>
      <c r="BQ40" s="71" t="n">
        <f aca="false">Model!BQ84</f>
        <v>-0</v>
      </c>
      <c r="BR40" s="71" t="n">
        <f aca="false">Model!BR84</f>
        <v>-0</v>
      </c>
      <c r="BS40" s="71" t="n">
        <f aca="false">Model!BS84</f>
        <v>-0</v>
      </c>
      <c r="BT40" s="71" t="n">
        <f aca="false">Model!BT84</f>
        <v>-0</v>
      </c>
      <c r="BU40" s="71" t="n">
        <f aca="false">Model!BU84</f>
        <v>-0</v>
      </c>
      <c r="BV40" s="71" t="n">
        <f aca="false">Model!BV84</f>
        <v>-0</v>
      </c>
      <c r="BW40" s="71" t="n">
        <f aca="false">Model!BW84</f>
        <v>-0</v>
      </c>
      <c r="BX40" s="71" t="n">
        <f aca="false">Model!BX84</f>
        <v>-0</v>
      </c>
      <c r="BY40" s="71" t="n">
        <f aca="false">Model!BY84</f>
        <v>-73156</v>
      </c>
      <c r="BZ40" s="71" t="n">
        <f aca="false">Model!BZ84</f>
        <v>-0</v>
      </c>
      <c r="CA40" s="71" t="n">
        <f aca="false">Model!CA84</f>
        <v>-0</v>
      </c>
      <c r="CB40" s="71" t="n">
        <f aca="false">Model!CB84</f>
        <v>-73155</v>
      </c>
      <c r="CC40" s="71" t="n">
        <f aca="false">Model!CC84</f>
        <v>-0</v>
      </c>
      <c r="CD40" s="71" t="n">
        <f aca="false">Model!CD84</f>
        <v>-0</v>
      </c>
      <c r="CE40" s="71" t="n">
        <f aca="false">Model!CE84</f>
        <v>-73155</v>
      </c>
      <c r="CF40" s="71" t="n">
        <f aca="false">Model!CF84</f>
        <v>-0</v>
      </c>
      <c r="CG40" s="71" t="n">
        <f aca="false">Model!CG84</f>
        <v>-0</v>
      </c>
      <c r="CH40" s="71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8" t="n">
        <f aca="false">C39+C40</f>
        <v>0</v>
      </c>
      <c r="D41" s="68" t="n">
        <f aca="false">D39+D40</f>
        <v>0</v>
      </c>
      <c r="E41" s="68" t="n">
        <f aca="false">E39+E40</f>
        <v>0</v>
      </c>
      <c r="F41" s="68" t="n">
        <f aca="false">F39+F40</f>
        <v>0</v>
      </c>
      <c r="G41" s="68" t="n">
        <f aca="false">G39+G40</f>
        <v>0</v>
      </c>
      <c r="H41" s="68" t="n">
        <f aca="false">H39+H40</f>
        <v>0</v>
      </c>
      <c r="I41" s="68" t="n">
        <f aca="false">I39+I40</f>
        <v>0</v>
      </c>
      <c r="J41" s="68" t="n">
        <f aca="false">J39+J40</f>
        <v>0</v>
      </c>
      <c r="K41" s="68" t="n">
        <f aca="false">K39+K40</f>
        <v>0</v>
      </c>
      <c r="L41" s="68" t="n">
        <f aca="false">L39+L40</f>
        <v>0</v>
      </c>
      <c r="M41" s="68" t="n">
        <f aca="false">M39+M40</f>
        <v>0</v>
      </c>
      <c r="N41" s="68" t="n">
        <f aca="false">N39+N40</f>
        <v>0</v>
      </c>
      <c r="O41" s="68" t="n">
        <f aca="false">O39+O40</f>
        <v>0</v>
      </c>
      <c r="P41" s="68" t="n">
        <f aca="false">P39+P40</f>
        <v>0</v>
      </c>
      <c r="Q41" s="68" t="n">
        <f aca="false">Q39+Q40</f>
        <v>0</v>
      </c>
      <c r="R41" s="68" t="n">
        <f aca="false">R39+R40</f>
        <v>0</v>
      </c>
      <c r="S41" s="68" t="n">
        <f aca="false">S39+S40</f>
        <v>0</v>
      </c>
      <c r="T41" s="68" t="n">
        <f aca="false">T39+T40</f>
        <v>0</v>
      </c>
      <c r="U41" s="68" t="n">
        <f aca="false">U39+U40</f>
        <v>0</v>
      </c>
      <c r="V41" s="68" t="n">
        <f aca="false">V39+V40</f>
        <v>0</v>
      </c>
      <c r="W41" s="68" t="n">
        <f aca="false">W39+W40</f>
        <v>0</v>
      </c>
      <c r="X41" s="68" t="n">
        <f aca="false">X39+X40</f>
        <v>0</v>
      </c>
      <c r="Y41" s="68" t="n">
        <f aca="false">Y39+Y40</f>
        <v>0</v>
      </c>
      <c r="Z41" s="68" t="n">
        <f aca="false">Z39+Z40</f>
        <v>0</v>
      </c>
      <c r="AA41" s="68" t="n">
        <f aca="false">AA39+AA40</f>
        <v>0</v>
      </c>
      <c r="AB41" s="68" t="n">
        <f aca="false">AB39+AB40</f>
        <v>0</v>
      </c>
      <c r="AC41" s="68" t="n">
        <f aca="false">AC39+AC40</f>
        <v>0</v>
      </c>
      <c r="AD41" s="68" t="n">
        <f aca="false">AD39+AD40</f>
        <v>0</v>
      </c>
      <c r="AE41" s="68" t="n">
        <f aca="false">AE39+AE40</f>
        <v>0</v>
      </c>
      <c r="AF41" s="68" t="n">
        <f aca="false">AF39+AF40</f>
        <v>0</v>
      </c>
      <c r="AG41" s="68" t="n">
        <f aca="false">AG39+AG40</f>
        <v>0</v>
      </c>
      <c r="AH41" s="68" t="n">
        <f aca="false">AH39+AH40</f>
        <v>0</v>
      </c>
      <c r="AI41" s="68" t="n">
        <f aca="false">AI39+AI40</f>
        <v>0</v>
      </c>
      <c r="AJ41" s="68" t="n">
        <f aca="false">AJ39+AJ40</f>
        <v>0</v>
      </c>
      <c r="AK41" s="68" t="n">
        <f aca="false">AK39+AK40</f>
        <v>0</v>
      </c>
      <c r="AL41" s="68" t="n">
        <f aca="false">AL39+AL40</f>
        <v>0</v>
      </c>
      <c r="AM41" s="68" t="n">
        <f aca="false">AM39+AM40</f>
        <v>0</v>
      </c>
      <c r="AN41" s="68" t="n">
        <f aca="false">AN39+AN40</f>
        <v>0</v>
      </c>
      <c r="AO41" s="68" t="n">
        <f aca="false">AO39+AO40</f>
        <v>0</v>
      </c>
      <c r="AP41" s="68" t="n">
        <f aca="false">AP39+AP40</f>
        <v>0</v>
      </c>
      <c r="AQ41" s="68" t="n">
        <f aca="false">AQ39+AQ40</f>
        <v>0</v>
      </c>
      <c r="AR41" s="68" t="n">
        <f aca="false">AR39+AR40</f>
        <v>0</v>
      </c>
      <c r="AS41" s="68" t="n">
        <f aca="false">AS39+AS40</f>
        <v>0</v>
      </c>
      <c r="AT41" s="68" t="n">
        <f aca="false">AT39+AT40</f>
        <v>0</v>
      </c>
      <c r="AU41" s="68" t="n">
        <f aca="false">AU39+AU40</f>
        <v>0</v>
      </c>
      <c r="AV41" s="68" t="n">
        <f aca="false">AV39+AV40</f>
        <v>0</v>
      </c>
      <c r="AW41" s="68" t="n">
        <f aca="false">AW39+AW40</f>
        <v>0</v>
      </c>
      <c r="AX41" s="68" t="n">
        <f aca="false">AX39+AX40</f>
        <v>0</v>
      </c>
      <c r="AY41" s="68" t="n">
        <f aca="false">AY39+AY40</f>
        <v>0</v>
      </c>
      <c r="AZ41" s="68" t="n">
        <f aca="false">AZ39+AZ40</f>
        <v>0</v>
      </c>
      <c r="BA41" s="68" t="n">
        <f aca="false">BA39+BA40</f>
        <v>0</v>
      </c>
      <c r="BB41" s="68" t="n">
        <f aca="false">BB39+BB40</f>
        <v>0</v>
      </c>
      <c r="BC41" s="68" t="n">
        <f aca="false">BC39+BC40</f>
        <v>0</v>
      </c>
      <c r="BD41" s="68" t="n">
        <f aca="false">BD39+BD40</f>
        <v>0</v>
      </c>
      <c r="BE41" s="68" t="n">
        <f aca="false">BE39+BE40</f>
        <v>0</v>
      </c>
      <c r="BF41" s="68" t="n">
        <f aca="false">BF39+BF40</f>
        <v>0</v>
      </c>
      <c r="BG41" s="68" t="n">
        <f aca="false">BG39+BG40</f>
        <v>0</v>
      </c>
      <c r="BH41" s="68" t="n">
        <f aca="false">BH39+BH40</f>
        <v>0</v>
      </c>
      <c r="BI41" s="68" t="n">
        <f aca="false">BI39+BI40</f>
        <v>0</v>
      </c>
      <c r="BJ41" s="68" t="n">
        <f aca="false">BJ39+BJ40</f>
        <v>0</v>
      </c>
      <c r="BK41" s="68" t="n">
        <f aca="false">BK39+BK40</f>
        <v>0</v>
      </c>
      <c r="BL41" s="68" t="n">
        <f aca="false">BL39+BL40</f>
        <v>0</v>
      </c>
      <c r="BM41" s="68" t="n">
        <f aca="false">BM39+BM40</f>
        <v>0</v>
      </c>
      <c r="BN41" s="68" t="n">
        <f aca="false">BN39+BN40</f>
        <v>0</v>
      </c>
      <c r="BO41" s="68" t="n">
        <f aca="false">BO39+BO40</f>
        <v>0</v>
      </c>
      <c r="BP41" s="68" t="n">
        <f aca="false">BP39+BP40</f>
        <v>0</v>
      </c>
      <c r="BQ41" s="68" t="n">
        <f aca="false">BQ39+BQ40</f>
        <v>0</v>
      </c>
      <c r="BR41" s="68" t="n">
        <f aca="false">BR39+BR40</f>
        <v>0</v>
      </c>
      <c r="BS41" s="68" t="n">
        <f aca="false">BS39+BS40</f>
        <v>0</v>
      </c>
      <c r="BT41" s="68" t="n">
        <f aca="false">BT39+BT40</f>
        <v>0</v>
      </c>
      <c r="BU41" s="68" t="n">
        <f aca="false">BU39+BU40</f>
        <v>0</v>
      </c>
      <c r="BV41" s="68" t="n">
        <f aca="false">BV39+BV40</f>
        <v>0</v>
      </c>
      <c r="BW41" s="68" t="n">
        <f aca="false">BW39+BW40</f>
        <v>0</v>
      </c>
      <c r="BX41" s="68" t="n">
        <f aca="false">BX39+BX40</f>
        <v>0</v>
      </c>
      <c r="BY41" s="68" t="n">
        <f aca="false">BY39+BY40</f>
        <v>-73156</v>
      </c>
      <c r="BZ41" s="68" t="n">
        <f aca="false">BZ39+BZ40</f>
        <v>0</v>
      </c>
      <c r="CA41" s="68" t="n">
        <f aca="false">CA39+CA40</f>
        <v>0</v>
      </c>
      <c r="CB41" s="68" t="n">
        <f aca="false">CB39+CB40</f>
        <v>-73155</v>
      </c>
      <c r="CC41" s="68" t="n">
        <f aca="false">CC39+CC40</f>
        <v>0</v>
      </c>
      <c r="CD41" s="68" t="n">
        <f aca="false">CD39+CD40</f>
        <v>0</v>
      </c>
      <c r="CE41" s="68" t="n">
        <f aca="false">CE39+CE40</f>
        <v>-73155</v>
      </c>
      <c r="CF41" s="68" t="n">
        <f aca="false">CF39+CF40</f>
        <v>0</v>
      </c>
      <c r="CG41" s="68" t="n">
        <f aca="false">CG39+CG40</f>
        <v>0</v>
      </c>
      <c r="CH41" s="68" t="n">
        <f aca="false">CH39+CH40</f>
        <v>-73155</v>
      </c>
    </row>
    <row r="42" customFormat="false" ht="15" hidden="false" customHeight="true" outlineLevel="0" collapsed="false">
      <c r="A42" s="61" t="s">
        <v>212</v>
      </c>
      <c r="B42" s="3"/>
      <c r="C42" s="69" t="n">
        <f aca="false">C41</f>
        <v>0</v>
      </c>
      <c r="D42" s="69" t="n">
        <f aca="false">C42+D41</f>
        <v>0</v>
      </c>
      <c r="E42" s="69" t="n">
        <f aca="false">D42+E41</f>
        <v>0</v>
      </c>
      <c r="F42" s="69" t="n">
        <f aca="false">E42+F41</f>
        <v>0</v>
      </c>
      <c r="G42" s="69" t="n">
        <f aca="false">F42+G41</f>
        <v>0</v>
      </c>
      <c r="H42" s="69" t="n">
        <f aca="false">G42+H41</f>
        <v>0</v>
      </c>
      <c r="I42" s="69" t="n">
        <f aca="false">H42+I41</f>
        <v>0</v>
      </c>
      <c r="J42" s="69" t="n">
        <f aca="false">I42+J41</f>
        <v>0</v>
      </c>
      <c r="K42" s="69" t="n">
        <f aca="false">J42+K41</f>
        <v>0</v>
      </c>
      <c r="L42" s="69" t="n">
        <f aca="false">K42+L41</f>
        <v>0</v>
      </c>
      <c r="M42" s="69" t="n">
        <f aca="false">L42+M41</f>
        <v>0</v>
      </c>
      <c r="N42" s="69" t="n">
        <f aca="false">M42+N41</f>
        <v>0</v>
      </c>
      <c r="O42" s="69" t="n">
        <f aca="false">N42+O41</f>
        <v>0</v>
      </c>
      <c r="P42" s="69" t="n">
        <f aca="false">O42+P41</f>
        <v>0</v>
      </c>
      <c r="Q42" s="69" t="n">
        <f aca="false">P42+Q41</f>
        <v>0</v>
      </c>
      <c r="R42" s="69" t="n">
        <f aca="false">Q42+R41</f>
        <v>0</v>
      </c>
      <c r="S42" s="69" t="n">
        <f aca="false">R42+S41</f>
        <v>0</v>
      </c>
      <c r="T42" s="69" t="n">
        <f aca="false">S42+T41</f>
        <v>0</v>
      </c>
      <c r="U42" s="69" t="n">
        <f aca="false">T42+U41</f>
        <v>0</v>
      </c>
      <c r="V42" s="69" t="n">
        <f aca="false">U42+V41</f>
        <v>0</v>
      </c>
      <c r="W42" s="69" t="n">
        <f aca="false">V42+W41</f>
        <v>0</v>
      </c>
      <c r="X42" s="69" t="n">
        <f aca="false">W42+X41</f>
        <v>0</v>
      </c>
      <c r="Y42" s="69" t="n">
        <f aca="false">X42+Y41</f>
        <v>0</v>
      </c>
      <c r="Z42" s="69" t="n">
        <f aca="false">Y42+Z41</f>
        <v>0</v>
      </c>
      <c r="AA42" s="69" t="n">
        <f aca="false">Z42+AA41</f>
        <v>0</v>
      </c>
      <c r="AB42" s="69" t="n">
        <f aca="false">AA42+AB41</f>
        <v>0</v>
      </c>
      <c r="AC42" s="69" t="n">
        <f aca="false">AB42+AC41</f>
        <v>0</v>
      </c>
      <c r="AD42" s="69" t="n">
        <f aca="false">AC42+AD41</f>
        <v>0</v>
      </c>
      <c r="AE42" s="69" t="n">
        <f aca="false">AD42+AE41</f>
        <v>0</v>
      </c>
      <c r="AF42" s="69" t="n">
        <f aca="false">AE42+AF41</f>
        <v>0</v>
      </c>
      <c r="AG42" s="69" t="n">
        <f aca="false">AF42+AG41</f>
        <v>0</v>
      </c>
      <c r="AH42" s="69" t="n">
        <f aca="false">AG42+AH41</f>
        <v>0</v>
      </c>
      <c r="AI42" s="69" t="n">
        <f aca="false">AH42+AI41</f>
        <v>0</v>
      </c>
      <c r="AJ42" s="69" t="n">
        <f aca="false">AI42+AJ41</f>
        <v>0</v>
      </c>
      <c r="AK42" s="69" t="n">
        <f aca="false">AJ42+AK41</f>
        <v>0</v>
      </c>
      <c r="AL42" s="69" t="n">
        <f aca="false">AK42+AL41</f>
        <v>0</v>
      </c>
      <c r="AM42" s="69" t="n">
        <f aca="false">AL42+AM41</f>
        <v>0</v>
      </c>
      <c r="AN42" s="69" t="n">
        <f aca="false">AM42+AN41</f>
        <v>0</v>
      </c>
      <c r="AO42" s="69" t="n">
        <f aca="false">AN42+AO41</f>
        <v>0</v>
      </c>
      <c r="AP42" s="69" t="n">
        <f aca="false">AO42+AP41</f>
        <v>0</v>
      </c>
      <c r="AQ42" s="69" t="n">
        <f aca="false">AP42+AQ41</f>
        <v>0</v>
      </c>
      <c r="AR42" s="69" t="n">
        <f aca="false">AQ42+AR41</f>
        <v>0</v>
      </c>
      <c r="AS42" s="69" t="n">
        <f aca="false">AR42+AS41</f>
        <v>0</v>
      </c>
      <c r="AT42" s="69" t="n">
        <f aca="false">AS42+AT41</f>
        <v>0</v>
      </c>
      <c r="AU42" s="69" t="n">
        <f aca="false">AT42+AU41</f>
        <v>0</v>
      </c>
      <c r="AV42" s="69" t="n">
        <f aca="false">AU42+AV41</f>
        <v>0</v>
      </c>
      <c r="AW42" s="69" t="n">
        <f aca="false">AV42+AW41</f>
        <v>0</v>
      </c>
      <c r="AX42" s="69" t="n">
        <f aca="false">AW42+AX41</f>
        <v>0</v>
      </c>
      <c r="AY42" s="69" t="n">
        <f aca="false">AX42+AY41</f>
        <v>0</v>
      </c>
      <c r="AZ42" s="69" t="n">
        <f aca="false">AY42+AZ41</f>
        <v>0</v>
      </c>
      <c r="BA42" s="69" t="n">
        <f aca="false">AZ42+BA41</f>
        <v>0</v>
      </c>
      <c r="BB42" s="69" t="n">
        <f aca="false">BA42+BB41</f>
        <v>0</v>
      </c>
      <c r="BC42" s="69" t="n">
        <f aca="false">BB42+BC41</f>
        <v>0</v>
      </c>
      <c r="BD42" s="69" t="n">
        <f aca="false">BC42+BD41</f>
        <v>0</v>
      </c>
      <c r="BE42" s="69" t="n">
        <f aca="false">BD42+BE41</f>
        <v>0</v>
      </c>
      <c r="BF42" s="69" t="n">
        <f aca="false">BE42+BF41</f>
        <v>0</v>
      </c>
      <c r="BG42" s="69" t="n">
        <f aca="false">BF42+BG41</f>
        <v>0</v>
      </c>
      <c r="BH42" s="69" t="n">
        <f aca="false">BG42+BH41</f>
        <v>0</v>
      </c>
      <c r="BI42" s="69" t="n">
        <f aca="false">BH42+BI41</f>
        <v>0</v>
      </c>
      <c r="BJ42" s="69" t="n">
        <f aca="false">BI42+BJ41</f>
        <v>0</v>
      </c>
      <c r="BK42" s="69" t="n">
        <f aca="false">BJ42+BK41</f>
        <v>0</v>
      </c>
      <c r="BL42" s="69" t="n">
        <f aca="false">BK42+BL41</f>
        <v>0</v>
      </c>
      <c r="BM42" s="69" t="n">
        <f aca="false">BL42+BM41</f>
        <v>0</v>
      </c>
      <c r="BN42" s="69" t="n">
        <f aca="false">BM42+BN41</f>
        <v>0</v>
      </c>
      <c r="BO42" s="69" t="n">
        <f aca="false">BN42+BO41</f>
        <v>0</v>
      </c>
      <c r="BP42" s="69" t="n">
        <f aca="false">BO42+BP41</f>
        <v>0</v>
      </c>
      <c r="BQ42" s="69" t="n">
        <f aca="false">BP42+BQ41</f>
        <v>0</v>
      </c>
      <c r="BR42" s="69" t="n">
        <f aca="false">BQ42+BR41</f>
        <v>0</v>
      </c>
      <c r="BS42" s="69" t="n">
        <f aca="false">BR42+BS41</f>
        <v>0</v>
      </c>
      <c r="BT42" s="69" t="n">
        <f aca="false">BS42+BT41</f>
        <v>0</v>
      </c>
      <c r="BU42" s="69" t="n">
        <f aca="false">BT42+BU41</f>
        <v>0</v>
      </c>
      <c r="BV42" s="69" t="n">
        <f aca="false">BU42+BV41</f>
        <v>0</v>
      </c>
      <c r="BW42" s="69" t="n">
        <f aca="false">BV42+BW41</f>
        <v>0</v>
      </c>
      <c r="BX42" s="69" t="n">
        <f aca="false">BW42+BX41</f>
        <v>0</v>
      </c>
      <c r="BY42" s="69" t="n">
        <f aca="false">BX42+BY41</f>
        <v>-73156</v>
      </c>
      <c r="BZ42" s="69" t="n">
        <f aca="false">BY42+BZ41</f>
        <v>-73156</v>
      </c>
      <c r="CA42" s="69" t="n">
        <f aca="false">BZ42+CA41</f>
        <v>-73156</v>
      </c>
      <c r="CB42" s="69" t="n">
        <f aca="false">CA42+CB41</f>
        <v>-146311</v>
      </c>
      <c r="CC42" s="69" t="n">
        <f aca="false">CB42+CC41</f>
        <v>-146311</v>
      </c>
      <c r="CD42" s="69" t="n">
        <f aca="false">CC42+CD41</f>
        <v>-146311</v>
      </c>
      <c r="CE42" s="69" t="n">
        <f aca="false">CD42+CE41</f>
        <v>-219466</v>
      </c>
      <c r="CF42" s="69" t="n">
        <f aca="false">CE42+CF41</f>
        <v>-219466</v>
      </c>
      <c r="CG42" s="69" t="n">
        <f aca="false">CF42+CG41</f>
        <v>-219466</v>
      </c>
      <c r="CH42" s="69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8" t="n">
        <f aca="false">C5+C10+C16+C22+C28+C35+C41</f>
        <v>33281.25</v>
      </c>
      <c r="D45" s="68" t="n">
        <f aca="false">D5+D10+D16+D22+D28+D35+D41</f>
        <v>33281.25</v>
      </c>
      <c r="E45" s="68" t="n">
        <f aca="false">E5+E10+E16+E22+E28+E35+E41</f>
        <v>33281.25</v>
      </c>
      <c r="F45" s="68" t="n">
        <f aca="false">F5+F10+F16+F22+F28+F35+F41</f>
        <v>33281.25</v>
      </c>
      <c r="G45" s="68" t="n">
        <f aca="false">G5+G10+G16+G22+G28+G35+G41</f>
        <v>144121.83</v>
      </c>
      <c r="H45" s="68" t="n">
        <f aca="false">H5+H10+H16+H22+H28+H35+H41</f>
        <v>103258.46</v>
      </c>
      <c r="I45" s="68" t="n">
        <f aca="false">I5+I10+I16+I22+I28+I35+I41</f>
        <v>56965.46</v>
      </c>
      <c r="J45" s="68" t="n">
        <f aca="false">J5+J10+J16+J22+J28+J35+J41</f>
        <v>47590.46</v>
      </c>
      <c r="K45" s="68" t="n">
        <f aca="false">K5+K10+K16+K22+K28+K35+K41</f>
        <v>47590.46</v>
      </c>
      <c r="L45" s="68" t="n">
        <f aca="false">L5+L10+L16+L22+L28+L35+L41</f>
        <v>47590.46</v>
      </c>
      <c r="M45" s="68" t="n">
        <f aca="false">M5+M10+M16+M22+M28+M35+M41</f>
        <v>47590.46</v>
      </c>
      <c r="N45" s="68" t="n">
        <f aca="false">N5+N10+N16+N22+N28+N35+N41</f>
        <v>47590.46</v>
      </c>
      <c r="O45" s="68" t="n">
        <f aca="false">O5+O10+O16+O22+O28+O35+O41</f>
        <v>47590.46</v>
      </c>
      <c r="P45" s="68" t="n">
        <f aca="false">P5+P10+P16+P22+P28+P35+P41</f>
        <v>47590.46</v>
      </c>
      <c r="Q45" s="68" t="n">
        <f aca="false">Q5+Q10+Q16+Q22+Q28+Q35+Q41</f>
        <v>47590.46</v>
      </c>
      <c r="R45" s="68" t="n">
        <f aca="false">R5+R10+R16+R22+R28+R35+R41</f>
        <v>23684.21</v>
      </c>
      <c r="S45" s="68" t="n">
        <f aca="false">S5+S10+S16+S22+S28+S35+S41</f>
        <v>23684.21</v>
      </c>
      <c r="T45" s="68" t="n">
        <f aca="false">T5+T10+T16+T22+T28+T35+T41</f>
        <v>23684.21</v>
      </c>
      <c r="U45" s="68" t="n">
        <f aca="false">U5+U10+U16+U22+U28+U35+U41</f>
        <v>23684.21</v>
      </c>
      <c r="V45" s="68" t="n">
        <f aca="false">V5+V10+V16+V22+V28+V35+V41</f>
        <v>23684.21</v>
      </c>
      <c r="W45" s="68" t="n">
        <f aca="false">W5+W10+W16+W22+W28+W35+W41</f>
        <v>81059.21</v>
      </c>
      <c r="X45" s="68" t="n">
        <f aca="false">X5+X10+X16+X22+X28+X35+X41</f>
        <v>23684.21</v>
      </c>
      <c r="Y45" s="68" t="n">
        <f aca="false">Y5+Y10+Y16+Y22+Y28+Y35+Y41</f>
        <v>23684.21</v>
      </c>
      <c r="Z45" s="68" t="n">
        <f aca="false">Z5+Z10+Z16+Z22+Z28+Z35+Z41</f>
        <v>68427.63</v>
      </c>
      <c r="AA45" s="68" t="n">
        <f aca="false">AA5+AA10+AA16+AA22+AA28+AA35+AA41</f>
        <v>0</v>
      </c>
      <c r="AB45" s="68" t="n">
        <f aca="false">AB5+AB10+AB16+AB22+AB28+AB35+AB41</f>
        <v>0</v>
      </c>
      <c r="AC45" s="68" t="n">
        <f aca="false">AC5+AC10+AC16+AC22+AC28+AC35+AC41</f>
        <v>57375</v>
      </c>
      <c r="AD45" s="68" t="n">
        <f aca="false">AD5+AD10+AD16+AD22+AD28+AD35+AD41</f>
        <v>0</v>
      </c>
      <c r="AE45" s="68" t="n">
        <f aca="false">AE5+AE10+AE16+AE22+AE28+AE35+AE41</f>
        <v>0</v>
      </c>
      <c r="AF45" s="68" t="n">
        <f aca="false">AF5+AF10+AF16+AF22+AF28+AF35+AF41</f>
        <v>0</v>
      </c>
      <c r="AG45" s="68" t="n">
        <f aca="false">AG5+AG10+AG16+AG22+AG28+AG35+AG41</f>
        <v>0</v>
      </c>
      <c r="AH45" s="68" t="n">
        <f aca="false">AH5+AH10+AH16+AH22+AH28+AH35+AH41</f>
        <v>0</v>
      </c>
      <c r="AI45" s="68" t="n">
        <f aca="false">AI5+AI10+AI16+AI22+AI28+AI35+AI41</f>
        <v>0</v>
      </c>
      <c r="AJ45" s="68" t="n">
        <f aca="false">AJ5+AJ10+AJ16+AJ22+AJ28+AJ35+AJ41</f>
        <v>0</v>
      </c>
      <c r="AK45" s="68" t="n">
        <f aca="false">AK5+AK10+AK16+AK22+AK28+AK35+AK41</f>
        <v>0</v>
      </c>
      <c r="AL45" s="68" t="n">
        <f aca="false">AL5+AL10+AL16+AL22+AL28+AL35+AL41</f>
        <v>0</v>
      </c>
      <c r="AM45" s="68" t="n">
        <f aca="false">AM5+AM10+AM16+AM22+AM28+AM35+AM41</f>
        <v>0</v>
      </c>
      <c r="AN45" s="68" t="n">
        <f aca="false">AN5+AN10+AN16+AN22+AN28+AN35+AN41</f>
        <v>0</v>
      </c>
      <c r="AO45" s="68" t="n">
        <f aca="false">AO5+AO10+AO16+AO22+AO28+AO35+AO41</f>
        <v>0</v>
      </c>
      <c r="AP45" s="68" t="n">
        <f aca="false">AP5+AP10+AP16+AP22+AP28+AP35+AP41</f>
        <v>0</v>
      </c>
      <c r="AQ45" s="68" t="n">
        <f aca="false">AQ5+AQ10+AQ16+AQ22+AQ28+AQ35+AQ41</f>
        <v>0</v>
      </c>
      <c r="AR45" s="68" t="n">
        <f aca="false">AR5+AR10+AR16+AR22+AR28+AR35+AR41</f>
        <v>0</v>
      </c>
      <c r="AS45" s="68" t="n">
        <f aca="false">AS5+AS10+AS16+AS22+AS28+AS35+AS41</f>
        <v>0</v>
      </c>
      <c r="AT45" s="68" t="n">
        <f aca="false">AT5+AT10+AT16+AT22+AT28+AT35+AT41</f>
        <v>0</v>
      </c>
      <c r="AU45" s="68" t="n">
        <f aca="false">AU5+AU10+AU16+AU22+AU28+AU35+AU41</f>
        <v>0</v>
      </c>
      <c r="AV45" s="68" t="n">
        <f aca="false">AV5+AV10+AV16+AV22+AV28+AV35+AV41</f>
        <v>0</v>
      </c>
      <c r="AW45" s="68" t="n">
        <f aca="false">AW5+AW10+AW16+AW22+AW28+AW35+AW41</f>
        <v>0</v>
      </c>
      <c r="AX45" s="68" t="n">
        <f aca="false">AX5+AX10+AX16+AX22+AX28+AX35+AX41</f>
        <v>0</v>
      </c>
      <c r="AY45" s="68" t="n">
        <f aca="false">AY5+AY10+AY16+AY22+AY28+AY35+AY41</f>
        <v>0</v>
      </c>
      <c r="AZ45" s="68" t="n">
        <f aca="false">AZ5+AZ10+AZ16+AZ22+AZ28+AZ35+AZ41</f>
        <v>0</v>
      </c>
      <c r="BA45" s="68" t="n">
        <f aca="false">BA5+BA10+BA16+BA22+BA28+BA35+BA41</f>
        <v>0</v>
      </c>
      <c r="BB45" s="68" t="n">
        <f aca="false">BB5+BB10+BB16+BB22+BB28+BB35+BB41</f>
        <v>0</v>
      </c>
      <c r="BC45" s="68" t="n">
        <f aca="false">BC5+BC10+BC16+BC22+BC28+BC35+BC41</f>
        <v>0</v>
      </c>
      <c r="BD45" s="68" t="n">
        <f aca="false">BD5+BD10+BD16+BD22+BD28+BD35+BD41</f>
        <v>0</v>
      </c>
      <c r="BE45" s="68" t="n">
        <f aca="false">BE5+BE10+BE16+BE22+BE28+BE35+BE41</f>
        <v>0</v>
      </c>
      <c r="BF45" s="68" t="n">
        <f aca="false">BF5+BF10+BF16+BF22+BF28+BF35+BF41</f>
        <v>0</v>
      </c>
      <c r="BG45" s="68" t="n">
        <f aca="false">BG5+BG10+BG16+BG22+BG28+BG35+BG41</f>
        <v>0</v>
      </c>
      <c r="BH45" s="68" t="n">
        <f aca="false">BH5+BH10+BH16+BH22+BH28+BH35+BH41</f>
        <v>0</v>
      </c>
      <c r="BI45" s="68" t="n">
        <f aca="false">BI5+BI10+BI16+BI22+BI28+BI35+BI41</f>
        <v>0</v>
      </c>
      <c r="BJ45" s="68" t="n">
        <f aca="false">BJ5+BJ10+BJ16+BJ22+BJ28+BJ35+BJ41</f>
        <v>0</v>
      </c>
      <c r="BK45" s="68" t="n">
        <f aca="false">BK5+BK10+BK16+BK22+BK28+BK35+BK41</f>
        <v>0</v>
      </c>
      <c r="BL45" s="68" t="n">
        <f aca="false">BL5+BL10+BL16+BL22+BL28+BL35+BL41</f>
        <v>0</v>
      </c>
      <c r="BM45" s="68" t="n">
        <f aca="false">BM5+BM10+BM16+BM22+BM28+BM35+BM41</f>
        <v>0</v>
      </c>
      <c r="BN45" s="68" t="n">
        <f aca="false">BN5+BN10+BN16+BN22+BN28+BN35+BN41</f>
        <v>0</v>
      </c>
      <c r="BO45" s="68" t="n">
        <f aca="false">BO5+BO10+BO16+BO22+BO28+BO35+BO41</f>
        <v>0</v>
      </c>
      <c r="BP45" s="68" t="n">
        <f aca="false">BP5+BP10+BP16+BP22+BP28+BP35+BP41</f>
        <v>51513.52</v>
      </c>
      <c r="BQ45" s="68" t="n">
        <f aca="false">BQ5+BQ10+BQ16+BQ22+BQ28+BQ35+BQ41</f>
        <v>0</v>
      </c>
      <c r="BR45" s="68" t="n">
        <f aca="false">BR5+BR10+BR16+BR22+BR28+BR35+BR41</f>
        <v>0</v>
      </c>
      <c r="BS45" s="68" t="n">
        <f aca="false">BS5+BS10+BS16+BS22+BS28+BS35+BS41</f>
        <v>67762</v>
      </c>
      <c r="BT45" s="68" t="n">
        <f aca="false">BT5+BT10+BT16+BT22+BT28+BT35+BT41</f>
        <v>0</v>
      </c>
      <c r="BU45" s="68" t="n">
        <f aca="false">BU5+BU10+BU16+BU22+BU28+BU35+BU41</f>
        <v>0</v>
      </c>
      <c r="BV45" s="68" t="n">
        <f aca="false">BV5+BV10+BV16+BV22+BV28+BV35+BV41</f>
        <v>67762</v>
      </c>
      <c r="BW45" s="68" t="n">
        <f aca="false">BW5+BW10+BW16+BW22+BW28+BW35+BW41</f>
        <v>0</v>
      </c>
      <c r="BX45" s="68" t="n">
        <f aca="false">BX5+BX10+BX16+BX22+BX28+BX35+BX41</f>
        <v>0</v>
      </c>
      <c r="BY45" s="68" t="n">
        <f aca="false">BY5+BY10+BY16+BY22+BY28+BY35+BY41</f>
        <v>-5394</v>
      </c>
      <c r="BZ45" s="68" t="n">
        <f aca="false">BZ5+BZ10+BZ16+BZ22+BZ28+BZ35+BZ41</f>
        <v>0</v>
      </c>
      <c r="CA45" s="68" t="n">
        <f aca="false">CA5+CA10+CA16+CA22+CA28+CA35+CA41</f>
        <v>0</v>
      </c>
      <c r="CB45" s="68" t="n">
        <f aca="false">CB5+CB10+CB16+CB22+CB28+CB35+CB41</f>
        <v>3344</v>
      </c>
      <c r="CC45" s="68" t="n">
        <f aca="false">CC5+CC10+CC16+CC22+CC28+CC35+CC41</f>
        <v>0</v>
      </c>
      <c r="CD45" s="68" t="n">
        <f aca="false">CD5+CD10+CD16+CD22+CD28+CD35+CD41</f>
        <v>0</v>
      </c>
      <c r="CE45" s="68" t="n">
        <f aca="false">CE5+CE10+CE16+CE22+CE28+CE35+CE41</f>
        <v>3344</v>
      </c>
      <c r="CF45" s="68" t="n">
        <f aca="false">CF5+CF10+CF16+CF22+CF28+CF35+CF41</f>
        <v>0</v>
      </c>
      <c r="CG45" s="68" t="n">
        <f aca="false">CG5+CG10+CG16+CG22+CG28+CG35+CG41</f>
        <v>0</v>
      </c>
      <c r="CH45" s="68" t="n">
        <f aca="false">CH5+CH10+CH16+CH22+CH28+CH35+CH41</f>
        <v>9952.02660647922</v>
      </c>
    </row>
    <row r="46" customFormat="false" ht="15" hidden="false" customHeight="true" outlineLevel="0" collapsed="false">
      <c r="A46" s="72" t="s">
        <v>217</v>
      </c>
      <c r="B46" s="3"/>
      <c r="C46" s="69" t="n">
        <f aca="false">C45</f>
        <v>33281.25</v>
      </c>
      <c r="D46" s="69" t="n">
        <f aca="false">C46+D45</f>
        <v>66562.5</v>
      </c>
      <c r="E46" s="69" t="n">
        <f aca="false">D46+E45</f>
        <v>99843.75</v>
      </c>
      <c r="F46" s="69" t="n">
        <f aca="false">E46+F45</f>
        <v>133125</v>
      </c>
      <c r="G46" s="69" t="n">
        <f aca="false">F46+G45</f>
        <v>277246.83</v>
      </c>
      <c r="H46" s="69" t="n">
        <f aca="false">G46+H45</f>
        <v>380505.29</v>
      </c>
      <c r="I46" s="69" t="n">
        <f aca="false">H46+I45</f>
        <v>437470.75</v>
      </c>
      <c r="J46" s="69" t="n">
        <f aca="false">I46+J45</f>
        <v>485061.21</v>
      </c>
      <c r="K46" s="69" t="n">
        <f aca="false">J46+K45</f>
        <v>532651.67</v>
      </c>
      <c r="L46" s="69" t="n">
        <f aca="false">K46+L45</f>
        <v>580242.13</v>
      </c>
      <c r="M46" s="69" t="n">
        <f aca="false">L46+M45</f>
        <v>627832.59</v>
      </c>
      <c r="N46" s="69" t="n">
        <f aca="false">M46+N45</f>
        <v>675423.05</v>
      </c>
      <c r="O46" s="69" t="n">
        <f aca="false">N46+O45</f>
        <v>723013.51</v>
      </c>
      <c r="P46" s="69" t="n">
        <f aca="false">O46+P45</f>
        <v>770603.97</v>
      </c>
      <c r="Q46" s="69" t="n">
        <f aca="false">P46+Q45</f>
        <v>818194.43</v>
      </c>
      <c r="R46" s="69" t="n">
        <f aca="false">Q46+R45</f>
        <v>841878.64</v>
      </c>
      <c r="S46" s="69" t="n">
        <f aca="false">R46+S45</f>
        <v>865562.85</v>
      </c>
      <c r="T46" s="69" t="n">
        <f aca="false">S46+T45</f>
        <v>889247.06</v>
      </c>
      <c r="U46" s="69" t="n">
        <f aca="false">T46+U45</f>
        <v>912931.27</v>
      </c>
      <c r="V46" s="69" t="n">
        <f aca="false">U46+V45</f>
        <v>936615.48</v>
      </c>
      <c r="W46" s="69" t="n">
        <f aca="false">V46+W45</f>
        <v>1017674.69</v>
      </c>
      <c r="X46" s="69" t="n">
        <f aca="false">W46+X45</f>
        <v>1041358.9</v>
      </c>
      <c r="Y46" s="69" t="n">
        <f aca="false">X46+Y45</f>
        <v>1065043.11</v>
      </c>
      <c r="Z46" s="69" t="n">
        <f aca="false">Y46+Z45</f>
        <v>1133470.74</v>
      </c>
      <c r="AA46" s="69" t="n">
        <f aca="false">Z46+AA45</f>
        <v>1133470.74</v>
      </c>
      <c r="AB46" s="69" t="n">
        <f aca="false">AA46+AB45</f>
        <v>1133470.74</v>
      </c>
      <c r="AC46" s="69" t="n">
        <f aca="false">AB46+AC45</f>
        <v>1190845.74</v>
      </c>
      <c r="AD46" s="69" t="n">
        <f aca="false">AC46+AD45</f>
        <v>1190845.74</v>
      </c>
      <c r="AE46" s="69" t="n">
        <f aca="false">AD46+AE45</f>
        <v>1190845.74</v>
      </c>
      <c r="AF46" s="69" t="n">
        <f aca="false">AE46+AF45</f>
        <v>1190845.74</v>
      </c>
      <c r="AG46" s="69" t="n">
        <f aca="false">AF46+AG45</f>
        <v>1190845.74</v>
      </c>
      <c r="AH46" s="69" t="n">
        <f aca="false">AG46+AH45</f>
        <v>1190845.74</v>
      </c>
      <c r="AI46" s="69" t="n">
        <f aca="false">AH46+AI45</f>
        <v>1190845.74</v>
      </c>
      <c r="AJ46" s="69" t="n">
        <f aca="false">AI46+AJ45</f>
        <v>1190845.74</v>
      </c>
      <c r="AK46" s="69" t="n">
        <f aca="false">AJ46+AK45</f>
        <v>1190845.74</v>
      </c>
      <c r="AL46" s="69" t="n">
        <f aca="false">AK46+AL45</f>
        <v>1190845.74</v>
      </c>
      <c r="AM46" s="69" t="n">
        <f aca="false">AL46+AM45</f>
        <v>1190845.74</v>
      </c>
      <c r="AN46" s="69" t="n">
        <f aca="false">AM46+AN45</f>
        <v>1190845.74</v>
      </c>
      <c r="AO46" s="69" t="n">
        <f aca="false">AN46+AO45</f>
        <v>1190845.74</v>
      </c>
      <c r="AP46" s="69" t="n">
        <f aca="false">AO46+AP45</f>
        <v>1190845.74</v>
      </c>
      <c r="AQ46" s="69" t="n">
        <f aca="false">AP46+AQ45</f>
        <v>1190845.74</v>
      </c>
      <c r="AR46" s="69" t="n">
        <f aca="false">AQ46+AR45</f>
        <v>1190845.74</v>
      </c>
      <c r="AS46" s="69" t="n">
        <f aca="false">AR46+AS45</f>
        <v>1190845.74</v>
      </c>
      <c r="AT46" s="69" t="n">
        <f aca="false">AS46+AT45</f>
        <v>1190845.74</v>
      </c>
      <c r="AU46" s="69" t="n">
        <f aca="false">AT46+AU45</f>
        <v>1190845.74</v>
      </c>
      <c r="AV46" s="69" t="n">
        <f aca="false">AU46+AV45</f>
        <v>1190845.74</v>
      </c>
      <c r="AW46" s="69" t="n">
        <f aca="false">AV46+AW45</f>
        <v>1190845.74</v>
      </c>
      <c r="AX46" s="69" t="n">
        <f aca="false">AW46+AX45</f>
        <v>1190845.74</v>
      </c>
      <c r="AY46" s="69" t="n">
        <f aca="false">AX46+AY45</f>
        <v>1190845.74</v>
      </c>
      <c r="AZ46" s="69" t="n">
        <f aca="false">AY46+AZ45</f>
        <v>1190845.74</v>
      </c>
      <c r="BA46" s="69" t="n">
        <f aca="false">AZ46+BA45</f>
        <v>1190845.74</v>
      </c>
      <c r="BB46" s="69" t="n">
        <f aca="false">BA46+BB45</f>
        <v>1190845.74</v>
      </c>
      <c r="BC46" s="69" t="n">
        <f aca="false">BB46+BC45</f>
        <v>1190845.74</v>
      </c>
      <c r="BD46" s="69" t="n">
        <f aca="false">BC46+BD45</f>
        <v>1190845.74</v>
      </c>
      <c r="BE46" s="69" t="n">
        <f aca="false">BD46+BE45</f>
        <v>1190845.74</v>
      </c>
      <c r="BF46" s="69" t="n">
        <f aca="false">BE46+BF45</f>
        <v>1190845.74</v>
      </c>
      <c r="BG46" s="69" t="n">
        <f aca="false">BF46+BG45</f>
        <v>1190845.74</v>
      </c>
      <c r="BH46" s="69" t="n">
        <f aca="false">BG46+BH45</f>
        <v>1190845.74</v>
      </c>
      <c r="BI46" s="69" t="n">
        <f aca="false">BH46+BI45</f>
        <v>1190845.74</v>
      </c>
      <c r="BJ46" s="69" t="n">
        <f aca="false">BI46+BJ45</f>
        <v>1190845.74</v>
      </c>
      <c r="BK46" s="69" t="n">
        <f aca="false">BJ46+BK45</f>
        <v>1190845.74</v>
      </c>
      <c r="BL46" s="69" t="n">
        <f aca="false">BK46+BL45</f>
        <v>1190845.74</v>
      </c>
      <c r="BM46" s="69" t="n">
        <f aca="false">BL46+BM45</f>
        <v>1190845.74</v>
      </c>
      <c r="BN46" s="69" t="n">
        <f aca="false">BM46+BN45</f>
        <v>1190845.74</v>
      </c>
      <c r="BO46" s="69" t="n">
        <f aca="false">BN46+BO45</f>
        <v>1190845.74</v>
      </c>
      <c r="BP46" s="69" t="n">
        <f aca="false">BO46+BP45</f>
        <v>1242359.26</v>
      </c>
      <c r="BQ46" s="69" t="n">
        <f aca="false">BP46+BQ45</f>
        <v>1242359.26</v>
      </c>
      <c r="BR46" s="69" t="n">
        <f aca="false">BQ46+BR45</f>
        <v>1242359.26</v>
      </c>
      <c r="BS46" s="69" t="n">
        <f aca="false">BR46+BS45</f>
        <v>1310121.26</v>
      </c>
      <c r="BT46" s="69" t="n">
        <f aca="false">BS46+BT45</f>
        <v>1310121.26</v>
      </c>
      <c r="BU46" s="69" t="n">
        <f aca="false">BT46+BU45</f>
        <v>1310121.26</v>
      </c>
      <c r="BV46" s="69" t="n">
        <f aca="false">BU46+BV45</f>
        <v>1377883.26</v>
      </c>
      <c r="BW46" s="69" t="n">
        <f aca="false">BV46+BW45</f>
        <v>1377883.26</v>
      </c>
      <c r="BX46" s="69" t="n">
        <f aca="false">BW46+BX45</f>
        <v>1377883.26</v>
      </c>
      <c r="BY46" s="69" t="n">
        <f aca="false">BX46+BY45</f>
        <v>1372489.26</v>
      </c>
      <c r="BZ46" s="69" t="n">
        <f aca="false">BY46+BZ45</f>
        <v>1372489.26</v>
      </c>
      <c r="CA46" s="69" t="n">
        <f aca="false">BZ46+CA45</f>
        <v>1372489.26</v>
      </c>
      <c r="CB46" s="69" t="n">
        <f aca="false">CA46+CB45</f>
        <v>1375833.26</v>
      </c>
      <c r="CC46" s="69" t="n">
        <f aca="false">CB46+CC45</f>
        <v>1375833.26</v>
      </c>
      <c r="CD46" s="69" t="n">
        <f aca="false">CC46+CD45</f>
        <v>1375833.26</v>
      </c>
      <c r="CE46" s="69" t="n">
        <f aca="false">CD46+CE45</f>
        <v>1379177.26</v>
      </c>
      <c r="CF46" s="69" t="n">
        <f aca="false">CE46+CF45</f>
        <v>1379177.26</v>
      </c>
      <c r="CG46" s="69" t="n">
        <f aca="false">CF46+CG45</f>
        <v>1379177.26</v>
      </c>
      <c r="CH46" s="69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1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3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3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3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3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3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3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4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1" t="s">
        <v>227</v>
      </c>
      <c r="B56" s="75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6" t="n">
        <f aca="false">Assumptions!B4</f>
        <v>0.06</v>
      </c>
      <c r="C5" s="77" t="n">
        <v>0.06</v>
      </c>
      <c r="D5" s="78" t="n">
        <v>0.04</v>
      </c>
      <c r="E5" s="78" t="n">
        <v>0.08</v>
      </c>
      <c r="F5" s="18" t="s">
        <v>238</v>
      </c>
      <c r="G5" s="62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6" t="n">
        <f aca="false">Assumptions!B5</f>
        <v>0.06</v>
      </c>
      <c r="C6" s="77" t="n">
        <v>0.06</v>
      </c>
      <c r="D6" s="78" t="n">
        <v>0.04</v>
      </c>
      <c r="E6" s="78" t="n">
        <v>0.08</v>
      </c>
      <c r="F6" s="18" t="s">
        <v>238</v>
      </c>
      <c r="G6" s="62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6" t="n">
        <f aca="false">Assumptions!B6</f>
        <v>0.02</v>
      </c>
      <c r="C7" s="77" t="n">
        <v>0.02</v>
      </c>
      <c r="D7" s="78" t="n">
        <v>0.01</v>
      </c>
      <c r="E7" s="78" t="n">
        <v>0.03</v>
      </c>
      <c r="F7" s="18" t="s">
        <v>238</v>
      </c>
      <c r="G7" s="62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6" t="n">
        <f aca="false">Assumptions!B8</f>
        <v>0.092</v>
      </c>
      <c r="C8" s="77" t="n">
        <v>0.092</v>
      </c>
      <c r="D8" s="78" t="n">
        <v>0.07</v>
      </c>
      <c r="E8" s="78" t="n">
        <v>0.12</v>
      </c>
      <c r="F8" s="18" t="s">
        <v>238</v>
      </c>
      <c r="G8" s="62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6" t="n">
        <f aca="false">Assumptions!B26</f>
        <v>0.02</v>
      </c>
      <c r="C9" s="77" t="n">
        <v>0.02</v>
      </c>
      <c r="D9" s="78" t="n">
        <v>0</v>
      </c>
      <c r="E9" s="78" t="n">
        <v>0.04</v>
      </c>
      <c r="F9" s="18" t="s">
        <v>238</v>
      </c>
      <c r="G9" s="62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6" t="n">
        <f aca="false">Assumptions!B15</f>
        <v>0.015</v>
      </c>
      <c r="C10" s="77" t="n">
        <v>0.015</v>
      </c>
      <c r="D10" s="78" t="n">
        <v>0.01</v>
      </c>
      <c r="E10" s="78" t="n">
        <v>0.02</v>
      </c>
      <c r="F10" s="18" t="s">
        <v>238</v>
      </c>
      <c r="G10" s="62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6" t="n">
        <f aca="false">Assumptions!B16</f>
        <v>0.0074</v>
      </c>
      <c r="C11" s="77" t="n">
        <v>0.0074</v>
      </c>
      <c r="D11" s="78" t="n">
        <v>0.005</v>
      </c>
      <c r="E11" s="78" t="n">
        <v>0.015</v>
      </c>
      <c r="F11" s="18" t="s">
        <v>238</v>
      </c>
      <c r="G11" s="62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6" t="n">
        <f aca="false">Assumptions!B17</f>
        <v>0.0325</v>
      </c>
      <c r="C12" s="77" t="n">
        <v>0.0325</v>
      </c>
      <c r="D12" s="78" t="n">
        <v>0.02</v>
      </c>
      <c r="E12" s="78" t="n">
        <v>0.05</v>
      </c>
      <c r="F12" s="18" t="s">
        <v>238</v>
      </c>
      <c r="G12" s="62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6" t="n">
        <f aca="false">Assumptions!B34</f>
        <v>0.15</v>
      </c>
      <c r="C13" s="77" t="n">
        <v>0.15</v>
      </c>
      <c r="D13" s="78" t="n">
        <v>0.1</v>
      </c>
      <c r="E13" s="78" t="n">
        <v>0.2</v>
      </c>
      <c r="F13" s="18" t="s">
        <v>238</v>
      </c>
      <c r="G13" s="62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7" t="n">
        <f aca="false">Assumptions!B36</f>
        <v>130000</v>
      </c>
      <c r="C14" s="79" t="n">
        <v>130000</v>
      </c>
      <c r="D14" s="80" t="n">
        <v>100000</v>
      </c>
      <c r="E14" s="80" t="n">
        <v>175000</v>
      </c>
      <c r="F14" s="18" t="s">
        <v>256</v>
      </c>
      <c r="G14" s="62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6" t="n">
        <f aca="false">Assumptions!B58</f>
        <v>0.15</v>
      </c>
      <c r="C15" s="77" t="n">
        <v>0.15</v>
      </c>
      <c r="D15" s="78" t="n">
        <v>0.1</v>
      </c>
      <c r="E15" s="78" t="n">
        <v>0.2</v>
      </c>
      <c r="F15" s="18" t="s">
        <v>238</v>
      </c>
      <c r="G15" s="62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6" t="n">
        <f aca="false">Assumptions!B47</f>
        <v>0.01</v>
      </c>
      <c r="C16" s="77" t="n">
        <v>0.01</v>
      </c>
      <c r="D16" s="78" t="n">
        <v>0.005</v>
      </c>
      <c r="E16" s="78" t="n">
        <v>0.02</v>
      </c>
      <c r="F16" s="18" t="s">
        <v>238</v>
      </c>
      <c r="G16" s="62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6" t="n">
        <f aca="false">Assumptions!B48</f>
        <v>0.03</v>
      </c>
      <c r="C17" s="77" t="n">
        <v>0.03</v>
      </c>
      <c r="D17" s="78" t="n">
        <v>0.02</v>
      </c>
      <c r="E17" s="78" t="n">
        <v>0.05</v>
      </c>
      <c r="F17" s="18" t="s">
        <v>238</v>
      </c>
      <c r="G17" s="62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1" t="n">
        <v>10</v>
      </c>
      <c r="C18" s="82" t="n">
        <v>10</v>
      </c>
      <c r="D18" s="83" t="n">
        <v>5</v>
      </c>
      <c r="E18" s="83" t="n">
        <v>15</v>
      </c>
      <c r="F18" s="18" t="s">
        <v>265</v>
      </c>
      <c r="G18" s="62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4" t="n">
        <v>18700</v>
      </c>
      <c r="C19" s="79" t="n">
        <v>18700</v>
      </c>
      <c r="D19" s="80" t="n">
        <v>15000</v>
      </c>
      <c r="E19" s="80" t="n">
        <v>25000</v>
      </c>
      <c r="F19" s="18" t="s">
        <v>256</v>
      </c>
      <c r="G19" s="62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5" t="str">
        <f aca="false">Projects!$G$2</f>
        <v>Yes</v>
      </c>
      <c r="C24" s="84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5" t="str">
        <f aca="false">Projects!$G$3</f>
        <v>Yes</v>
      </c>
      <c r="C25" s="84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5" t="str">
        <f aca="false">Projects!$G$4</f>
        <v>Yes</v>
      </c>
      <c r="C26" s="84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5" t="str">
        <f aca="false">Projects!$G$5</f>
        <v>Yes</v>
      </c>
      <c r="C27" s="84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5" t="str">
        <f aca="false">Projects!$G$6</f>
        <v>Yes</v>
      </c>
      <c r="C28" s="84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5" t="str">
        <f aca="false">Projects!$G$7</f>
        <v>Yes</v>
      </c>
      <c r="C29" s="84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5" t="str">
        <f aca="false">Projects!$G$8</f>
        <v>Yes</v>
      </c>
      <c r="C30" s="84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5" t="str">
        <f aca="false">Projects!$G$9</f>
        <v>Yes</v>
      </c>
      <c r="C31" s="84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5" t="str">
        <f aca="false">Projects!$G$10</f>
        <v>Yes</v>
      </c>
      <c r="C32" s="84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5" t="str">
        <f aca="false">Projects!$G$11</f>
        <v>Yes</v>
      </c>
      <c r="C33" s="84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5" t="str">
        <f aca="false">Projects!$G$12</f>
        <v>Yes</v>
      </c>
      <c r="C34" s="84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5" t="str">
        <f aca="false">Projects!$G$13</f>
        <v>Yes</v>
      </c>
      <c r="C35" s="84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5" t="str">
        <f aca="false">Projects!$G$14</f>
        <v>Yes</v>
      </c>
      <c r="C36" s="84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6" t="s">
        <v>1</v>
      </c>
      <c r="C40" s="86" t="s">
        <v>2</v>
      </c>
      <c r="D40" s="86" t="s">
        <v>3</v>
      </c>
      <c r="E40" s="86" t="s">
        <v>4</v>
      </c>
      <c r="F40" s="86" t="s">
        <v>5</v>
      </c>
      <c r="G40" s="86" t="s">
        <v>6</v>
      </c>
      <c r="H40" s="86" t="s">
        <v>7</v>
      </c>
      <c r="I40" s="86" t="s">
        <v>8</v>
      </c>
    </row>
    <row r="41" customFormat="false" ht="15" hidden="false" customHeight="true" outlineLevel="0" collapsed="false">
      <c r="A41" s="30" t="s">
        <v>15</v>
      </c>
      <c r="B41" s="68" t="n">
        <f aca="false">'Annual Summary'!B8</f>
        <v>1405537.62</v>
      </c>
      <c r="C41" s="68" t="n">
        <f aca="false">'Annual Summary'!C8</f>
        <v>679001.55</v>
      </c>
      <c r="D41" s="68" t="n">
        <f aca="false">'Annual Summary'!D8</f>
        <v>620319.48</v>
      </c>
      <c r="E41" s="68" t="n">
        <f aca="false">'Annual Summary'!E8</f>
        <v>0</v>
      </c>
      <c r="F41" s="68" t="n">
        <f aca="false">'Annual Summary'!F8</f>
        <v>0</v>
      </c>
      <c r="G41" s="68" t="n">
        <f aca="false">'Annual Summary'!G8</f>
        <v>0</v>
      </c>
      <c r="H41" s="68" t="n">
        <f aca="false">'Annual Summary'!H8</f>
        <v>0</v>
      </c>
      <c r="I41" s="68" t="n">
        <f aca="false">'Annual Summary'!I8</f>
        <v>0</v>
      </c>
    </row>
    <row r="42" customFormat="false" ht="15" hidden="false" customHeight="true" outlineLevel="0" collapsed="false">
      <c r="A42" s="87" t="s">
        <v>21</v>
      </c>
      <c r="B42" s="88" t="n">
        <f aca="false">'Annual Summary'!B15</f>
        <v>-4201716.42753333</v>
      </c>
      <c r="C42" s="88" t="n">
        <f aca="false">'Annual Summary'!C15</f>
        <v>-6435753.9657</v>
      </c>
      <c r="D42" s="88" t="n">
        <f aca="false">'Annual Summary'!D15</f>
        <v>-6341163.319514</v>
      </c>
      <c r="E42" s="88" t="n">
        <f aca="false">'Annual Summary'!E15</f>
        <v>-5030342.69510428</v>
      </c>
      <c r="F42" s="88" t="n">
        <f aca="false">'Annual Summary'!F15</f>
        <v>-5064211.70900637</v>
      </c>
      <c r="G42" s="88" t="n">
        <f aca="false">'Annual Summary'!G15</f>
        <v>-5098758.1031865</v>
      </c>
      <c r="H42" s="88" t="n">
        <f aca="false">'Annual Summary'!H15</f>
        <v>-5133995.42525022</v>
      </c>
      <c r="I42" s="88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6" t="n">
        <f aca="false">'Annual Summary'!B16</f>
        <v>2634685.09819928</v>
      </c>
      <c r="C43" s="76" t="n">
        <f aca="false">'Annual Summary'!C16</f>
        <v>4467169.10477037</v>
      </c>
      <c r="D43" s="76" t="n">
        <f aca="false">'Annual Summary'!D16</f>
        <v>1293050.23443398</v>
      </c>
      <c r="E43" s="76" t="n">
        <f aca="false">'Annual Summary'!E16</f>
        <v>-1205331.34801689</v>
      </c>
      <c r="F43" s="76" t="n">
        <f aca="false">'Annual Summary'!F16</f>
        <v>-3280407.39527639</v>
      </c>
      <c r="G43" s="76" t="n">
        <f aca="false">'Annual Summary'!G16</f>
        <v>-5098758.1031865</v>
      </c>
      <c r="H43" s="76" t="n">
        <f aca="false">'Annual Summary'!H16</f>
        <v>-5133995.42525022</v>
      </c>
      <c r="I43" s="76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8" t="n">
        <f aca="false">'Annual Summary'!B18</f>
        <v>0</v>
      </c>
      <c r="C45" s="68" t="n">
        <f aca="false">'Annual Summary'!C18</f>
        <v>0</v>
      </c>
      <c r="D45" s="68" t="n">
        <f aca="false">'Annual Summary'!D18</f>
        <v>0</v>
      </c>
      <c r="E45" s="68" t="n">
        <f aca="false">'Annual Summary'!E18</f>
        <v>0</v>
      </c>
      <c r="F45" s="68" t="n">
        <f aca="false">'Annual Summary'!F18</f>
        <v>0</v>
      </c>
      <c r="G45" s="68" t="n">
        <f aca="false">'Annual Summary'!G18</f>
        <v>0</v>
      </c>
      <c r="H45" s="68" t="n">
        <f aca="false">'Annual Summary'!H18</f>
        <v>0</v>
      </c>
      <c r="I45" s="68" t="n">
        <f aca="false">'Annual Summary'!I18</f>
        <v>0</v>
      </c>
    </row>
    <row r="46" customFormat="false" ht="15" hidden="false" customHeight="true" outlineLevel="0" collapsed="false">
      <c r="A46" s="87" t="s">
        <v>25</v>
      </c>
      <c r="B46" s="88" t="n">
        <f aca="false">'Annual Summary'!B20</f>
        <v>-1386554.37</v>
      </c>
      <c r="C46" s="88" t="n">
        <f aca="false">'Annual Summary'!C20</f>
        <v>-1467681.625</v>
      </c>
      <c r="D46" s="88" t="n">
        <f aca="false">'Annual Summary'!D20</f>
        <v>-1497035.2575</v>
      </c>
      <c r="E46" s="88" t="n">
        <f aca="false">'Annual Summary'!E20</f>
        <v>-1690340.96265</v>
      </c>
      <c r="F46" s="88" t="n">
        <f aca="false">'Annual Summary'!F20</f>
        <v>-2834472.481903</v>
      </c>
      <c r="G46" s="88" t="n">
        <f aca="false">'Annual Summary'!G20</f>
        <v>-2015950.27154106</v>
      </c>
      <c r="H46" s="88" t="n">
        <f aca="false">'Annual Summary'!H20</f>
        <v>-2151910.10737188</v>
      </c>
      <c r="I46" s="88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7" t="s">
        <v>26</v>
      </c>
      <c r="B48" s="88" t="n">
        <f aca="false">'Annual Summary'!B22</f>
        <v>0</v>
      </c>
      <c r="C48" s="88" t="n">
        <f aca="false">'Annual Summary'!C22</f>
        <v>0</v>
      </c>
      <c r="D48" s="88" t="n">
        <f aca="false">'Annual Summary'!D22</f>
        <v>0</v>
      </c>
      <c r="E48" s="88" t="n">
        <f aca="false">'Annual Summary'!E22</f>
        <v>0</v>
      </c>
      <c r="F48" s="88" t="n">
        <f aca="false">'Annual Summary'!F22</f>
        <v>0</v>
      </c>
      <c r="G48" s="88" t="n">
        <f aca="false">'Annual Summary'!G22</f>
        <v>0</v>
      </c>
      <c r="H48" s="88" t="n">
        <f aca="false">'Annual Summary'!H22</f>
        <v>0</v>
      </c>
      <c r="I48" s="88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89" t="s">
        <v>44</v>
      </c>
      <c r="B50" s="90" t="n">
        <f aca="false">'Annual Summary'!B43</f>
        <v>-411381.89</v>
      </c>
      <c r="C50" s="90" t="n">
        <f aca="false">'Annual Summary'!C43</f>
        <v>-3026009.73828545</v>
      </c>
      <c r="D50" s="90" t="n">
        <f aca="false">'Annual Summary'!D43</f>
        <v>-4514373.94578545</v>
      </c>
      <c r="E50" s="90" t="n">
        <f aca="false">'Annual Summary'!E43</f>
        <v>-6041349.90843544</v>
      </c>
      <c r="F50" s="90" t="n">
        <f aca="false">'Annual Summary'!F43</f>
        <v>-7598865.39033844</v>
      </c>
      <c r="G50" s="90" t="n">
        <f aca="false">'Annual Summary'!G43</f>
        <v>-9068255.6618795</v>
      </c>
      <c r="H50" s="90" t="n">
        <f aca="false">'Annual Summary'!H43</f>
        <v>-10400172.7692514</v>
      </c>
      <c r="I50" s="90" t="n">
        <f aca="false">'Annual Summary'!I43</f>
        <v>-10711722.3239608</v>
      </c>
    </row>
    <row r="51" customFormat="false" ht="15" hidden="false" customHeight="true" outlineLevel="0" collapsed="false">
      <c r="A51" s="89" t="s">
        <v>41</v>
      </c>
      <c r="B51" s="90" t="n">
        <f aca="false">'Annual Summary'!B41</f>
        <v>0</v>
      </c>
      <c r="C51" s="90" t="n">
        <f aca="false">'Annual Summary'!C41</f>
        <v>0</v>
      </c>
      <c r="D51" s="90" t="n">
        <f aca="false">'Annual Summary'!D41</f>
        <v>0</v>
      </c>
      <c r="E51" s="90" t="n">
        <f aca="false">'Annual Summary'!E41</f>
        <v>0</v>
      </c>
      <c r="F51" s="90" t="n">
        <f aca="false">'Annual Summary'!F41</f>
        <v>0</v>
      </c>
      <c r="G51" s="90" t="n">
        <f aca="false">'Annual Summary'!G41</f>
        <v>0</v>
      </c>
      <c r="H51" s="90" t="n">
        <f aca="false">'Annual Summary'!H41</f>
        <v>0</v>
      </c>
      <c r="I51" s="90" t="n">
        <f aca="false">'Annual Summary'!I41</f>
        <v>0</v>
      </c>
    </row>
    <row r="52" customFormat="false" ht="15" hidden="false" customHeight="true" outlineLevel="0" collapsed="false">
      <c r="A52" s="89" t="s">
        <v>42</v>
      </c>
      <c r="B52" s="90" t="n">
        <f aca="false">'Annual Summary'!B42</f>
        <v>4286600.78819928</v>
      </c>
      <c r="C52" s="90" t="n">
        <f aca="false">'Annual Summary'!C42</f>
        <v>8753769.89296964</v>
      </c>
      <c r="D52" s="90" t="n">
        <f aca="false">'Annual Summary'!D42</f>
        <v>10046820.1274036</v>
      </c>
      <c r="E52" s="90" t="n">
        <f aca="false">'Annual Summary'!E42</f>
        <v>8841488.77938674</v>
      </c>
      <c r="F52" s="90" t="n">
        <f aca="false">'Annual Summary'!F42</f>
        <v>5561081.38411035</v>
      </c>
      <c r="G52" s="90" t="n">
        <f aca="false">'Annual Summary'!G42</f>
        <v>462323.280923851</v>
      </c>
      <c r="H52" s="90" t="n">
        <f aca="false">'Annual Summary'!H42</f>
        <v>-4671672.14432637</v>
      </c>
      <c r="I52" s="90" t="n">
        <f aca="false">'Annual Summary'!I42</f>
        <v>-5957384.18219712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7" t="n">
        <f aca="false">'Annual Summary'!B39</f>
        <v>0</v>
      </c>
      <c r="C54" s="67" t="n">
        <f aca="false">'Annual Summary'!C39</f>
        <v>0</v>
      </c>
      <c r="D54" s="67" t="n">
        <f aca="false">'Annual Summary'!D39</f>
        <v>0</v>
      </c>
      <c r="E54" s="67" t="n">
        <f aca="false">'Annual Summary'!E39</f>
        <v>0</v>
      </c>
      <c r="F54" s="67" t="n">
        <f aca="false">'Annual Summary'!F39</f>
        <v>0</v>
      </c>
      <c r="G54" s="67" t="n">
        <f aca="false">'Annual Summary'!G39</f>
        <v>0</v>
      </c>
      <c r="H54" s="67" t="n">
        <f aca="false">'Annual Summary'!H39</f>
        <v>0</v>
      </c>
      <c r="I54" s="67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7" t="n">
        <f aca="false">'Annual Summary'!B37</f>
        <v>0</v>
      </c>
      <c r="C55" s="67" t="n">
        <f aca="false">'Annual Summary'!C37</f>
        <v>0</v>
      </c>
      <c r="D55" s="67" t="n">
        <f aca="false">'Annual Summary'!D37</f>
        <v>0</v>
      </c>
      <c r="E55" s="67" t="n">
        <f aca="false">'Annual Summary'!E37</f>
        <v>0</v>
      </c>
      <c r="F55" s="67" t="n">
        <f aca="false">'Annual Summary'!F37</f>
        <v>0</v>
      </c>
      <c r="G55" s="67" t="n">
        <f aca="false">'Annual Summary'!G37</f>
        <v>0</v>
      </c>
      <c r="H55" s="67" t="n">
        <f aca="false">'Annual Summary'!H37</f>
        <v>0</v>
      </c>
      <c r="I55" s="67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2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1" t="s">
        <v>293</v>
      </c>
      <c r="B60" s="92" t="n">
        <v>0.07</v>
      </c>
      <c r="C60" s="92" t="n">
        <v>0.08</v>
      </c>
      <c r="D60" s="92" t="n">
        <v>0.092</v>
      </c>
      <c r="E60" s="92" t="n">
        <v>0.1</v>
      </c>
      <c r="F60" s="92" t="n">
        <v>0.12</v>
      </c>
      <c r="G60" s="3"/>
      <c r="H60" s="3"/>
      <c r="I60" s="3"/>
    </row>
    <row r="61" customFormat="false" ht="15" hidden="false" customHeight="true" outlineLevel="0" collapsed="false">
      <c r="A61" s="93" t="n">
        <v>0.1</v>
      </c>
      <c r="B61" s="80" t="n">
        <v>21535794</v>
      </c>
      <c r="C61" s="80" t="n">
        <v>21353287</v>
      </c>
      <c r="D61" s="80" t="n">
        <v>21138321</v>
      </c>
      <c r="E61" s="80" t="n">
        <v>20997399</v>
      </c>
      <c r="F61" s="80" t="n">
        <v>20653180</v>
      </c>
      <c r="G61" s="3"/>
      <c r="H61" s="3"/>
      <c r="I61" s="3"/>
    </row>
    <row r="62" customFormat="false" ht="15" hidden="false" customHeight="true" outlineLevel="0" collapsed="false">
      <c r="A62" s="93" t="n">
        <v>0.12</v>
      </c>
      <c r="B62" s="80" t="n">
        <v>25408618</v>
      </c>
      <c r="C62" s="80" t="n">
        <v>25196879</v>
      </c>
      <c r="D62" s="80" t="n">
        <v>24947405</v>
      </c>
      <c r="E62" s="80" t="n">
        <v>24783816</v>
      </c>
      <c r="F62" s="80" t="n">
        <v>24384077</v>
      </c>
      <c r="G62" s="3"/>
      <c r="H62" s="3"/>
      <c r="I62" s="3"/>
    </row>
    <row r="63" customFormat="false" ht="15" hidden="false" customHeight="true" outlineLevel="0" collapsed="false">
      <c r="A63" s="93" t="n">
        <v>0.14</v>
      </c>
      <c r="B63" s="80" t="n">
        <v>29153414</v>
      </c>
      <c r="C63" s="80" t="n">
        <v>28914451</v>
      </c>
      <c r="D63" s="94" t="n">
        <v>28632817</v>
      </c>
      <c r="E63" s="80" t="n">
        <v>28448089</v>
      </c>
      <c r="F63" s="80" t="n">
        <v>27996532</v>
      </c>
      <c r="G63" s="3"/>
      <c r="H63" s="3"/>
      <c r="I63" s="3"/>
    </row>
    <row r="64" customFormat="false" ht="15" hidden="false" customHeight="true" outlineLevel="0" collapsed="false">
      <c r="A64" s="93" t="n">
        <v>0.16</v>
      </c>
      <c r="B64" s="80" t="n">
        <v>32776428</v>
      </c>
      <c r="C64" s="80" t="n">
        <v>32512102</v>
      </c>
      <c r="D64" s="80" t="n">
        <v>32200484</v>
      </c>
      <c r="E64" s="80" t="n">
        <v>31996037</v>
      </c>
      <c r="F64" s="80" t="n">
        <v>31496099</v>
      </c>
      <c r="G64" s="3"/>
      <c r="H64" s="3"/>
      <c r="I64" s="3"/>
    </row>
    <row r="65" customFormat="false" ht="15" hidden="false" customHeight="true" outlineLevel="0" collapsed="false">
      <c r="A65" s="93" t="n">
        <v>0.18</v>
      </c>
      <c r="B65" s="80" t="n">
        <v>36283506</v>
      </c>
      <c r="C65" s="80" t="n">
        <v>35995542</v>
      </c>
      <c r="D65" s="80" t="n">
        <v>35655961</v>
      </c>
      <c r="E65" s="80" t="n">
        <v>35433111</v>
      </c>
      <c r="F65" s="80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4" t="n">
        <f aca="false">'Annual Summary'!B41</f>
        <v>0</v>
      </c>
      <c r="C70" s="80" t="n">
        <f aca="false">'Annual Summary'!C41</f>
        <v>0</v>
      </c>
      <c r="D70" s="80" t="n">
        <f aca="false">'Annual Summary'!E41</f>
        <v>0</v>
      </c>
      <c r="E70" s="80" t="n">
        <f aca="false">'Annual Summary'!G41</f>
        <v>0</v>
      </c>
      <c r="F70" s="80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4" t="n">
        <f aca="false">'Annual Summary'!B42</f>
        <v>4286600.78819928</v>
      </c>
      <c r="C71" s="80" t="n">
        <f aca="false">'Annual Summary'!C42</f>
        <v>8753769.89296964</v>
      </c>
      <c r="D71" s="80" t="n">
        <f aca="false">'Annual Summary'!E42</f>
        <v>8841488.77938674</v>
      </c>
      <c r="E71" s="80" t="n">
        <f aca="false">'Annual Summary'!G42</f>
        <v>462323.280923851</v>
      </c>
      <c r="F71" s="80" t="n">
        <f aca="false">'Annual Summary'!I42</f>
        <v>-5957384.18219712</v>
      </c>
      <c r="G71" s="3"/>
      <c r="H71" s="3"/>
      <c r="I71" s="3"/>
    </row>
    <row r="72" customFormat="false" ht="15" hidden="false" customHeight="true" outlineLevel="0" collapsed="false">
      <c r="A72" s="89" t="s">
        <v>303</v>
      </c>
      <c r="B72" s="95" t="n">
        <f aca="false">'Annual Summary'!B43</f>
        <v>-411381.89</v>
      </c>
      <c r="C72" s="96" t="n">
        <f aca="false">'Annual Summary'!C43</f>
        <v>-3026009.73828545</v>
      </c>
      <c r="D72" s="96" t="n">
        <f aca="false">'Annual Summary'!E43</f>
        <v>-6041349.90843544</v>
      </c>
      <c r="E72" s="96" t="n">
        <f aca="false">'Annual Summary'!G43</f>
        <v>-9068255.6618795</v>
      </c>
      <c r="F72" s="96" t="n">
        <f aca="false">'Annual Summary'!I43</f>
        <v>-10711722.3239608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1" t="n">
        <v>95771</v>
      </c>
      <c r="C77" s="71" t="n">
        <v>60000</v>
      </c>
      <c r="D77" s="71" t="n">
        <v>0</v>
      </c>
      <c r="E77" s="69" t="n">
        <v>155771</v>
      </c>
      <c r="F77" s="62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1" t="n">
        <v>75452</v>
      </c>
      <c r="C78" s="71" t="n">
        <v>60000</v>
      </c>
      <c r="D78" s="71" t="n">
        <v>0</v>
      </c>
      <c r="E78" s="69" t="n">
        <v>135452</v>
      </c>
      <c r="F78" s="62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1" t="n">
        <v>579684</v>
      </c>
      <c r="C79" s="71" t="n">
        <v>150000</v>
      </c>
      <c r="D79" s="71" t="n">
        <v>0</v>
      </c>
      <c r="E79" s="69" t="n">
        <v>729684</v>
      </c>
      <c r="F79" s="62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1" t="n">
        <v>602668</v>
      </c>
      <c r="C80" s="71" t="n">
        <v>150000</v>
      </c>
      <c r="D80" s="71" t="n">
        <v>1450000</v>
      </c>
      <c r="E80" s="69" t="n">
        <v>752668</v>
      </c>
      <c r="F80" s="62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1" t="n">
        <v>563546</v>
      </c>
      <c r="C81" s="71" t="n">
        <v>150000</v>
      </c>
      <c r="D81" s="71" t="n">
        <v>0</v>
      </c>
      <c r="E81" s="69" t="n">
        <v>713546</v>
      </c>
      <c r="F81" s="62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8" t="n">
        <v>1917121</v>
      </c>
      <c r="C82" s="68" t="n">
        <v>570000</v>
      </c>
      <c r="D82" s="68" t="n">
        <v>1450000</v>
      </c>
      <c r="E82" s="68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4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7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7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0" t="s">
        <v>319</v>
      </c>
      <c r="B90" s="71" t="n">
        <v>0</v>
      </c>
      <c r="C90" s="71" t="n">
        <v>-956261</v>
      </c>
      <c r="D90" s="71" t="n">
        <v>-1465718</v>
      </c>
      <c r="E90" s="71" t="n">
        <v>-967911</v>
      </c>
      <c r="F90" s="71" t="n">
        <v>-3389890</v>
      </c>
      <c r="G90" s="3"/>
      <c r="H90" s="3"/>
      <c r="I90" s="3"/>
    </row>
    <row r="91" customFormat="false" ht="15" hidden="false" customHeight="true" outlineLevel="0" collapsed="false">
      <c r="A91" s="85" t="s">
        <v>320</v>
      </c>
      <c r="B91" s="67" t="n">
        <v>0</v>
      </c>
      <c r="C91" s="67" t="n">
        <v>-441351</v>
      </c>
      <c r="D91" s="67" t="n">
        <v>-676485</v>
      </c>
      <c r="E91" s="67" t="n">
        <v>-446728</v>
      </c>
      <c r="F91" s="67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8" t="n">
        <v>0</v>
      </c>
      <c r="C92" s="68" t="n">
        <v>514910</v>
      </c>
      <c r="D92" s="68" t="n">
        <v>789233</v>
      </c>
      <c r="E92" s="68" t="n">
        <v>521183</v>
      </c>
      <c r="F92" s="68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2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0" t="n">
        <f aca="false">'Annual Summary'!B39</f>
        <v>0</v>
      </c>
      <c r="C98" s="80" t="n">
        <f aca="false">'Annual Summary'!C39</f>
        <v>0</v>
      </c>
      <c r="D98" s="80" t="n">
        <f aca="false">'Annual Summary'!D39</f>
        <v>0</v>
      </c>
      <c r="E98" s="80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0" t="s">
        <v>325</v>
      </c>
      <c r="B99" s="71" t="n">
        <f aca="false">B98*0.025</f>
        <v>0</v>
      </c>
      <c r="C99" s="71" t="n">
        <f aca="false">C98*0.025</f>
        <v>0</v>
      </c>
      <c r="D99" s="71" t="n">
        <f aca="false">D98*0.025</f>
        <v>0</v>
      </c>
      <c r="E99" s="71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0" t="n">
        <f aca="false">'Annual Summary'!B43</f>
        <v>-411381.89</v>
      </c>
      <c r="C100" s="80" t="n">
        <f aca="false">'Annual Summary'!C43</f>
        <v>-3026009.73828545</v>
      </c>
      <c r="D100" s="80" t="n">
        <f aca="false">'Annual Summary'!D43</f>
        <v>-4514373.94578545</v>
      </c>
      <c r="E100" s="80" t="n">
        <f aca="false">'Annual Summary'!E43</f>
        <v>-6041349.90843544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0" t="n">
        <f aca="false">'Annual Summary'!B15*0.05</f>
        <v>-210085.821376667</v>
      </c>
      <c r="C101" s="80" t="n">
        <f aca="false">'Annual Summary'!C15*0.05</f>
        <v>-321787.698285</v>
      </c>
      <c r="D101" s="80" t="n">
        <f aca="false">'Annual Summary'!D15*0.05</f>
        <v>-317058.1659757</v>
      </c>
      <c r="E101" s="80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0" t="n">
        <f aca="false">B100+B101</f>
        <v>-621467.711376667</v>
      </c>
      <c r="C102" s="80" t="n">
        <f aca="false">C100+C101</f>
        <v>-3347797.43657045</v>
      </c>
      <c r="D102" s="80" t="n">
        <f aca="false">D100+D101</f>
        <v>-4831432.11176115</v>
      </c>
      <c r="E102" s="80" t="n">
        <f aca="false">E100+E101</f>
        <v>-6292867.04319066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8" t="n">
        <f aca="false">B102-B99</f>
        <v>-621467.711376667</v>
      </c>
      <c r="C103" s="68" t="n">
        <f aca="false">C102-C99</f>
        <v>-3347797.43657045</v>
      </c>
      <c r="D103" s="68" t="n">
        <f aca="false">D102-D99</f>
        <v>-4831432.11176115</v>
      </c>
      <c r="E103" s="68" t="n">
        <f aca="false">E102-E99</f>
        <v>-6292867.04319066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4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7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69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8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8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1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0" t="n">
        <v>0</v>
      </c>
      <c r="C115" s="80" t="n">
        <v>1896887</v>
      </c>
      <c r="D115" s="80" t="n">
        <v>1379554</v>
      </c>
      <c r="E115" s="80" t="n">
        <v>172444</v>
      </c>
      <c r="F115" s="69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0" t="n">
        <v>0</v>
      </c>
      <c r="C116" s="80" t="n">
        <v>603555</v>
      </c>
      <c r="D116" s="80" t="n">
        <v>948444</v>
      </c>
      <c r="E116" s="80" t="n">
        <v>172444</v>
      </c>
      <c r="F116" s="69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8" t="n">
        <v>0</v>
      </c>
      <c r="C117" s="68" t="n">
        <v>2500442</v>
      </c>
      <c r="D117" s="68" t="n">
        <v>2327998</v>
      </c>
      <c r="E117" s="68" t="n">
        <v>344888</v>
      </c>
      <c r="F117" s="68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2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2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4" t="n">
        <v>1450000</v>
      </c>
      <c r="C125" s="27" t="s">
        <v>346</v>
      </c>
      <c r="D125" s="62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1" t="n">
        <v>-1450000</v>
      </c>
      <c r="C126" s="27" t="s">
        <v>349</v>
      </c>
      <c r="D126" s="62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2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8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99" t="n">
        <v>362885</v>
      </c>
      <c r="C130" s="27" t="s">
        <v>358</v>
      </c>
      <c r="D130" s="62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8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0" t="s">
        <v>404</v>
      </c>
      <c r="B2" s="101" t="n">
        <v>0.016101</v>
      </c>
      <c r="C2" s="101" t="n">
        <v>0.018518</v>
      </c>
      <c r="D2" s="101" t="n">
        <v>0.021087</v>
      </c>
      <c r="E2" s="101" t="n">
        <v>0.023773</v>
      </c>
      <c r="F2" s="101" t="n">
        <v>0.026535</v>
      </c>
      <c r="G2" s="101" t="n">
        <v>0.029323</v>
      </c>
      <c r="H2" s="101" t="n">
        <v>0.032082</v>
      </c>
      <c r="I2" s="101" t="n">
        <v>0.034752</v>
      </c>
      <c r="J2" s="101" t="n">
        <v>0.037269</v>
      </c>
      <c r="K2" s="101" t="n">
        <v>0.039572</v>
      </c>
      <c r="L2" s="101" t="n">
        <v>0.041599</v>
      </c>
      <c r="M2" s="101" t="n">
        <v>0.043295</v>
      </c>
      <c r="N2" s="101" t="n">
        <v>0.044613</v>
      </c>
      <c r="O2" s="101" t="n">
        <v>0.045513</v>
      </c>
      <c r="P2" s="101" t="n">
        <v>0.04597</v>
      </c>
      <c r="Q2" s="101" t="n">
        <v>0.04597</v>
      </c>
      <c r="R2" s="101" t="n">
        <v>0.045513</v>
      </c>
      <c r="S2" s="101" t="n">
        <v>0.044613</v>
      </c>
      <c r="T2" s="101" t="n">
        <v>0.043295</v>
      </c>
      <c r="U2" s="101" t="n">
        <v>0.041599</v>
      </c>
      <c r="V2" s="101" t="n">
        <v>0.039572</v>
      </c>
      <c r="W2" s="101" t="n">
        <v>0.037269</v>
      </c>
      <c r="X2" s="101" t="n">
        <v>0.034752</v>
      </c>
      <c r="Y2" s="101" t="n">
        <v>0.032082</v>
      </c>
      <c r="Z2" s="101" t="n">
        <v>0.029323</v>
      </c>
      <c r="AA2" s="101" t="n">
        <v>0.026535</v>
      </c>
      <c r="AB2" s="101" t="n">
        <v>0.023773</v>
      </c>
      <c r="AC2" s="101" t="n">
        <v>0.021087</v>
      </c>
      <c r="AD2" s="101" t="n">
        <v>0.018518</v>
      </c>
      <c r="AE2" s="101" t="n">
        <v>0.016101</v>
      </c>
    </row>
    <row r="3" customFormat="false" ht="15" hidden="false" customHeight="true" outlineLevel="0" collapsed="false">
      <c r="A3" s="100" t="s">
        <v>405</v>
      </c>
      <c r="B3" s="101" t="n">
        <v>0.020497</v>
      </c>
      <c r="C3" s="101" t="n">
        <v>0.024336</v>
      </c>
      <c r="D3" s="101" t="n">
        <v>0.028445</v>
      </c>
      <c r="E3" s="101" t="n">
        <v>0.032735</v>
      </c>
      <c r="F3" s="101" t="n">
        <v>0.037087</v>
      </c>
      <c r="G3" s="101" t="n">
        <v>0.041368</v>
      </c>
      <c r="H3" s="101" t="n">
        <v>0.045428</v>
      </c>
      <c r="I3" s="101" t="n">
        <v>0.049114</v>
      </c>
      <c r="J3" s="101" t="n">
        <v>0.052278</v>
      </c>
      <c r="K3" s="101" t="n">
        <v>0.054783</v>
      </c>
      <c r="L3" s="101" t="n">
        <v>0.05652</v>
      </c>
      <c r="M3" s="101" t="n">
        <v>0.057409</v>
      </c>
      <c r="N3" s="101" t="n">
        <v>0.057409</v>
      </c>
      <c r="O3" s="101" t="n">
        <v>0.05652</v>
      </c>
      <c r="P3" s="101" t="n">
        <v>0.054783</v>
      </c>
      <c r="Q3" s="101" t="n">
        <v>0.052278</v>
      </c>
      <c r="R3" s="101" t="n">
        <v>0.049114</v>
      </c>
      <c r="S3" s="101" t="n">
        <v>0.045428</v>
      </c>
      <c r="T3" s="101" t="n">
        <v>0.041368</v>
      </c>
      <c r="U3" s="101" t="n">
        <v>0.037087</v>
      </c>
      <c r="V3" s="101" t="n">
        <v>0.032735</v>
      </c>
      <c r="W3" s="101" t="n">
        <v>0.028445</v>
      </c>
      <c r="X3" s="101" t="n">
        <v>0.024336</v>
      </c>
      <c r="Y3" s="101" t="n">
        <v>0.020497</v>
      </c>
    </row>
    <row r="4" customFormat="false" ht="15" hidden="false" customHeight="true" outlineLevel="0" collapsed="false">
      <c r="A4" s="100" t="s">
        <v>406</v>
      </c>
      <c r="B4" s="101" t="n">
        <v>0.026517</v>
      </c>
      <c r="C4" s="101" t="n">
        <v>0.032761</v>
      </c>
      <c r="D4" s="101" t="n">
        <v>0.039482</v>
      </c>
      <c r="E4" s="101" t="n">
        <v>0.046412</v>
      </c>
      <c r="F4" s="101" t="n">
        <v>0.053218</v>
      </c>
      <c r="G4" s="101" t="n">
        <v>0.059522</v>
      </c>
      <c r="H4" s="101" t="n">
        <v>0.064937</v>
      </c>
      <c r="I4" s="101" t="n">
        <v>0.069104</v>
      </c>
      <c r="J4" s="101" t="n">
        <v>0.071732</v>
      </c>
      <c r="K4" s="101" t="n">
        <v>0.07263</v>
      </c>
      <c r="L4" s="101" t="n">
        <v>0.071732</v>
      </c>
      <c r="M4" s="101" t="n">
        <v>0.069104</v>
      </c>
      <c r="N4" s="101" t="n">
        <v>0.064937</v>
      </c>
      <c r="O4" s="101" t="n">
        <v>0.059522</v>
      </c>
      <c r="P4" s="101" t="n">
        <v>0.053218</v>
      </c>
      <c r="Q4" s="101" t="n">
        <v>0.046412</v>
      </c>
      <c r="R4" s="101" t="n">
        <v>0.039482</v>
      </c>
      <c r="S4" s="101" t="n">
        <v>0.032761</v>
      </c>
      <c r="T4" s="101" t="n">
        <v>0.026517</v>
      </c>
    </row>
    <row r="5" customFormat="false" ht="15" hidden="false" customHeight="true" outlineLevel="0" collapsed="false">
      <c r="A5" s="102" t="s">
        <v>407</v>
      </c>
    </row>
    <row r="6" customFormat="false" ht="15" hidden="false" customHeight="true" outlineLevel="0" collapsed="false">
      <c r="A6" s="100" t="s">
        <v>209</v>
      </c>
      <c r="B6" s="101" t="n">
        <v>0.176029532991649</v>
      </c>
      <c r="C6" s="101" t="n">
        <v>0.162818536970001</v>
      </c>
      <c r="D6" s="101" t="n">
        <v>0.148267087201176</v>
      </c>
      <c r="E6" s="101" t="n">
        <v>0.1329235511272</v>
      </c>
      <c r="F6" s="101" t="n">
        <v>0.117325543887316</v>
      </c>
      <c r="G6" s="101" t="n">
        <v>0.101949750904986</v>
      </c>
      <c r="H6" s="101" t="n">
        <v>0.0872226801906742</v>
      </c>
      <c r="I6" s="101" t="n">
        <v>0.073463316726999</v>
      </c>
    </row>
    <row r="7" customFormat="false" ht="15" hidden="false" customHeight="true" outlineLevel="0" collapsed="false">
      <c r="A7" s="100" t="s">
        <v>213</v>
      </c>
      <c r="B7" s="101" t="n">
        <v>0.0725086339616361</v>
      </c>
      <c r="C7" s="101" t="n">
        <v>0.0759830233429035</v>
      </c>
      <c r="D7" s="101" t="n">
        <v>0.0783922107102734</v>
      </c>
      <c r="E7" s="101" t="n">
        <v>0.0796252375206314</v>
      </c>
      <c r="F7" s="101" t="n">
        <v>0.0796252375206314</v>
      </c>
      <c r="G7" s="101" t="n">
        <v>0.0783922107102734</v>
      </c>
      <c r="H7" s="101" t="n">
        <v>0.0759830233429035</v>
      </c>
      <c r="I7" s="101" t="n">
        <v>0.0725086339616361</v>
      </c>
      <c r="J7" s="101" t="n">
        <v>0.0681202235814644</v>
      </c>
      <c r="K7" s="101" t="n">
        <v>0.0630078087074717</v>
      </c>
      <c r="L7" s="101" t="n">
        <v>0.0573766626444195</v>
      </c>
      <c r="M7" s="101" t="n">
        <v>0.051438993606014</v>
      </c>
      <c r="N7" s="101" t="n">
        <v>0.0454028488605945</v>
      </c>
      <c r="O7" s="101" t="n">
        <v>0.0394526969860886</v>
      </c>
      <c r="P7" s="101" t="n">
        <v>0.0337535888153789</v>
      </c>
      <c r="Q7" s="101" t="n">
        <v>0.02842896572768</v>
      </c>
    </row>
    <row r="8" customFormat="false" ht="15" hidden="false" customHeight="true" outlineLevel="0" collapsed="false">
      <c r="A8" s="100" t="s">
        <v>157</v>
      </c>
      <c r="B8" s="101" t="n">
        <v>0.0622557988273664</v>
      </c>
      <c r="C8" s="101" t="n">
        <v>0.0696303817844058</v>
      </c>
      <c r="D8" s="101" t="n">
        <v>0.0759649894481697</v>
      </c>
      <c r="E8" s="101" t="n">
        <v>0.0808396542930274</v>
      </c>
      <c r="F8" s="101" t="n">
        <v>0.0839139569597627</v>
      </c>
      <c r="G8" s="101" t="n">
        <v>0.0849644606868282</v>
      </c>
      <c r="H8" s="101" t="n">
        <v>0.0839139569597627</v>
      </c>
      <c r="I8" s="101" t="n">
        <v>0.0808396542930274</v>
      </c>
      <c r="J8" s="101" t="n">
        <v>0.0759649894481697</v>
      </c>
      <c r="K8" s="101" t="n">
        <v>0.0696303817844058</v>
      </c>
      <c r="L8" s="101" t="n">
        <v>0.0622557988273664</v>
      </c>
      <c r="M8" s="101" t="n">
        <v>0.0542939632300299</v>
      </c>
      <c r="N8" s="101" t="n">
        <v>0.0461870692115841</v>
      </c>
      <c r="O8" s="101" t="n">
        <v>0.038324668822266</v>
      </c>
      <c r="P8" s="101" t="n">
        <v>0.031020275423828</v>
      </c>
    </row>
    <row r="9" customFormat="false" ht="15" hidden="false" customHeight="true" outlineLevel="0" collapsed="false">
      <c r="A9" s="100" t="s">
        <v>158</v>
      </c>
      <c r="B9" s="101" t="n">
        <v>0.0622557988273664</v>
      </c>
      <c r="C9" s="101" t="n">
        <v>0.0696303817844058</v>
      </c>
      <c r="D9" s="101" t="n">
        <v>0.0759649894481697</v>
      </c>
      <c r="E9" s="101" t="n">
        <v>0.0808396542930274</v>
      </c>
      <c r="F9" s="101" t="n">
        <v>0.0839139569597627</v>
      </c>
      <c r="G9" s="101" t="n">
        <v>0.0849644606868282</v>
      </c>
      <c r="H9" s="101" t="n">
        <v>0.0839139569597627</v>
      </c>
      <c r="I9" s="101" t="n">
        <v>0.0808396542930274</v>
      </c>
      <c r="J9" s="101" t="n">
        <v>0.0759649894481697</v>
      </c>
      <c r="K9" s="101" t="n">
        <v>0.0696303817844058</v>
      </c>
      <c r="L9" s="101" t="n">
        <v>0.0622557988273664</v>
      </c>
      <c r="M9" s="101" t="n">
        <v>0.0542939632300299</v>
      </c>
      <c r="N9" s="101" t="n">
        <v>0.0461870692115841</v>
      </c>
      <c r="O9" s="101" t="n">
        <v>0.038324668822266</v>
      </c>
      <c r="P9" s="101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3" t="s">
        <v>408</v>
      </c>
      <c r="B1" s="103"/>
      <c r="C1" s="103"/>
      <c r="D1" s="103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0" t="s">
        <v>410</v>
      </c>
      <c r="B4" s="101" t="n">
        <v>0.06</v>
      </c>
    </row>
    <row r="5" customFormat="false" ht="15" hidden="false" customHeight="true" outlineLevel="0" collapsed="false">
      <c r="A5" s="100" t="s">
        <v>240</v>
      </c>
      <c r="B5" s="101" t="n">
        <v>0.06</v>
      </c>
    </row>
    <row r="6" customFormat="false" ht="15" hidden="false" customHeight="true" outlineLevel="0" collapsed="false">
      <c r="A6" s="100" t="s">
        <v>411</v>
      </c>
      <c r="B6" s="101" t="n">
        <v>0.02</v>
      </c>
    </row>
    <row r="7" customFormat="false" ht="15" hidden="false" customHeight="true" outlineLevel="0" collapsed="false">
      <c r="A7" s="100" t="s">
        <v>412</v>
      </c>
      <c r="B7" s="104" t="n">
        <f aca="false">B4+B5+B6</f>
        <v>0.14</v>
      </c>
    </row>
    <row r="8" customFormat="false" ht="15" hidden="false" customHeight="true" outlineLevel="0" collapsed="false">
      <c r="A8" s="100" t="s">
        <v>243</v>
      </c>
      <c r="B8" s="101" t="n">
        <v>0.092</v>
      </c>
    </row>
    <row r="9" customFormat="false" ht="15" hidden="false" customHeight="true" outlineLevel="0" collapsed="false">
      <c r="A9" s="100" t="s">
        <v>413</v>
      </c>
      <c r="B9" s="104" t="n">
        <f aca="false">B7/(1+B7+B8)</f>
        <v>0.113636363636364</v>
      </c>
    </row>
    <row r="10" customFormat="false" ht="15" hidden="false" customHeight="true" outlineLevel="0" collapsed="false">
      <c r="A10" s="100" t="s">
        <v>414</v>
      </c>
      <c r="B10" s="104" t="n">
        <f aca="false">B4/(1+B7+B8)</f>
        <v>0.0487012987012987</v>
      </c>
    </row>
    <row r="11" customFormat="false" ht="15" hidden="false" customHeight="true" outlineLevel="0" collapsed="false">
      <c r="A11" s="100" t="s">
        <v>415</v>
      </c>
      <c r="B11" s="104" t="n">
        <f aca="false">B5/(1+B7+B8)</f>
        <v>0.0487012987012987</v>
      </c>
    </row>
    <row r="12" customFormat="false" ht="15" hidden="false" customHeight="true" outlineLevel="0" collapsed="false">
      <c r="A12" s="100" t="s">
        <v>416</v>
      </c>
      <c r="B12" s="104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0" t="s">
        <v>247</v>
      </c>
      <c r="B15" s="101" t="n">
        <v>0.015</v>
      </c>
    </row>
    <row r="16" customFormat="false" ht="15" hidden="false" customHeight="true" outlineLevel="0" collapsed="false">
      <c r="A16" s="100" t="s">
        <v>249</v>
      </c>
      <c r="B16" s="101" t="n">
        <v>0.0074</v>
      </c>
    </row>
    <row r="17" customFormat="false" ht="15" hidden="false" customHeight="true" outlineLevel="0" collapsed="false">
      <c r="A17" s="100" t="s">
        <v>251</v>
      </c>
      <c r="B17" s="101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0" t="s">
        <v>419</v>
      </c>
      <c r="B20" s="101" t="n">
        <v>0.07</v>
      </c>
    </row>
    <row r="21" customFormat="false" ht="15" hidden="false" customHeight="true" outlineLevel="0" collapsed="false">
      <c r="A21" s="100" t="s">
        <v>420</v>
      </c>
      <c r="B21" s="101" t="n">
        <v>0.005</v>
      </c>
    </row>
    <row r="22" customFormat="false" ht="15" hidden="false" customHeight="true" outlineLevel="0" collapsed="false">
      <c r="A22" s="100" t="s">
        <v>421</v>
      </c>
      <c r="B22" s="101" t="n">
        <v>0.07</v>
      </c>
    </row>
    <row r="23" customFormat="false" ht="15" hidden="false" customHeight="true" outlineLevel="0" collapsed="false">
      <c r="A23" s="100" t="s">
        <v>422</v>
      </c>
      <c r="B23" s="101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0" t="s">
        <v>424</v>
      </c>
      <c r="B26" s="77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0" t="s">
        <v>426</v>
      </c>
      <c r="B29" s="79" t="n">
        <v>1651915.69</v>
      </c>
    </row>
    <row r="30" customFormat="false" ht="15" hidden="false" customHeight="true" outlineLevel="0" collapsed="false">
      <c r="A30" s="100" t="s">
        <v>427</v>
      </c>
      <c r="B30" s="79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0" t="s">
        <v>429</v>
      </c>
      <c r="B33" s="79" t="n">
        <v>1615485</v>
      </c>
    </row>
    <row r="34" customFormat="false" ht="15" hidden="false" customHeight="true" outlineLevel="0" collapsed="false">
      <c r="A34" s="100" t="s">
        <v>430</v>
      </c>
      <c r="B34" s="101" t="n">
        <v>0.15</v>
      </c>
    </row>
    <row r="35" customFormat="false" ht="15" hidden="false" customHeight="true" outlineLevel="0" collapsed="false">
      <c r="A35" s="100" t="s">
        <v>431</v>
      </c>
      <c r="B35" s="104" t="n">
        <f aca="false">B34/4</f>
        <v>0.0375</v>
      </c>
    </row>
    <row r="36" customFormat="false" ht="15" hidden="false" customHeight="true" outlineLevel="0" collapsed="false">
      <c r="A36" s="100" t="s">
        <v>432</v>
      </c>
      <c r="B36" s="79" t="n">
        <v>130000</v>
      </c>
    </row>
    <row r="37" customFormat="false" ht="15" hidden="false" customHeight="true" outlineLevel="0" collapsed="false">
      <c r="A37" s="100" t="s">
        <v>433</v>
      </c>
      <c r="B37" s="105" t="n">
        <v>7</v>
      </c>
    </row>
    <row r="38" customFormat="false" ht="15" hidden="false" customHeight="true" outlineLevel="0" collapsed="false">
      <c r="A38" s="106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0" t="s">
        <v>436</v>
      </c>
      <c r="B41" s="79" t="n">
        <v>1000000</v>
      </c>
    </row>
    <row r="42" customFormat="false" ht="15" hidden="false" customHeight="true" outlineLevel="0" collapsed="false">
      <c r="A42" s="100" t="s">
        <v>437</v>
      </c>
      <c r="B42" s="107" t="n">
        <f aca="false">B41*0.25</f>
        <v>250000</v>
      </c>
    </row>
    <row r="43" customFormat="false" ht="15" hidden="false" customHeight="true" outlineLevel="0" collapsed="false">
      <c r="A43" s="100" t="s">
        <v>438</v>
      </c>
      <c r="B43" s="79" t="n">
        <v>1000000</v>
      </c>
    </row>
    <row r="44" customFormat="false" ht="15" hidden="false" customHeight="true" outlineLevel="0" collapsed="false">
      <c r="A44" s="106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0" t="s">
        <v>441</v>
      </c>
      <c r="B47" s="101" t="n">
        <v>0.01</v>
      </c>
    </row>
    <row r="48" customFormat="false" ht="15" hidden="false" customHeight="true" outlineLevel="0" collapsed="false">
      <c r="A48" s="100" t="s">
        <v>442</v>
      </c>
      <c r="B48" s="101" t="n">
        <v>0.03</v>
      </c>
    </row>
    <row r="50" customFormat="false" ht="15" hidden="false" customHeight="true" outlineLevel="0" collapsed="false">
      <c r="A50" s="8" t="s">
        <v>443</v>
      </c>
      <c r="B50" s="8"/>
      <c r="C50" s="108"/>
      <c r="D50" s="8"/>
    </row>
    <row r="51" customFormat="false" ht="15" hidden="false" customHeight="true" outlineLevel="0" collapsed="false">
      <c r="A51" s="100" t="s">
        <v>50</v>
      </c>
      <c r="B51" s="79" t="n">
        <v>2000000</v>
      </c>
    </row>
    <row r="52" customFormat="false" ht="15" hidden="false" customHeight="true" outlineLevel="0" collapsed="false">
      <c r="A52" s="100" t="s">
        <v>51</v>
      </c>
      <c r="B52" s="79" t="n">
        <v>2000000</v>
      </c>
    </row>
    <row r="53" customFormat="false" ht="15" hidden="false" customHeight="true" outlineLevel="0" collapsed="false">
      <c r="A53" s="100" t="s">
        <v>49</v>
      </c>
      <c r="B53" s="79" t="n">
        <v>5000000</v>
      </c>
      <c r="C53" s="109"/>
    </row>
    <row r="54" customFormat="false" ht="15" hidden="false" customHeight="true" outlineLevel="0" collapsed="false">
      <c r="A54" s="100" t="s">
        <v>54</v>
      </c>
      <c r="B54" s="79" t="n">
        <v>5000000</v>
      </c>
      <c r="C54" s="109"/>
    </row>
    <row r="55" customFormat="false" ht="15" hidden="false" customHeight="true" outlineLevel="0" collapsed="false">
      <c r="A55" s="100" t="s">
        <v>57</v>
      </c>
      <c r="B55" s="79" t="n">
        <v>5000000</v>
      </c>
      <c r="C55" s="109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0" t="s">
        <v>445</v>
      </c>
      <c r="B58" s="101" t="n">
        <v>0.15</v>
      </c>
    </row>
    <row r="59" customFormat="false" ht="15" hidden="false" customHeight="true" outlineLevel="0" collapsed="false">
      <c r="A59" s="100" t="s">
        <v>446</v>
      </c>
      <c r="B59" s="104" t="n">
        <f aca="false">B58/4</f>
        <v>0.0375</v>
      </c>
    </row>
    <row r="60" customFormat="false" ht="15" hidden="false" customHeight="true" outlineLevel="0" collapsed="false">
      <c r="A60" s="100" t="s">
        <v>447</v>
      </c>
      <c r="B60" s="79" t="n">
        <v>0</v>
      </c>
    </row>
    <row r="61" customFormat="false" ht="15" hidden="false" customHeight="true" outlineLevel="0" collapsed="false">
      <c r="A61" s="100" t="s">
        <v>448</v>
      </c>
      <c r="B61" s="79" t="n">
        <v>0</v>
      </c>
    </row>
    <row r="62" customFormat="false" ht="15" hidden="false" customHeight="true" outlineLevel="0" collapsed="false">
      <c r="A62" s="100" t="s">
        <v>449</v>
      </c>
      <c r="B62" s="79" t="n">
        <v>1784000</v>
      </c>
    </row>
    <row r="63" customFormat="false" ht="15" hidden="false" customHeight="true" outlineLevel="0" collapsed="false">
      <c r="A63" s="100" t="s">
        <v>450</v>
      </c>
      <c r="B63" s="79" t="n">
        <v>1766181</v>
      </c>
    </row>
    <row r="64" customFormat="false" ht="15" hidden="false" customHeight="true" outlineLevel="0" collapsed="false">
      <c r="A64" s="106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09" t="s">
        <v>452</v>
      </c>
      <c r="B67" s="110" t="n">
        <v>833.33</v>
      </c>
    </row>
    <row r="68" customFormat="false" ht="15" hidden="false" customHeight="true" outlineLevel="0" collapsed="false">
      <c r="A68" s="109" t="s">
        <v>453</v>
      </c>
      <c r="B68" s="109" t="n">
        <v>5</v>
      </c>
    </row>
    <row r="70" customFormat="false" ht="15" hidden="false" customHeight="true" outlineLevel="0" collapsed="false">
      <c r="A70" s="111" t="s">
        <v>454</v>
      </c>
      <c r="B70" s="111"/>
    </row>
    <row r="71" customFormat="false" ht="15" hidden="false" customHeight="true" outlineLevel="0" collapsed="false">
      <c r="A71" s="112" t="s">
        <v>455</v>
      </c>
      <c r="B71" s="113" t="n">
        <v>1134000</v>
      </c>
    </row>
    <row r="72" customFormat="false" ht="15" hidden="false" customHeight="true" outlineLevel="0" collapsed="false">
      <c r="A72" s="114" t="s">
        <v>456</v>
      </c>
      <c r="B72" s="115" t="n">
        <v>50000</v>
      </c>
    </row>
    <row r="73" customFormat="false" ht="15" hidden="false" customHeight="true" outlineLevel="0" collapsed="false">
      <c r="A73" s="112" t="s">
        <v>457</v>
      </c>
      <c r="B73" s="116" t="n">
        <v>14</v>
      </c>
    </row>
    <row r="74" customFormat="false" ht="15" hidden="false" customHeight="true" outlineLevel="0" collapsed="false">
      <c r="A74" s="114" t="s">
        <v>153</v>
      </c>
      <c r="B74" s="115" t="n">
        <v>-1450000</v>
      </c>
    </row>
    <row r="75" customFormat="false" ht="15" hidden="false" customHeight="true" outlineLevel="0" collapsed="false">
      <c r="A75" s="112" t="s">
        <v>458</v>
      </c>
      <c r="B75" s="113" t="n">
        <v>264927.15</v>
      </c>
    </row>
    <row r="76" customFormat="false" ht="15" hidden="false" customHeight="true" outlineLevel="0" collapsed="false">
      <c r="A76" s="114" t="s">
        <v>459</v>
      </c>
      <c r="B76" s="115" t="n">
        <v>883090.5</v>
      </c>
    </row>
    <row r="77" customFormat="false" ht="15" hidden="false" customHeight="true" outlineLevel="0" collapsed="false">
      <c r="A77" s="112" t="s">
        <v>148</v>
      </c>
      <c r="B77" s="113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7" t="s">
        <v>466</v>
      </c>
      <c r="O1" s="117" t="s">
        <v>467</v>
      </c>
      <c r="P1" s="117" t="s">
        <v>468</v>
      </c>
      <c r="Q1" s="117" t="s">
        <v>469</v>
      </c>
      <c r="R1" s="117" t="s">
        <v>470</v>
      </c>
      <c r="S1" s="117" t="s">
        <v>471</v>
      </c>
    </row>
    <row r="2" customFormat="false" ht="15" hidden="false" customHeight="true" outlineLevel="0" collapsed="false">
      <c r="A2" s="100" t="s">
        <v>209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279</v>
      </c>
      <c r="G2" s="119" t="s">
        <v>283</v>
      </c>
      <c r="H2" s="119" t="n">
        <v>0</v>
      </c>
      <c r="I2" s="104" t="n">
        <f aca="false">IF(H2=1,Assumptions!$B$16,IF(H2=2,Assumptions!$B$17,0))</f>
        <v>0</v>
      </c>
      <c r="J2" s="119" t="s">
        <v>279</v>
      </c>
      <c r="K2" s="119" t="s">
        <v>279</v>
      </c>
      <c r="L2" s="119" t="s">
        <v>472</v>
      </c>
      <c r="N2" s="120" t="n">
        <v>194932</v>
      </c>
      <c r="O2" s="120" t="n">
        <f aca="false">B2*Assumptions!$B$11</f>
        <v>259186.899350649</v>
      </c>
      <c r="P2" s="120" t="n">
        <v>46323</v>
      </c>
      <c r="Q2" s="120" t="n">
        <f aca="false">N2+O2+P2</f>
        <v>500441.899350649</v>
      </c>
      <c r="R2" s="120" t="n">
        <f aca="false">Q2*0.05</f>
        <v>25022.0949675325</v>
      </c>
      <c r="S2" s="121" t="n">
        <f aca="false">C2+D2-1</f>
        <v>8</v>
      </c>
    </row>
    <row r="3" customFormat="false" ht="15" hidden="false" customHeight="true" outlineLevel="0" collapsed="false">
      <c r="A3" s="100" t="s">
        <v>213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279</v>
      </c>
      <c r="G3" s="119" t="s">
        <v>283</v>
      </c>
      <c r="H3" s="119" t="n">
        <v>0</v>
      </c>
      <c r="I3" s="104" t="n">
        <f aca="false">IF(H3=1,Assumptions!$B$16,IF(H3=2,Assumptions!$B$17,0))</f>
        <v>0</v>
      </c>
      <c r="J3" s="119" t="s">
        <v>279</v>
      </c>
      <c r="K3" s="119" t="s">
        <v>279</v>
      </c>
      <c r="L3" s="119" t="s">
        <v>472</v>
      </c>
      <c r="N3" s="120" t="n">
        <v>888067</v>
      </c>
      <c r="O3" s="120" t="n">
        <f aca="false">B3*Assumptions!$B$11</f>
        <v>973155.779220779</v>
      </c>
      <c r="P3" s="120" t="n">
        <v>176626</v>
      </c>
      <c r="Q3" s="120" t="n">
        <f aca="false">N3+O3+P3</f>
        <v>2037848.77922078</v>
      </c>
      <c r="R3" s="120" t="n">
        <f aca="false">Q3*0.05</f>
        <v>101892.438961039</v>
      </c>
      <c r="S3" s="121" t="n">
        <f aca="false">C3+D3-1</f>
        <v>16</v>
      </c>
    </row>
    <row r="4" customFormat="false" ht="15" hidden="false" customHeight="true" outlineLevel="0" collapsed="false">
      <c r="A4" s="100" t="s">
        <v>157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283</v>
      </c>
      <c r="G4" s="119" t="s">
        <v>283</v>
      </c>
      <c r="H4" s="119" t="n">
        <v>1</v>
      </c>
      <c r="I4" s="104" t="n">
        <f aca="false">IF(H4=1,Assumptions!$B$16,IF(H4=2,Assumptions!$B$17,0))</f>
        <v>0.0074</v>
      </c>
      <c r="J4" s="119" t="s">
        <v>279</v>
      </c>
      <c r="K4" s="119" t="s">
        <v>283</v>
      </c>
      <c r="L4" s="119" t="s">
        <v>473</v>
      </c>
      <c r="N4" s="120" t="n">
        <f aca="false">B4*Assumptions!$B$10</f>
        <v>568499.26948052</v>
      </c>
      <c r="O4" s="120" t="n">
        <f aca="false">B4*Assumptions!$B$11</f>
        <v>568499.26948052</v>
      </c>
      <c r="P4" s="120" t="n">
        <f aca="false">B4*Assumptions!$B$12</f>
        <v>189499.756493507</v>
      </c>
      <c r="Q4" s="120" t="n">
        <f aca="false">N4+O4+P4</f>
        <v>1326498.29545455</v>
      </c>
      <c r="R4" s="120" t="n">
        <f aca="false">Q4*0.05</f>
        <v>66324.9147727273</v>
      </c>
      <c r="S4" s="121" t="n">
        <f aca="false">C4+D4-1</f>
        <v>15</v>
      </c>
    </row>
    <row r="5" customFormat="false" ht="15" hidden="false" customHeight="true" outlineLevel="0" collapsed="false">
      <c r="A5" s="100" t="s">
        <v>158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283</v>
      </c>
      <c r="G5" s="119" t="s">
        <v>283</v>
      </c>
      <c r="H5" s="119" t="n">
        <v>1</v>
      </c>
      <c r="I5" s="104" t="n">
        <f aca="false">IF(H5=1,Assumptions!$B$16,IF(H5=2,Assumptions!$B$17,0))</f>
        <v>0.0074</v>
      </c>
      <c r="J5" s="119" t="s">
        <v>279</v>
      </c>
      <c r="K5" s="119" t="s">
        <v>283</v>
      </c>
      <c r="L5" s="119" t="s">
        <v>473</v>
      </c>
      <c r="N5" s="120" t="n">
        <f aca="false">B5*Assumptions!$B$10</f>
        <v>657103.928571429</v>
      </c>
      <c r="O5" s="120" t="n">
        <f aca="false">B5*Assumptions!$B$11</f>
        <v>657103.928571429</v>
      </c>
      <c r="P5" s="120" t="n">
        <f aca="false">B5*Assumptions!$B$12</f>
        <v>219034.642857143</v>
      </c>
      <c r="Q5" s="120" t="n">
        <f aca="false">N5+O5+P5</f>
        <v>1533242.5</v>
      </c>
      <c r="R5" s="120" t="n">
        <f aca="false">Q5*0.05</f>
        <v>76662.125</v>
      </c>
      <c r="S5" s="121" t="n">
        <f aca="false">C5+D5-1</f>
        <v>15</v>
      </c>
    </row>
    <row r="6" customFormat="false" ht="15" hidden="false" customHeight="true" outlineLevel="0" collapsed="false">
      <c r="A6" s="100" t="s">
        <v>284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279</v>
      </c>
      <c r="G6" s="119" t="s">
        <v>283</v>
      </c>
      <c r="H6" s="119" t="n">
        <v>0</v>
      </c>
      <c r="I6" s="104" t="n">
        <f aca="false">IF(H6=1,Assumptions!$B$16,IF(H6=2,Assumptions!$B$17,0))</f>
        <v>0</v>
      </c>
      <c r="J6" s="119" t="s">
        <v>279</v>
      </c>
      <c r="K6" s="119" t="s">
        <v>283</v>
      </c>
      <c r="L6" s="119" t="s">
        <v>473</v>
      </c>
      <c r="N6" s="120" t="n">
        <v>245000</v>
      </c>
      <c r="O6" s="120" t="n">
        <f aca="false">B6*Assumptions!$B$11</f>
        <v>197374.042207792</v>
      </c>
      <c r="P6" s="120" t="n">
        <v>0</v>
      </c>
      <c r="Q6" s="120" t="n">
        <f aca="false">N6+O6+P6</f>
        <v>442374.042207792</v>
      </c>
      <c r="R6" s="120" t="n">
        <f aca="false">Q6*0.05</f>
        <v>22118.7021103896</v>
      </c>
      <c r="S6" s="121" t="n">
        <f aca="false">C6+D6-1</f>
        <v>19</v>
      </c>
    </row>
    <row r="7" customFormat="false" ht="15" hidden="false" customHeight="true" outlineLevel="0" collapsed="false">
      <c r="A7" s="100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283</v>
      </c>
      <c r="G7" s="119" t="s">
        <v>283</v>
      </c>
      <c r="H7" s="119" t="n">
        <v>1</v>
      </c>
      <c r="I7" s="104" t="n">
        <f aca="false">IF(H7=1,Assumptions!$B$16,IF(H7=2,Assumptions!$B$17,0))</f>
        <v>0.0074</v>
      </c>
      <c r="J7" s="119" t="s">
        <v>283</v>
      </c>
      <c r="K7" s="119" t="s">
        <v>283</v>
      </c>
      <c r="L7" s="119" t="s">
        <v>472</v>
      </c>
      <c r="N7" s="120" t="n">
        <f aca="false">B7*Assumptions!$B$10</f>
        <v>2092619.22077922</v>
      </c>
      <c r="O7" s="120" t="n">
        <f aca="false">B7*Assumptions!$B$11</f>
        <v>2092619.22077922</v>
      </c>
      <c r="P7" s="120" t="n">
        <f aca="false">B7*Assumptions!$B$12</f>
        <v>697539.74025974</v>
      </c>
      <c r="Q7" s="120" t="n">
        <f aca="false">N7+O7+P7</f>
        <v>4882778.18181818</v>
      </c>
      <c r="R7" s="120" t="n">
        <f aca="false">Q7*0.05</f>
        <v>244138.909090909</v>
      </c>
      <c r="S7" s="121" t="n">
        <f aca="false">C7+D7-1</f>
        <v>33</v>
      </c>
    </row>
    <row r="8" customFormat="false" ht="15" hidden="false" customHeight="true" outlineLevel="0" collapsed="false">
      <c r="A8" s="100" t="s">
        <v>159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283</v>
      </c>
      <c r="G8" s="119" t="s">
        <v>283</v>
      </c>
      <c r="H8" s="119" t="n">
        <v>1</v>
      </c>
      <c r="I8" s="104" t="n">
        <f aca="false">IF(H8=1,Assumptions!$B$16,IF(H8=2,Assumptions!$B$17,0))</f>
        <v>0.0074</v>
      </c>
      <c r="J8" s="119" t="s">
        <v>279</v>
      </c>
      <c r="K8" s="119" t="s">
        <v>283</v>
      </c>
      <c r="L8" s="119" t="s">
        <v>473</v>
      </c>
      <c r="N8" s="120" t="n">
        <f aca="false">B8*Assumptions!$B$10</f>
        <v>663592.792207792</v>
      </c>
      <c r="O8" s="120" t="n">
        <f aca="false">B8*Assumptions!$B$11</f>
        <v>663592.792207792</v>
      </c>
      <c r="P8" s="120" t="n">
        <f aca="false">B8*Assumptions!$B$12</f>
        <v>221197.597402597</v>
      </c>
      <c r="Q8" s="120" t="n">
        <f aca="false">N8+O8+P8</f>
        <v>1548383.18181818</v>
      </c>
      <c r="R8" s="120" t="n">
        <f aca="false">Q8*0.05</f>
        <v>77419.1590909091</v>
      </c>
      <c r="S8" s="121" t="n">
        <f aca="false">C8+D8-1</f>
        <v>25</v>
      </c>
    </row>
    <row r="9" customFormat="false" ht="15" hidden="false" customHeight="true" outlineLevel="0" collapsed="false">
      <c r="A9" s="100" t="s">
        <v>160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283</v>
      </c>
      <c r="G9" s="119" t="s">
        <v>283</v>
      </c>
      <c r="H9" s="119" t="n">
        <v>1</v>
      </c>
      <c r="I9" s="104" t="n">
        <f aca="false">IF(H9=1,Assumptions!$B$16,IF(H9=2,Assumptions!$B$17,0))</f>
        <v>0.0074</v>
      </c>
      <c r="J9" s="119" t="s">
        <v>279</v>
      </c>
      <c r="K9" s="119" t="s">
        <v>283</v>
      </c>
      <c r="L9" s="119" t="s">
        <v>473</v>
      </c>
      <c r="N9" s="120" t="n">
        <f aca="false">B9*Assumptions!$B$10</f>
        <v>771666.37987013</v>
      </c>
      <c r="O9" s="120" t="n">
        <f aca="false">B9*Assumptions!$B$11</f>
        <v>771666.37987013</v>
      </c>
      <c r="P9" s="120" t="n">
        <f aca="false">B9*Assumptions!$B$12</f>
        <v>257222.126623377</v>
      </c>
      <c r="Q9" s="120" t="n">
        <f aca="false">N9+O9+P9</f>
        <v>1800554.88636364</v>
      </c>
      <c r="R9" s="120" t="n">
        <f aca="false">Q9*0.05</f>
        <v>90027.7443181818</v>
      </c>
      <c r="S9" s="121" t="n">
        <f aca="false">C9+D9-1</f>
        <v>36</v>
      </c>
    </row>
    <row r="10" customFormat="false" ht="15" hidden="false" customHeight="true" outlineLevel="0" collapsed="false">
      <c r="A10" s="100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283</v>
      </c>
      <c r="G10" s="119" t="s">
        <v>283</v>
      </c>
      <c r="H10" s="119" t="n">
        <v>1</v>
      </c>
      <c r="I10" s="104" t="n">
        <f aca="false">IF(H10=1,Assumptions!$B$16,IF(H10=2,Assumptions!$B$17,0))</f>
        <v>0.0074</v>
      </c>
      <c r="J10" s="119" t="s">
        <v>279</v>
      </c>
      <c r="K10" s="119" t="s">
        <v>283</v>
      </c>
      <c r="L10" s="119" t="s">
        <v>473</v>
      </c>
      <c r="N10" s="120" t="n">
        <f aca="false">B10*Assumptions!$B$10</f>
        <v>1035555.43831169</v>
      </c>
      <c r="O10" s="120" t="n">
        <f aca="false">B10*Assumptions!$B$11</f>
        <v>1035555.43831169</v>
      </c>
      <c r="P10" s="120" t="n">
        <f aca="false">B10*Assumptions!$B$12</f>
        <v>345185.146103896</v>
      </c>
      <c r="Q10" s="120" t="n">
        <f aca="false">N10+O10+P10</f>
        <v>2416296.02272727</v>
      </c>
      <c r="R10" s="120" t="n">
        <f aca="false">Q10*0.05</f>
        <v>120814.801136364</v>
      </c>
      <c r="S10" s="121" t="n">
        <f aca="false">C10+D10-1</f>
        <v>31</v>
      </c>
    </row>
    <row r="11" customFormat="false" ht="15" hidden="false" customHeight="true" outlineLevel="0" collapsed="false">
      <c r="A11" s="100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279</v>
      </c>
      <c r="G11" s="119" t="s">
        <v>283</v>
      </c>
      <c r="H11" s="119" t="n">
        <v>0</v>
      </c>
      <c r="I11" s="104" t="n">
        <f aca="false">IF(H11=1,Assumptions!$B$16,IF(H11=2,Assumptions!$B$17,0))</f>
        <v>0</v>
      </c>
      <c r="J11" s="119" t="s">
        <v>283</v>
      </c>
      <c r="K11" s="119" t="s">
        <v>279</v>
      </c>
      <c r="L11" s="119" t="s">
        <v>472</v>
      </c>
      <c r="N11" s="120" t="n">
        <f aca="false">B11*Assumptions!$B$10</f>
        <v>466417.646103896</v>
      </c>
      <c r="O11" s="120" t="n">
        <f aca="false">B11*Assumptions!$B$11</f>
        <v>466417.646103896</v>
      </c>
      <c r="P11" s="120" t="n">
        <f aca="false">B11*Assumptions!$B$12</f>
        <v>155472.548701299</v>
      </c>
      <c r="Q11" s="120" t="n">
        <f aca="false">N11+O11+P11</f>
        <v>1088307.84090909</v>
      </c>
      <c r="R11" s="120" t="n">
        <f aca="false">Q11*0.05</f>
        <v>54415.3920454545</v>
      </c>
      <c r="S11" s="121" t="n">
        <f aca="false">C11+D11-1</f>
        <v>23</v>
      </c>
    </row>
    <row r="12" customFormat="false" ht="15" hidden="false" customHeight="true" outlineLevel="0" collapsed="false">
      <c r="A12" s="100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279</v>
      </c>
      <c r="G12" s="119" t="s">
        <v>283</v>
      </c>
      <c r="H12" s="119" t="n">
        <v>0</v>
      </c>
      <c r="I12" s="104" t="n">
        <f aca="false">IF(H12=1,Assumptions!$B$16,IF(H12=2,Assumptions!$B$17,0))</f>
        <v>0</v>
      </c>
      <c r="J12" s="119" t="s">
        <v>283</v>
      </c>
      <c r="K12" s="119" t="s">
        <v>279</v>
      </c>
      <c r="L12" s="119" t="s">
        <v>472</v>
      </c>
      <c r="N12" s="120" t="n">
        <f aca="false">B12*Assumptions!$B$10</f>
        <v>367461.185064935</v>
      </c>
      <c r="O12" s="120" t="n">
        <f aca="false">B12*Assumptions!$B$11</f>
        <v>367461.185064935</v>
      </c>
      <c r="P12" s="120" t="n">
        <f aca="false">B12*Assumptions!$B$12</f>
        <v>122487.061688312</v>
      </c>
      <c r="Q12" s="120" t="n">
        <f aca="false">N12+O12+P12</f>
        <v>857409.431818182</v>
      </c>
      <c r="R12" s="120" t="n">
        <f aca="false">Q12*0.05</f>
        <v>42870.4715909091</v>
      </c>
      <c r="S12" s="121" t="n">
        <f aca="false">C12+D12-1</f>
        <v>24</v>
      </c>
    </row>
    <row r="13" customFormat="false" ht="15" hidden="false" customHeight="true" outlineLevel="0" collapsed="false">
      <c r="A13" s="100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283</v>
      </c>
      <c r="G13" s="119" t="s">
        <v>283</v>
      </c>
      <c r="H13" s="119" t="n">
        <v>2</v>
      </c>
      <c r="I13" s="104" t="n">
        <f aca="false">IF(H13=1,Assumptions!$B$16,IF(H13=2,Assumptions!$B$17,0))</f>
        <v>0.0325</v>
      </c>
      <c r="J13" s="119" t="s">
        <v>283</v>
      </c>
      <c r="K13" s="119" t="s">
        <v>283</v>
      </c>
      <c r="L13" s="119" t="s">
        <v>472</v>
      </c>
      <c r="N13" s="120" t="n">
        <f aca="false">B13*Assumptions!$B$10</f>
        <v>2204550.48701299</v>
      </c>
      <c r="O13" s="120" t="n">
        <f aca="false">B13*Assumptions!$B$11</f>
        <v>2204550.48701299</v>
      </c>
      <c r="P13" s="120" t="n">
        <f aca="false">B13*Assumptions!$B$12</f>
        <v>734850.162337662</v>
      </c>
      <c r="Q13" s="120" t="n">
        <f aca="false">N13+O13+P13</f>
        <v>5143951.13636364</v>
      </c>
      <c r="R13" s="120" t="n">
        <f aca="false">Q13*0.05</f>
        <v>257197.556818182</v>
      </c>
      <c r="S13" s="121" t="n">
        <f aca="false">C13+D13-1</f>
        <v>42</v>
      </c>
    </row>
    <row r="14" customFormat="false" ht="15" hidden="false" customHeight="true" outlineLevel="0" collapsed="false">
      <c r="A14" s="100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283</v>
      </c>
      <c r="G14" s="119" t="s">
        <v>283</v>
      </c>
      <c r="H14" s="119" t="n">
        <v>2</v>
      </c>
      <c r="I14" s="104" t="n">
        <f aca="false">IF(H14=1,Assumptions!$B$16,IF(H14=2,Assumptions!$B$17,0))</f>
        <v>0.0325</v>
      </c>
      <c r="J14" s="119" t="s">
        <v>283</v>
      </c>
      <c r="K14" s="119" t="s">
        <v>283</v>
      </c>
      <c r="L14" s="119" t="s">
        <v>472</v>
      </c>
      <c r="N14" s="120" t="n">
        <f aca="false">B14*Assumptions!$B$10</f>
        <v>2014024.28571429</v>
      </c>
      <c r="O14" s="120" t="n">
        <f aca="false">B14*Assumptions!$B$11</f>
        <v>2014024.28571429</v>
      </c>
      <c r="P14" s="120" t="n">
        <f aca="false">B14*Assumptions!$B$12</f>
        <v>671341.428571429</v>
      </c>
      <c r="Q14" s="120" t="n">
        <f aca="false">N14+O14+P14</f>
        <v>4699390</v>
      </c>
      <c r="R14" s="120" t="n">
        <f aca="false">Q14*0.05</f>
        <v>234969.5</v>
      </c>
      <c r="S14" s="121" t="n">
        <f aca="false">C14+D14-1</f>
        <v>56</v>
      </c>
    </row>
    <row r="15" customFormat="false" ht="15" hidden="false" customHeight="true" outlineLevel="0" collapsed="false">
      <c r="A15" s="100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283</v>
      </c>
      <c r="G15" s="119" t="s">
        <v>279</v>
      </c>
      <c r="H15" s="119" t="n">
        <v>2</v>
      </c>
      <c r="I15" s="104" t="n">
        <f aca="false">IF(H15=1,Assumptions!$B$16,IF(H15=2,Assumptions!$B$17,0))</f>
        <v>0.0325</v>
      </c>
      <c r="J15" s="119" t="s">
        <v>279</v>
      </c>
      <c r="K15" s="119" t="s">
        <v>283</v>
      </c>
      <c r="L15" s="119" t="s">
        <v>473</v>
      </c>
      <c r="N15" s="120" t="n">
        <f aca="false">B15*Assumptions!$B$10</f>
        <v>739283.571428571</v>
      </c>
      <c r="O15" s="120" t="n">
        <f aca="false">B15*Assumptions!$B$11</f>
        <v>739283.571428571</v>
      </c>
      <c r="P15" s="120" t="n">
        <f aca="false">B15*Assumptions!$B$12</f>
        <v>246427.857142857</v>
      </c>
      <c r="Q15" s="120" t="n">
        <f aca="false">N15+O15+P15</f>
        <v>1724995</v>
      </c>
      <c r="R15" s="120" t="n">
        <f aca="false">Q15*0.05</f>
        <v>86249.75</v>
      </c>
      <c r="S15" s="121" t="n">
        <f aca="false">C15+D15-1</f>
        <v>34</v>
      </c>
    </row>
    <row r="16" customFormat="false" ht="15" hidden="false" customHeight="true" outlineLevel="0" collapsed="false">
      <c r="A16" s="100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283</v>
      </c>
      <c r="G16" s="119" t="s">
        <v>279</v>
      </c>
      <c r="H16" s="119" t="n">
        <v>2</v>
      </c>
      <c r="I16" s="104" t="n">
        <f aca="false">IF(H16=1,Assumptions!$B$16,IF(H16=2,Assumptions!$B$17,0))</f>
        <v>0.0325</v>
      </c>
      <c r="J16" s="119" t="s">
        <v>279</v>
      </c>
      <c r="K16" s="119" t="s">
        <v>283</v>
      </c>
      <c r="L16" s="119" t="s">
        <v>473</v>
      </c>
      <c r="N16" s="120" t="n">
        <f aca="false">B16*Assumptions!$B$10</f>
        <v>739283.571428571</v>
      </c>
      <c r="O16" s="120" t="n">
        <f aca="false">B16*Assumptions!$B$11</f>
        <v>739283.571428571</v>
      </c>
      <c r="P16" s="120" t="n">
        <f aca="false">B16*Assumptions!$B$12</f>
        <v>246427.857142857</v>
      </c>
      <c r="Q16" s="120" t="n">
        <f aca="false">N16+O16+P16</f>
        <v>1724995</v>
      </c>
      <c r="R16" s="120" t="n">
        <f aca="false">Q16*0.05</f>
        <v>86249.75</v>
      </c>
      <c r="S16" s="121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0" t="s">
        <v>481</v>
      </c>
      <c r="B2" s="100" t="s">
        <v>482</v>
      </c>
      <c r="C2" s="118" t="n">
        <v>400000</v>
      </c>
      <c r="D2" s="107" t="n">
        <f aca="false">C2/12</f>
        <v>33333.3333333333</v>
      </c>
      <c r="E2" s="119" t="n">
        <v>1</v>
      </c>
      <c r="F2" s="100" t="s">
        <v>483</v>
      </c>
      <c r="G2" s="105" t="s">
        <v>283</v>
      </c>
      <c r="H2" s="101" t="n">
        <v>0.5</v>
      </c>
      <c r="I2" s="104" t="n">
        <v>0</v>
      </c>
      <c r="J2" s="1" t="s">
        <v>484</v>
      </c>
    </row>
    <row r="3" customFormat="false" ht="15" hidden="false" customHeight="true" outlineLevel="0" collapsed="false">
      <c r="A3" s="100" t="s">
        <v>485</v>
      </c>
      <c r="B3" s="100" t="s">
        <v>482</v>
      </c>
      <c r="C3" s="118" t="n">
        <v>250000</v>
      </c>
      <c r="D3" s="107" t="n">
        <f aca="false">C3/12</f>
        <v>20833.3333333333</v>
      </c>
      <c r="E3" s="119" t="n">
        <v>1</v>
      </c>
      <c r="F3" s="100" t="s">
        <v>483</v>
      </c>
      <c r="G3" s="105" t="s">
        <v>283</v>
      </c>
      <c r="H3" s="101" t="n">
        <v>0.5</v>
      </c>
      <c r="I3" s="104" t="n">
        <v>0</v>
      </c>
      <c r="J3" s="1" t="s">
        <v>484</v>
      </c>
    </row>
    <row r="4" customFormat="false" ht="15" hidden="false" customHeight="true" outlineLevel="0" collapsed="false">
      <c r="A4" s="100" t="s">
        <v>486</v>
      </c>
      <c r="B4" s="100" t="s">
        <v>487</v>
      </c>
      <c r="C4" s="118" t="n">
        <v>190000</v>
      </c>
      <c r="D4" s="107" t="n">
        <f aca="false">C4/12</f>
        <v>15833.3333333333</v>
      </c>
      <c r="E4" s="119" t="n">
        <v>1</v>
      </c>
      <c r="F4" s="100" t="s">
        <v>483</v>
      </c>
      <c r="G4" s="105" t="s">
        <v>283</v>
      </c>
      <c r="H4" s="101" t="n">
        <v>0</v>
      </c>
      <c r="I4" s="104" t="n">
        <v>0</v>
      </c>
      <c r="J4" s="1" t="s">
        <v>484</v>
      </c>
    </row>
    <row r="5" customFormat="false" ht="15" hidden="false" customHeight="true" outlineLevel="0" collapsed="false">
      <c r="A5" s="100" t="s">
        <v>488</v>
      </c>
      <c r="B5" s="100" t="s">
        <v>487</v>
      </c>
      <c r="C5" s="118" t="n">
        <v>200000</v>
      </c>
      <c r="D5" s="107" t="n">
        <f aca="false">C5/12</f>
        <v>16666.6666666667</v>
      </c>
      <c r="E5" s="119" t="n">
        <v>1</v>
      </c>
      <c r="F5" s="100" t="s">
        <v>483</v>
      </c>
      <c r="G5" s="105" t="s">
        <v>283</v>
      </c>
      <c r="H5" s="101" t="n">
        <v>0</v>
      </c>
      <c r="I5" s="104" t="n">
        <v>0</v>
      </c>
      <c r="J5" s="1" t="s">
        <v>484</v>
      </c>
    </row>
    <row r="6" customFormat="false" ht="15" hidden="false" customHeight="true" outlineLevel="0" collapsed="false">
      <c r="A6" s="122" t="s">
        <v>489</v>
      </c>
      <c r="B6" s="100" t="s">
        <v>487</v>
      </c>
      <c r="C6" s="118" t="n">
        <v>175000</v>
      </c>
      <c r="D6" s="107" t="n">
        <f aca="false">C6/12</f>
        <v>14583.3333333333</v>
      </c>
      <c r="E6" s="119" t="n">
        <v>2</v>
      </c>
      <c r="F6" s="100" t="s">
        <v>483</v>
      </c>
      <c r="G6" s="105" t="s">
        <v>283</v>
      </c>
      <c r="H6" s="101" t="n">
        <v>0</v>
      </c>
      <c r="I6" s="104" t="n">
        <v>0</v>
      </c>
      <c r="J6" s="1" t="s">
        <v>484</v>
      </c>
    </row>
    <row r="7" customFormat="false" ht="15" hidden="false" customHeight="true" outlineLevel="0" collapsed="false">
      <c r="A7" s="100" t="s">
        <v>490</v>
      </c>
      <c r="B7" s="100" t="s">
        <v>491</v>
      </c>
      <c r="C7" s="118" t="n">
        <v>145000</v>
      </c>
      <c r="D7" s="107" t="n">
        <f aca="false">C7/12</f>
        <v>12083.3333333333</v>
      </c>
      <c r="E7" s="119" t="n">
        <v>1</v>
      </c>
      <c r="F7" s="100" t="s">
        <v>483</v>
      </c>
      <c r="G7" s="105" t="s">
        <v>283</v>
      </c>
      <c r="H7" s="101" t="n">
        <v>0</v>
      </c>
      <c r="I7" s="104" t="n">
        <v>0</v>
      </c>
      <c r="J7" s="1" t="s">
        <v>484</v>
      </c>
    </row>
    <row r="8" customFormat="false" ht="15" hidden="false" customHeight="true" outlineLevel="0" collapsed="false">
      <c r="A8" s="100" t="s">
        <v>492</v>
      </c>
      <c r="B8" s="100" t="s">
        <v>491</v>
      </c>
      <c r="C8" s="118" t="n">
        <v>185000</v>
      </c>
      <c r="D8" s="107" t="n">
        <f aca="false">C8/12</f>
        <v>15416.6666666667</v>
      </c>
      <c r="E8" s="119" t="n">
        <v>1</v>
      </c>
      <c r="F8" s="100" t="s">
        <v>483</v>
      </c>
      <c r="G8" s="105" t="s">
        <v>283</v>
      </c>
      <c r="H8" s="101" t="n">
        <v>0</v>
      </c>
      <c r="I8" s="104" t="n">
        <v>0</v>
      </c>
      <c r="J8" s="1" t="s">
        <v>484</v>
      </c>
    </row>
    <row r="9" customFormat="false" ht="15" hidden="false" customHeight="true" outlineLevel="0" collapsed="false">
      <c r="A9" s="122" t="s">
        <v>493</v>
      </c>
      <c r="B9" s="100" t="s">
        <v>491</v>
      </c>
      <c r="C9" s="118" t="n">
        <v>135000</v>
      </c>
      <c r="D9" s="107" t="n">
        <f aca="false">C9/12</f>
        <v>11250</v>
      </c>
      <c r="E9" s="119" t="n">
        <v>2</v>
      </c>
      <c r="F9" s="100" t="s">
        <v>483</v>
      </c>
      <c r="G9" s="105" t="s">
        <v>283</v>
      </c>
      <c r="H9" s="101" t="n">
        <v>0</v>
      </c>
      <c r="I9" s="104" t="n">
        <v>0</v>
      </c>
      <c r="J9" s="1" t="s">
        <v>484</v>
      </c>
    </row>
    <row r="10" customFormat="false" ht="15" hidden="false" customHeight="true" outlineLevel="0" collapsed="false">
      <c r="A10" s="122" t="s">
        <v>494</v>
      </c>
      <c r="B10" s="100" t="s">
        <v>491</v>
      </c>
      <c r="C10" s="118" t="n">
        <v>135000</v>
      </c>
      <c r="D10" s="107" t="n">
        <f aca="false">C10/12</f>
        <v>11250</v>
      </c>
      <c r="E10" s="119" t="n">
        <v>3</v>
      </c>
      <c r="F10" s="100" t="s">
        <v>483</v>
      </c>
      <c r="G10" s="105" t="s">
        <v>283</v>
      </c>
      <c r="H10" s="101" t="n">
        <v>0</v>
      </c>
      <c r="I10" s="104" t="n">
        <v>0</v>
      </c>
      <c r="J10" s="1" t="s">
        <v>484</v>
      </c>
    </row>
    <row r="11" customFormat="false" ht="15" hidden="false" customHeight="true" outlineLevel="0" collapsed="false">
      <c r="A11" s="100" t="s">
        <v>495</v>
      </c>
      <c r="B11" s="100" t="s">
        <v>496</v>
      </c>
      <c r="C11" s="118" t="n">
        <v>150000</v>
      </c>
      <c r="D11" s="107" t="n">
        <f aca="false">C11/12</f>
        <v>12500</v>
      </c>
      <c r="E11" s="119" t="n">
        <v>1</v>
      </c>
      <c r="F11" s="100" t="s">
        <v>483</v>
      </c>
      <c r="G11" s="105" t="s">
        <v>283</v>
      </c>
      <c r="H11" s="101" t="n">
        <v>0</v>
      </c>
      <c r="I11" s="104" t="n">
        <v>0</v>
      </c>
      <c r="J11" s="1" t="s">
        <v>497</v>
      </c>
    </row>
    <row r="12" customFormat="false" ht="15" hidden="false" customHeight="true" outlineLevel="0" collapsed="false">
      <c r="A12" s="100" t="s">
        <v>498</v>
      </c>
      <c r="B12" s="100" t="s">
        <v>496</v>
      </c>
      <c r="C12" s="118" t="n">
        <v>150000</v>
      </c>
      <c r="D12" s="107" t="n">
        <f aca="false">C12/12</f>
        <v>12500</v>
      </c>
      <c r="E12" s="119" t="n">
        <v>1</v>
      </c>
      <c r="F12" s="100" t="s">
        <v>483</v>
      </c>
      <c r="G12" s="105" t="s">
        <v>283</v>
      </c>
      <c r="H12" s="101" t="n">
        <v>0</v>
      </c>
      <c r="I12" s="104" t="n">
        <v>0</v>
      </c>
      <c r="J12" s="1" t="s">
        <v>497</v>
      </c>
    </row>
    <row r="13" customFormat="false" ht="15" hidden="false" customHeight="true" outlineLevel="0" collapsed="false">
      <c r="A13" s="100" t="s">
        <v>499</v>
      </c>
      <c r="B13" s="100" t="s">
        <v>496</v>
      </c>
      <c r="C13" s="118" t="n">
        <v>110000</v>
      </c>
      <c r="D13" s="107" t="n">
        <f aca="false">C13/12</f>
        <v>9166.66666666667</v>
      </c>
      <c r="E13" s="119" t="n">
        <v>1</v>
      </c>
      <c r="F13" s="100" t="s">
        <v>483</v>
      </c>
      <c r="G13" s="105" t="s">
        <v>283</v>
      </c>
      <c r="H13" s="101" t="n">
        <v>0</v>
      </c>
      <c r="I13" s="104" t="n">
        <v>0</v>
      </c>
      <c r="J13" s="1" t="s">
        <v>497</v>
      </c>
    </row>
    <row r="14" customFormat="false" ht="15" hidden="false" customHeight="true" outlineLevel="0" collapsed="false">
      <c r="A14" s="100" t="s">
        <v>500</v>
      </c>
      <c r="B14" s="100" t="s">
        <v>501</v>
      </c>
      <c r="C14" s="118" t="n">
        <v>75000</v>
      </c>
      <c r="D14" s="107" t="n">
        <f aca="false">C14/12</f>
        <v>6250</v>
      </c>
      <c r="E14" s="119" t="n">
        <v>1</v>
      </c>
      <c r="F14" s="100" t="s">
        <v>483</v>
      </c>
      <c r="G14" s="105" t="s">
        <v>283</v>
      </c>
      <c r="H14" s="101" t="n">
        <v>0</v>
      </c>
      <c r="I14" s="104" t="n">
        <v>0</v>
      </c>
      <c r="J14" s="1" t="s">
        <v>497</v>
      </c>
    </row>
    <row r="15" customFormat="false" ht="15" hidden="false" customHeight="true" outlineLevel="0" collapsed="false">
      <c r="A15" s="122" t="s">
        <v>502</v>
      </c>
      <c r="B15" s="100" t="s">
        <v>501</v>
      </c>
      <c r="C15" s="118" t="n">
        <v>125000</v>
      </c>
      <c r="D15" s="107" t="n">
        <f aca="false">C15/12</f>
        <v>10416.6666666667</v>
      </c>
      <c r="E15" s="119" t="n">
        <v>2</v>
      </c>
      <c r="F15" s="100" t="s">
        <v>483</v>
      </c>
      <c r="G15" s="105" t="s">
        <v>283</v>
      </c>
      <c r="H15" s="101" t="n">
        <v>0</v>
      </c>
      <c r="I15" s="104" t="n">
        <v>0</v>
      </c>
      <c r="J15" s="1" t="s">
        <v>497</v>
      </c>
    </row>
    <row r="16" customFormat="false" ht="15" hidden="false" customHeight="true" outlineLevel="0" collapsed="false">
      <c r="A16" s="122" t="s">
        <v>503</v>
      </c>
      <c r="B16" s="100" t="s">
        <v>501</v>
      </c>
      <c r="C16" s="118" t="n">
        <v>125000</v>
      </c>
      <c r="D16" s="107" t="n">
        <f aca="false">C16/12</f>
        <v>10416.6666666667</v>
      </c>
      <c r="E16" s="119" t="n">
        <v>3</v>
      </c>
      <c r="F16" s="100" t="s">
        <v>483</v>
      </c>
      <c r="G16" s="105" t="s">
        <v>283</v>
      </c>
      <c r="H16" s="101" t="n">
        <v>0</v>
      </c>
      <c r="I16" s="104" t="n">
        <v>0</v>
      </c>
      <c r="J16" s="1" t="s">
        <v>497</v>
      </c>
    </row>
    <row r="17" customFormat="false" ht="15" hidden="false" customHeight="true" outlineLevel="0" collapsed="false">
      <c r="A17" s="122" t="s">
        <v>504</v>
      </c>
      <c r="B17" s="100" t="s">
        <v>501</v>
      </c>
      <c r="C17" s="118" t="n">
        <v>125000</v>
      </c>
      <c r="D17" s="107" t="n">
        <f aca="false">C17/12</f>
        <v>10416.6666666667</v>
      </c>
      <c r="E17" s="119" t="n">
        <v>4</v>
      </c>
      <c r="F17" s="100" t="s">
        <v>483</v>
      </c>
      <c r="G17" s="105" t="s">
        <v>283</v>
      </c>
      <c r="H17" s="101" t="n">
        <v>0</v>
      </c>
      <c r="I17" s="104" t="n">
        <v>0</v>
      </c>
      <c r="J17" s="1" t="s">
        <v>497</v>
      </c>
    </row>
    <row r="18" customFormat="false" ht="15" hidden="false" customHeight="true" outlineLevel="0" collapsed="false">
      <c r="A18" s="122" t="s">
        <v>505</v>
      </c>
      <c r="B18" s="100" t="s">
        <v>501</v>
      </c>
      <c r="C18" s="118" t="n">
        <v>125000</v>
      </c>
      <c r="D18" s="107" t="n">
        <f aca="false">C18/12</f>
        <v>10416.6666666667</v>
      </c>
      <c r="E18" s="119" t="n">
        <v>5</v>
      </c>
      <c r="F18" s="100" t="s">
        <v>483</v>
      </c>
      <c r="G18" s="105" t="s">
        <v>283</v>
      </c>
      <c r="H18" s="101" t="n">
        <v>0</v>
      </c>
      <c r="I18" s="104" t="n">
        <v>0</v>
      </c>
      <c r="J18" s="1" t="s">
        <v>497</v>
      </c>
    </row>
    <row r="19" customFormat="false" ht="15" hidden="false" customHeight="true" outlineLevel="0" collapsed="false">
      <c r="A19" s="100" t="s">
        <v>506</v>
      </c>
      <c r="B19" s="100" t="s">
        <v>507</v>
      </c>
      <c r="C19" s="118" t="n">
        <v>62400</v>
      </c>
      <c r="D19" s="107" t="n">
        <f aca="false">C19/12</f>
        <v>5200</v>
      </c>
      <c r="E19" s="119" t="n">
        <v>1</v>
      </c>
      <c r="F19" s="100" t="s">
        <v>483</v>
      </c>
      <c r="G19" s="105" t="s">
        <v>283</v>
      </c>
      <c r="H19" s="101" t="n">
        <v>0</v>
      </c>
      <c r="I19" s="104" t="n">
        <v>0</v>
      </c>
      <c r="J19" s="1" t="s">
        <v>497</v>
      </c>
    </row>
    <row r="20" customFormat="false" ht="15" hidden="false" customHeight="true" outlineLevel="0" collapsed="false">
      <c r="A20" s="100" t="s">
        <v>508</v>
      </c>
      <c r="B20" s="100" t="s">
        <v>507</v>
      </c>
      <c r="C20" s="118" t="n">
        <v>85000</v>
      </c>
      <c r="D20" s="107" t="n">
        <f aca="false">C20/12</f>
        <v>7083.33333333333</v>
      </c>
      <c r="E20" s="119" t="n">
        <v>1</v>
      </c>
      <c r="F20" s="100" t="s">
        <v>483</v>
      </c>
      <c r="G20" s="105" t="s">
        <v>283</v>
      </c>
      <c r="H20" s="101" t="n">
        <v>0</v>
      </c>
      <c r="I20" s="104" t="n">
        <v>0</v>
      </c>
      <c r="J20" s="1" t="s">
        <v>497</v>
      </c>
    </row>
    <row r="21" customFormat="false" ht="15" hidden="false" customHeight="true" outlineLevel="0" collapsed="false">
      <c r="A21" s="100" t="s">
        <v>509</v>
      </c>
      <c r="B21" s="100" t="s">
        <v>510</v>
      </c>
      <c r="C21" s="118" t="n">
        <v>69992</v>
      </c>
      <c r="D21" s="107" t="n">
        <f aca="false">C21/12</f>
        <v>5832.66666666667</v>
      </c>
      <c r="E21" s="119" t="n">
        <v>1</v>
      </c>
      <c r="F21" s="100" t="s">
        <v>483</v>
      </c>
      <c r="G21" s="105" t="s">
        <v>283</v>
      </c>
      <c r="H21" s="101" t="n">
        <v>0</v>
      </c>
      <c r="I21" s="104" t="n">
        <v>0</v>
      </c>
      <c r="J21" s="1" t="s">
        <v>497</v>
      </c>
    </row>
    <row r="22" customFormat="false" ht="15" hidden="false" customHeight="true" outlineLevel="0" collapsed="false">
      <c r="A22" s="100" t="s">
        <v>511</v>
      </c>
      <c r="B22" s="100" t="s">
        <v>510</v>
      </c>
      <c r="C22" s="118" t="n">
        <v>52000</v>
      </c>
      <c r="D22" s="107" t="n">
        <f aca="false">C22/12</f>
        <v>4333.33333333333</v>
      </c>
      <c r="E22" s="119" t="n">
        <v>1</v>
      </c>
      <c r="F22" s="100" t="s">
        <v>483</v>
      </c>
      <c r="G22" s="105" t="s">
        <v>283</v>
      </c>
      <c r="H22" s="101" t="n">
        <v>0</v>
      </c>
      <c r="I22" s="104" t="n">
        <v>0</v>
      </c>
      <c r="J22" s="1" t="s">
        <v>497</v>
      </c>
    </row>
    <row r="23" customFormat="false" ht="15" hidden="false" customHeight="true" outlineLevel="0" collapsed="false">
      <c r="A23" s="100" t="s">
        <v>512</v>
      </c>
      <c r="B23" s="100" t="s">
        <v>513</v>
      </c>
      <c r="C23" s="118" t="n">
        <v>70000</v>
      </c>
      <c r="D23" s="107" t="n">
        <f aca="false">C23/12</f>
        <v>5833.33333333333</v>
      </c>
      <c r="E23" s="119" t="n">
        <v>1</v>
      </c>
      <c r="F23" s="100" t="s">
        <v>483</v>
      </c>
      <c r="G23" s="105" t="s">
        <v>283</v>
      </c>
      <c r="H23" s="101" t="n">
        <v>0</v>
      </c>
      <c r="I23" s="104" t="n">
        <v>0</v>
      </c>
      <c r="J23" s="1" t="s">
        <v>484</v>
      </c>
    </row>
    <row r="24" customFormat="false" ht="15" hidden="false" customHeight="true" outlineLevel="0" collapsed="false">
      <c r="A24" s="100" t="s">
        <v>514</v>
      </c>
      <c r="B24" s="100" t="s">
        <v>513</v>
      </c>
      <c r="C24" s="118" t="n">
        <v>97500</v>
      </c>
      <c r="D24" s="107" t="n">
        <f aca="false">C24/12</f>
        <v>8125</v>
      </c>
      <c r="E24" s="119" t="n">
        <v>1</v>
      </c>
      <c r="F24" s="100" t="s">
        <v>483</v>
      </c>
      <c r="G24" s="105" t="s">
        <v>283</v>
      </c>
      <c r="H24" s="101" t="n">
        <v>0</v>
      </c>
      <c r="I24" s="104" t="n">
        <v>0</v>
      </c>
      <c r="J24" s="1" t="s">
        <v>484</v>
      </c>
    </row>
    <row r="25" customFormat="false" ht="15" hidden="false" customHeight="true" outlineLevel="0" collapsed="false">
      <c r="A25" s="122" t="s">
        <v>515</v>
      </c>
      <c r="B25" s="100" t="s">
        <v>513</v>
      </c>
      <c r="C25" s="118" t="n">
        <v>100000</v>
      </c>
      <c r="D25" s="107" t="n">
        <f aca="false">C25/12</f>
        <v>8333.33333333333</v>
      </c>
      <c r="E25" s="119" t="n">
        <v>3</v>
      </c>
      <c r="F25" s="100" t="s">
        <v>483</v>
      </c>
      <c r="G25" s="105" t="s">
        <v>283</v>
      </c>
      <c r="H25" s="101" t="n">
        <v>0</v>
      </c>
      <c r="I25" s="104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0" t="s">
        <v>517</v>
      </c>
      <c r="B28" s="100" t="s">
        <v>518</v>
      </c>
      <c r="C28" s="118" t="n">
        <v>400000</v>
      </c>
      <c r="D28" s="107" t="n">
        <f aca="false">C28/12</f>
        <v>33333.3333333333</v>
      </c>
      <c r="E28" s="119" t="n">
        <v>1</v>
      </c>
      <c r="F28" s="100" t="s">
        <v>519</v>
      </c>
      <c r="G28" s="105" t="s">
        <v>283</v>
      </c>
      <c r="H28" s="101" t="n">
        <v>1</v>
      </c>
      <c r="I28" s="77" t="n">
        <v>0.5</v>
      </c>
      <c r="J28" s="1" t="s">
        <v>520</v>
      </c>
    </row>
    <row r="29" customFormat="false" ht="15" hidden="false" customHeight="true" outlineLevel="0" collapsed="false">
      <c r="A29" s="100" t="s">
        <v>521</v>
      </c>
      <c r="B29" s="100" t="s">
        <v>518</v>
      </c>
      <c r="C29" s="118" t="n">
        <v>400000</v>
      </c>
      <c r="D29" s="107" t="n">
        <f aca="false">C29/12</f>
        <v>33333.3333333333</v>
      </c>
      <c r="E29" s="119" t="n">
        <v>1</v>
      </c>
      <c r="F29" s="100" t="s">
        <v>519</v>
      </c>
      <c r="G29" s="105" t="s">
        <v>283</v>
      </c>
      <c r="H29" s="101" t="n">
        <v>1</v>
      </c>
      <c r="I29" s="77" t="n">
        <v>0.2</v>
      </c>
      <c r="J29" s="1" t="s">
        <v>520</v>
      </c>
    </row>
    <row r="30" customFormat="false" ht="15" hidden="false" customHeight="true" outlineLevel="0" collapsed="false">
      <c r="A30" s="100" t="s">
        <v>522</v>
      </c>
      <c r="B30" s="100" t="s">
        <v>523</v>
      </c>
      <c r="C30" s="118" t="n">
        <v>222000</v>
      </c>
      <c r="D30" s="107" t="n">
        <f aca="false">C30/12</f>
        <v>18500</v>
      </c>
      <c r="E30" s="119" t="n">
        <v>1</v>
      </c>
      <c r="F30" s="100" t="s">
        <v>519</v>
      </c>
      <c r="G30" s="105" t="s">
        <v>283</v>
      </c>
      <c r="H30" s="101" t="n">
        <v>1</v>
      </c>
      <c r="I30" s="101" t="n">
        <v>0</v>
      </c>
      <c r="J30" s="1" t="s">
        <v>520</v>
      </c>
    </row>
    <row r="31" customFormat="false" ht="15" hidden="false" customHeight="true" outlineLevel="0" collapsed="false">
      <c r="A31" s="100" t="s">
        <v>524</v>
      </c>
      <c r="B31" s="100" t="s">
        <v>525</v>
      </c>
      <c r="C31" s="118" t="n">
        <v>115000</v>
      </c>
      <c r="D31" s="107" t="n">
        <f aca="false">C31/12</f>
        <v>9583.33333333333</v>
      </c>
      <c r="E31" s="119" t="n">
        <v>1</v>
      </c>
      <c r="F31" s="100" t="s">
        <v>519</v>
      </c>
      <c r="G31" s="105" t="s">
        <v>283</v>
      </c>
      <c r="H31" s="101" t="n">
        <v>1</v>
      </c>
      <c r="I31" s="101" t="n">
        <v>0</v>
      </c>
      <c r="J31" s="1" t="s">
        <v>520</v>
      </c>
    </row>
    <row r="32" customFormat="false" ht="15" hidden="false" customHeight="true" outlineLevel="0" collapsed="false">
      <c r="A32" s="100" t="s">
        <v>526</v>
      </c>
      <c r="B32" s="100" t="s">
        <v>527</v>
      </c>
      <c r="C32" s="118" t="n">
        <v>250000</v>
      </c>
      <c r="D32" s="107" t="n">
        <f aca="false">C32/12</f>
        <v>20833.3333333333</v>
      </c>
      <c r="E32" s="119" t="n">
        <v>1</v>
      </c>
      <c r="F32" s="100" t="s">
        <v>519</v>
      </c>
      <c r="G32" s="105" t="s">
        <v>283</v>
      </c>
      <c r="H32" s="101" t="n">
        <v>0</v>
      </c>
      <c r="I32" s="77" t="n">
        <v>0.3</v>
      </c>
      <c r="J32" s="1" t="s">
        <v>520</v>
      </c>
    </row>
    <row r="33" customFormat="false" ht="15" hidden="false" customHeight="true" outlineLevel="0" collapsed="false">
      <c r="A33" s="100" t="s">
        <v>528</v>
      </c>
      <c r="B33" s="100" t="s">
        <v>529</v>
      </c>
      <c r="C33" s="118" t="n">
        <v>150000</v>
      </c>
      <c r="D33" s="107" t="n">
        <f aca="false">C33/12</f>
        <v>12500</v>
      </c>
      <c r="E33" s="119" t="n">
        <v>1</v>
      </c>
      <c r="F33" s="100" t="s">
        <v>519</v>
      </c>
      <c r="G33" s="105" t="s">
        <v>283</v>
      </c>
      <c r="H33" s="101" t="n">
        <v>0</v>
      </c>
      <c r="I33" s="77" t="n">
        <v>0.75</v>
      </c>
      <c r="J33" s="1" t="s">
        <v>520</v>
      </c>
    </row>
    <row r="34" customFormat="false" ht="15" hidden="false" customHeight="true" outlineLevel="0" collapsed="false">
      <c r="A34" s="100" t="s">
        <v>530</v>
      </c>
      <c r="B34" s="100" t="s">
        <v>531</v>
      </c>
      <c r="C34" s="118" t="n">
        <v>250000</v>
      </c>
      <c r="D34" s="107" t="n">
        <f aca="false">C34/12</f>
        <v>20833.3333333333</v>
      </c>
      <c r="E34" s="119" t="n">
        <v>1</v>
      </c>
      <c r="F34" s="100" t="s">
        <v>519</v>
      </c>
      <c r="G34" s="105" t="s">
        <v>283</v>
      </c>
      <c r="H34" s="101" t="n">
        <v>0</v>
      </c>
      <c r="I34" s="77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3" t="n">
        <v>1</v>
      </c>
      <c r="B2" s="124" t="n">
        <f aca="false">(1+Assumptions!$B$26)^INT((A2-1)/12)</f>
        <v>1</v>
      </c>
    </row>
    <row r="3" customFormat="false" ht="15" hidden="false" customHeight="true" outlineLevel="0" collapsed="false">
      <c r="A3" s="123" t="n">
        <v>2</v>
      </c>
      <c r="B3" s="124" t="n">
        <f aca="false">(1+Assumptions!$B$26)^INT((A3-1)/12)</f>
        <v>1</v>
      </c>
    </row>
    <row r="4" customFormat="false" ht="15" hidden="false" customHeight="true" outlineLevel="0" collapsed="false">
      <c r="A4" s="123" t="n">
        <v>3</v>
      </c>
      <c r="B4" s="124" t="n">
        <f aca="false">(1+Assumptions!$B$26)^INT((A4-1)/12)</f>
        <v>1</v>
      </c>
    </row>
    <row r="5" customFormat="false" ht="15" hidden="false" customHeight="true" outlineLevel="0" collapsed="false">
      <c r="A5" s="123" t="n">
        <v>4</v>
      </c>
      <c r="B5" s="124" t="n">
        <f aca="false">(1+Assumptions!$B$26)^INT((A5-1)/12)</f>
        <v>1</v>
      </c>
    </row>
    <row r="6" customFormat="false" ht="15" hidden="false" customHeight="true" outlineLevel="0" collapsed="false">
      <c r="A6" s="123" t="n">
        <v>5</v>
      </c>
      <c r="B6" s="124" t="n">
        <f aca="false">(1+Assumptions!$B$26)^INT((A6-1)/12)</f>
        <v>1</v>
      </c>
    </row>
    <row r="7" customFormat="false" ht="15" hidden="false" customHeight="true" outlineLevel="0" collapsed="false">
      <c r="A7" s="123" t="n">
        <v>6</v>
      </c>
      <c r="B7" s="124" t="n">
        <f aca="false">(1+Assumptions!$B$26)^INT((A7-1)/12)</f>
        <v>1</v>
      </c>
    </row>
    <row r="8" customFormat="false" ht="15" hidden="false" customHeight="true" outlineLevel="0" collapsed="false">
      <c r="A8" s="123" t="n">
        <v>7</v>
      </c>
      <c r="B8" s="124" t="n">
        <f aca="false">(1+Assumptions!$B$26)^INT((A8-1)/12)</f>
        <v>1</v>
      </c>
    </row>
    <row r="9" customFormat="false" ht="15" hidden="false" customHeight="true" outlineLevel="0" collapsed="false">
      <c r="A9" s="123" t="n">
        <v>8</v>
      </c>
      <c r="B9" s="124" t="n">
        <f aca="false">(1+Assumptions!$B$26)^INT((A9-1)/12)</f>
        <v>1</v>
      </c>
    </row>
    <row r="10" customFormat="false" ht="15" hidden="false" customHeight="true" outlineLevel="0" collapsed="false">
      <c r="A10" s="123" t="n">
        <v>9</v>
      </c>
      <c r="B10" s="124" t="n">
        <f aca="false">(1+Assumptions!$B$26)^INT((A10-1)/12)</f>
        <v>1</v>
      </c>
    </row>
    <row r="11" customFormat="false" ht="15" hidden="false" customHeight="true" outlineLevel="0" collapsed="false">
      <c r="A11" s="123" t="n">
        <v>10</v>
      </c>
      <c r="B11" s="124" t="n">
        <f aca="false">(1+Assumptions!$B$26)^INT((A11-1)/12)</f>
        <v>1</v>
      </c>
    </row>
    <row r="12" customFormat="false" ht="15" hidden="false" customHeight="true" outlineLevel="0" collapsed="false">
      <c r="A12" s="123" t="n">
        <v>11</v>
      </c>
      <c r="B12" s="124" t="n">
        <f aca="false">(1+Assumptions!$B$26)^INT((A12-1)/12)</f>
        <v>1</v>
      </c>
    </row>
    <row r="13" customFormat="false" ht="15" hidden="false" customHeight="true" outlineLevel="0" collapsed="false">
      <c r="A13" s="123" t="n">
        <v>12</v>
      </c>
      <c r="B13" s="124" t="n">
        <f aca="false">(1+Assumptions!$B$26)^INT((A13-1)/12)</f>
        <v>1</v>
      </c>
    </row>
    <row r="14" customFormat="false" ht="15" hidden="false" customHeight="true" outlineLevel="0" collapsed="false">
      <c r="A14" s="123" t="n">
        <v>13</v>
      </c>
      <c r="B14" s="124" t="n">
        <f aca="false">(1+Assumptions!$B$26)^INT((A14-1)/12)</f>
        <v>1.02</v>
      </c>
    </row>
    <row r="15" customFormat="false" ht="15" hidden="false" customHeight="true" outlineLevel="0" collapsed="false">
      <c r="A15" s="123" t="n">
        <v>14</v>
      </c>
      <c r="B15" s="124" t="n">
        <f aca="false">(1+Assumptions!$B$26)^INT((A15-1)/12)</f>
        <v>1.02</v>
      </c>
    </row>
    <row r="16" customFormat="false" ht="15" hidden="false" customHeight="true" outlineLevel="0" collapsed="false">
      <c r="A16" s="123" t="n">
        <v>15</v>
      </c>
      <c r="B16" s="124" t="n">
        <f aca="false">(1+Assumptions!$B$26)^INT((A16-1)/12)</f>
        <v>1.02</v>
      </c>
    </row>
    <row r="17" customFormat="false" ht="15" hidden="false" customHeight="true" outlineLevel="0" collapsed="false">
      <c r="A17" s="123" t="n">
        <v>16</v>
      </c>
      <c r="B17" s="124" t="n">
        <f aca="false">(1+Assumptions!$B$26)^INT((A17-1)/12)</f>
        <v>1.02</v>
      </c>
    </row>
    <row r="18" customFormat="false" ht="15" hidden="false" customHeight="true" outlineLevel="0" collapsed="false">
      <c r="A18" s="123" t="n">
        <v>17</v>
      </c>
      <c r="B18" s="124" t="n">
        <f aca="false">(1+Assumptions!$B$26)^INT((A18-1)/12)</f>
        <v>1.02</v>
      </c>
    </row>
    <row r="19" customFormat="false" ht="15" hidden="false" customHeight="true" outlineLevel="0" collapsed="false">
      <c r="A19" s="123" t="n">
        <v>18</v>
      </c>
      <c r="B19" s="124" t="n">
        <f aca="false">(1+Assumptions!$B$26)^INT((A19-1)/12)</f>
        <v>1.02</v>
      </c>
    </row>
    <row r="20" customFormat="false" ht="15" hidden="false" customHeight="true" outlineLevel="0" collapsed="false">
      <c r="A20" s="123" t="n">
        <v>19</v>
      </c>
      <c r="B20" s="124" t="n">
        <f aca="false">(1+Assumptions!$B$26)^INT((A20-1)/12)</f>
        <v>1.02</v>
      </c>
    </row>
    <row r="21" customFormat="false" ht="15" hidden="false" customHeight="true" outlineLevel="0" collapsed="false">
      <c r="A21" s="123" t="n">
        <v>20</v>
      </c>
      <c r="B21" s="124" t="n">
        <f aca="false">(1+Assumptions!$B$26)^INT((A21-1)/12)</f>
        <v>1.02</v>
      </c>
    </row>
    <row r="22" customFormat="false" ht="15" hidden="false" customHeight="true" outlineLevel="0" collapsed="false">
      <c r="A22" s="123" t="n">
        <v>21</v>
      </c>
      <c r="B22" s="124" t="n">
        <f aca="false">(1+Assumptions!$B$26)^INT((A22-1)/12)</f>
        <v>1.02</v>
      </c>
    </row>
    <row r="23" customFormat="false" ht="15" hidden="false" customHeight="true" outlineLevel="0" collapsed="false">
      <c r="A23" s="123" t="n">
        <v>22</v>
      </c>
      <c r="B23" s="124" t="n">
        <f aca="false">(1+Assumptions!$B$26)^INT((A23-1)/12)</f>
        <v>1.02</v>
      </c>
    </row>
    <row r="24" customFormat="false" ht="15" hidden="false" customHeight="true" outlineLevel="0" collapsed="false">
      <c r="A24" s="123" t="n">
        <v>23</v>
      </c>
      <c r="B24" s="124" t="n">
        <f aca="false">(1+Assumptions!$B$26)^INT((A24-1)/12)</f>
        <v>1.02</v>
      </c>
    </row>
    <row r="25" customFormat="false" ht="15" hidden="false" customHeight="true" outlineLevel="0" collapsed="false">
      <c r="A25" s="123" t="n">
        <v>24</v>
      </c>
      <c r="B25" s="124" t="n">
        <f aca="false">(1+Assumptions!$B$26)^INT((A25-1)/12)</f>
        <v>1.02</v>
      </c>
    </row>
    <row r="26" customFormat="false" ht="15" hidden="false" customHeight="true" outlineLevel="0" collapsed="false">
      <c r="A26" s="123" t="n">
        <v>25</v>
      </c>
      <c r="B26" s="124" t="n">
        <f aca="false">(1+Assumptions!$B$26)^INT((A26-1)/12)</f>
        <v>1.0404</v>
      </c>
    </row>
    <row r="27" customFormat="false" ht="15" hidden="false" customHeight="true" outlineLevel="0" collapsed="false">
      <c r="A27" s="123" t="n">
        <v>26</v>
      </c>
      <c r="B27" s="124" t="n">
        <f aca="false">(1+Assumptions!$B$26)^INT((A27-1)/12)</f>
        <v>1.0404</v>
      </c>
    </row>
    <row r="28" customFormat="false" ht="15" hidden="false" customHeight="true" outlineLevel="0" collapsed="false">
      <c r="A28" s="123" t="n">
        <v>27</v>
      </c>
      <c r="B28" s="124" t="n">
        <f aca="false">(1+Assumptions!$B$26)^INT((A28-1)/12)</f>
        <v>1.0404</v>
      </c>
    </row>
    <row r="29" customFormat="false" ht="15" hidden="false" customHeight="true" outlineLevel="0" collapsed="false">
      <c r="A29" s="123" t="n">
        <v>28</v>
      </c>
      <c r="B29" s="124" t="n">
        <f aca="false">(1+Assumptions!$B$26)^INT((A29-1)/12)</f>
        <v>1.0404</v>
      </c>
    </row>
    <row r="30" customFormat="false" ht="15" hidden="false" customHeight="true" outlineLevel="0" collapsed="false">
      <c r="A30" s="123" t="n">
        <v>29</v>
      </c>
      <c r="B30" s="124" t="n">
        <f aca="false">(1+Assumptions!$B$26)^INT((A30-1)/12)</f>
        <v>1.0404</v>
      </c>
    </row>
    <row r="31" customFormat="false" ht="15" hidden="false" customHeight="true" outlineLevel="0" collapsed="false">
      <c r="A31" s="123" t="n">
        <v>30</v>
      </c>
      <c r="B31" s="124" t="n">
        <f aca="false">(1+Assumptions!$B$26)^INT((A31-1)/12)</f>
        <v>1.0404</v>
      </c>
    </row>
    <row r="32" customFormat="false" ht="15" hidden="false" customHeight="true" outlineLevel="0" collapsed="false">
      <c r="A32" s="123" t="n">
        <v>31</v>
      </c>
      <c r="B32" s="124" t="n">
        <f aca="false">(1+Assumptions!$B$26)^INT((A32-1)/12)</f>
        <v>1.0404</v>
      </c>
    </row>
    <row r="33" customFormat="false" ht="15" hidden="false" customHeight="true" outlineLevel="0" collapsed="false">
      <c r="A33" s="123" t="n">
        <v>32</v>
      </c>
      <c r="B33" s="124" t="n">
        <f aca="false">(1+Assumptions!$B$26)^INT((A33-1)/12)</f>
        <v>1.0404</v>
      </c>
    </row>
    <row r="34" customFormat="false" ht="15" hidden="false" customHeight="true" outlineLevel="0" collapsed="false">
      <c r="A34" s="123" t="n">
        <v>33</v>
      </c>
      <c r="B34" s="124" t="n">
        <f aca="false">(1+Assumptions!$B$26)^INT((A34-1)/12)</f>
        <v>1.0404</v>
      </c>
    </row>
    <row r="35" customFormat="false" ht="15" hidden="false" customHeight="true" outlineLevel="0" collapsed="false">
      <c r="A35" s="123" t="n">
        <v>34</v>
      </c>
      <c r="B35" s="124" t="n">
        <f aca="false">(1+Assumptions!$B$26)^INT((A35-1)/12)</f>
        <v>1.0404</v>
      </c>
    </row>
    <row r="36" customFormat="false" ht="15" hidden="false" customHeight="true" outlineLevel="0" collapsed="false">
      <c r="A36" s="123" t="n">
        <v>35</v>
      </c>
      <c r="B36" s="124" t="n">
        <f aca="false">(1+Assumptions!$B$26)^INT((A36-1)/12)</f>
        <v>1.0404</v>
      </c>
    </row>
    <row r="37" customFormat="false" ht="15" hidden="false" customHeight="true" outlineLevel="0" collapsed="false">
      <c r="A37" s="123" t="n">
        <v>36</v>
      </c>
      <c r="B37" s="124" t="n">
        <f aca="false">(1+Assumptions!$B$26)^INT((A37-1)/12)</f>
        <v>1.0404</v>
      </c>
    </row>
    <row r="38" customFormat="false" ht="15" hidden="false" customHeight="true" outlineLevel="0" collapsed="false">
      <c r="A38" s="123" t="n">
        <v>37</v>
      </c>
      <c r="B38" s="124" t="n">
        <f aca="false">(1+Assumptions!$B$26)^INT((A38-1)/12)</f>
        <v>1.061208</v>
      </c>
    </row>
    <row r="39" customFormat="false" ht="15" hidden="false" customHeight="true" outlineLevel="0" collapsed="false">
      <c r="A39" s="123" t="n">
        <v>38</v>
      </c>
      <c r="B39" s="124" t="n">
        <f aca="false">(1+Assumptions!$B$26)^INT((A39-1)/12)</f>
        <v>1.061208</v>
      </c>
    </row>
    <row r="40" customFormat="false" ht="15" hidden="false" customHeight="true" outlineLevel="0" collapsed="false">
      <c r="A40" s="123" t="n">
        <v>39</v>
      </c>
      <c r="B40" s="124" t="n">
        <f aca="false">(1+Assumptions!$B$26)^INT((A40-1)/12)</f>
        <v>1.061208</v>
      </c>
    </row>
    <row r="41" customFormat="false" ht="15" hidden="false" customHeight="true" outlineLevel="0" collapsed="false">
      <c r="A41" s="123" t="n">
        <v>40</v>
      </c>
      <c r="B41" s="124" t="n">
        <f aca="false">(1+Assumptions!$B$26)^INT((A41-1)/12)</f>
        <v>1.061208</v>
      </c>
    </row>
    <row r="42" customFormat="false" ht="15" hidden="false" customHeight="true" outlineLevel="0" collapsed="false">
      <c r="A42" s="123" t="n">
        <v>41</v>
      </c>
      <c r="B42" s="124" t="n">
        <f aca="false">(1+Assumptions!$B$26)^INT((A42-1)/12)</f>
        <v>1.061208</v>
      </c>
    </row>
    <row r="43" customFormat="false" ht="15" hidden="false" customHeight="true" outlineLevel="0" collapsed="false">
      <c r="A43" s="123" t="n">
        <v>42</v>
      </c>
      <c r="B43" s="124" t="n">
        <f aca="false">(1+Assumptions!$B$26)^INT((A43-1)/12)</f>
        <v>1.061208</v>
      </c>
    </row>
    <row r="44" customFormat="false" ht="15" hidden="false" customHeight="true" outlineLevel="0" collapsed="false">
      <c r="A44" s="123" t="n">
        <v>43</v>
      </c>
      <c r="B44" s="124" t="n">
        <f aca="false">(1+Assumptions!$B$26)^INT((A44-1)/12)</f>
        <v>1.061208</v>
      </c>
    </row>
    <row r="45" customFormat="false" ht="15" hidden="false" customHeight="true" outlineLevel="0" collapsed="false">
      <c r="A45" s="123" t="n">
        <v>44</v>
      </c>
      <c r="B45" s="124" t="n">
        <f aca="false">(1+Assumptions!$B$26)^INT((A45-1)/12)</f>
        <v>1.061208</v>
      </c>
    </row>
    <row r="46" customFormat="false" ht="15" hidden="false" customHeight="true" outlineLevel="0" collapsed="false">
      <c r="A46" s="123" t="n">
        <v>45</v>
      </c>
      <c r="B46" s="124" t="n">
        <f aca="false">(1+Assumptions!$B$26)^INT((A46-1)/12)</f>
        <v>1.061208</v>
      </c>
    </row>
    <row r="47" customFormat="false" ht="15" hidden="false" customHeight="true" outlineLevel="0" collapsed="false">
      <c r="A47" s="123" t="n">
        <v>46</v>
      </c>
      <c r="B47" s="124" t="n">
        <f aca="false">(1+Assumptions!$B$26)^INT((A47-1)/12)</f>
        <v>1.061208</v>
      </c>
    </row>
    <row r="48" customFormat="false" ht="15" hidden="false" customHeight="true" outlineLevel="0" collapsed="false">
      <c r="A48" s="123" t="n">
        <v>47</v>
      </c>
      <c r="B48" s="124" t="n">
        <f aca="false">(1+Assumptions!$B$26)^INT((A48-1)/12)</f>
        <v>1.061208</v>
      </c>
    </row>
    <row r="49" customFormat="false" ht="15" hidden="false" customHeight="true" outlineLevel="0" collapsed="false">
      <c r="A49" s="123" t="n">
        <v>48</v>
      </c>
      <c r="B49" s="124" t="n">
        <f aca="false">(1+Assumptions!$B$26)^INT((A49-1)/12)</f>
        <v>1.061208</v>
      </c>
    </row>
    <row r="50" customFormat="false" ht="15" hidden="false" customHeight="true" outlineLevel="0" collapsed="false">
      <c r="A50" s="123" t="n">
        <v>49</v>
      </c>
      <c r="B50" s="124" t="n">
        <f aca="false">(1+Assumptions!$B$26)^INT((A50-1)/12)</f>
        <v>1.08243216</v>
      </c>
    </row>
    <row r="51" customFormat="false" ht="15" hidden="false" customHeight="true" outlineLevel="0" collapsed="false">
      <c r="A51" s="123" t="n">
        <v>50</v>
      </c>
      <c r="B51" s="124" t="n">
        <f aca="false">(1+Assumptions!$B$26)^INT((A51-1)/12)</f>
        <v>1.08243216</v>
      </c>
    </row>
    <row r="52" customFormat="false" ht="15" hidden="false" customHeight="true" outlineLevel="0" collapsed="false">
      <c r="A52" s="123" t="n">
        <v>51</v>
      </c>
      <c r="B52" s="124" t="n">
        <f aca="false">(1+Assumptions!$B$26)^INT((A52-1)/12)</f>
        <v>1.08243216</v>
      </c>
    </row>
    <row r="53" customFormat="false" ht="15" hidden="false" customHeight="true" outlineLevel="0" collapsed="false">
      <c r="A53" s="123" t="n">
        <v>52</v>
      </c>
      <c r="B53" s="124" t="n">
        <f aca="false">(1+Assumptions!$B$26)^INT((A53-1)/12)</f>
        <v>1.08243216</v>
      </c>
    </row>
    <row r="54" customFormat="false" ht="15" hidden="false" customHeight="true" outlineLevel="0" collapsed="false">
      <c r="A54" s="123" t="n">
        <v>53</v>
      </c>
      <c r="B54" s="124" t="n">
        <f aca="false">(1+Assumptions!$B$26)^INT((A54-1)/12)</f>
        <v>1.08243216</v>
      </c>
    </row>
    <row r="55" customFormat="false" ht="15" hidden="false" customHeight="true" outlineLevel="0" collapsed="false">
      <c r="A55" s="123" t="n">
        <v>54</v>
      </c>
      <c r="B55" s="124" t="n">
        <f aca="false">(1+Assumptions!$B$26)^INT((A55-1)/12)</f>
        <v>1.08243216</v>
      </c>
    </row>
    <row r="56" customFormat="false" ht="15" hidden="false" customHeight="true" outlineLevel="0" collapsed="false">
      <c r="A56" s="123" t="n">
        <v>55</v>
      </c>
      <c r="B56" s="124" t="n">
        <f aca="false">(1+Assumptions!$B$26)^INT((A56-1)/12)</f>
        <v>1.08243216</v>
      </c>
    </row>
    <row r="57" customFormat="false" ht="15" hidden="false" customHeight="true" outlineLevel="0" collapsed="false">
      <c r="A57" s="123" t="n">
        <v>56</v>
      </c>
      <c r="B57" s="124" t="n">
        <f aca="false">(1+Assumptions!$B$26)^INT((A57-1)/12)</f>
        <v>1.08243216</v>
      </c>
    </row>
    <row r="58" customFormat="false" ht="15" hidden="false" customHeight="true" outlineLevel="0" collapsed="false">
      <c r="A58" s="123" t="n">
        <v>57</v>
      </c>
      <c r="B58" s="124" t="n">
        <f aca="false">(1+Assumptions!$B$26)^INT((A58-1)/12)</f>
        <v>1.08243216</v>
      </c>
    </row>
    <row r="59" customFormat="false" ht="15" hidden="false" customHeight="true" outlineLevel="0" collapsed="false">
      <c r="A59" s="123" t="n">
        <v>58</v>
      </c>
      <c r="B59" s="124" t="n">
        <f aca="false">(1+Assumptions!$B$26)^INT((A59-1)/12)</f>
        <v>1.08243216</v>
      </c>
    </row>
    <row r="60" customFormat="false" ht="15" hidden="false" customHeight="true" outlineLevel="0" collapsed="false">
      <c r="A60" s="123" t="n">
        <v>59</v>
      </c>
      <c r="B60" s="124" t="n">
        <f aca="false">(1+Assumptions!$B$26)^INT((A60-1)/12)</f>
        <v>1.08243216</v>
      </c>
    </row>
    <row r="61" customFormat="false" ht="15" hidden="false" customHeight="true" outlineLevel="0" collapsed="false">
      <c r="A61" s="123" t="n">
        <v>60</v>
      </c>
      <c r="B61" s="124" t="n">
        <f aca="false">(1+Assumptions!$B$26)^INT((A61-1)/12)</f>
        <v>1.08243216</v>
      </c>
    </row>
    <row r="62" customFormat="false" ht="15" hidden="false" customHeight="true" outlineLevel="0" collapsed="false">
      <c r="A62" s="123" t="n">
        <v>61</v>
      </c>
      <c r="B62" s="124" t="n">
        <f aca="false">(1+Assumptions!$B$26)^INT((A62-1)/12)</f>
        <v>1.1040808032</v>
      </c>
    </row>
    <row r="63" customFormat="false" ht="15" hidden="false" customHeight="true" outlineLevel="0" collapsed="false">
      <c r="A63" s="123" t="n">
        <v>62</v>
      </c>
      <c r="B63" s="124" t="n">
        <f aca="false">(1+Assumptions!$B$26)^INT((A63-1)/12)</f>
        <v>1.1040808032</v>
      </c>
    </row>
    <row r="64" customFormat="false" ht="15" hidden="false" customHeight="true" outlineLevel="0" collapsed="false">
      <c r="A64" s="123" t="n">
        <v>63</v>
      </c>
      <c r="B64" s="124" t="n">
        <f aca="false">(1+Assumptions!$B$26)^INT((A64-1)/12)</f>
        <v>1.1040808032</v>
      </c>
    </row>
    <row r="65" customFormat="false" ht="15" hidden="false" customHeight="true" outlineLevel="0" collapsed="false">
      <c r="A65" s="123" t="n">
        <v>64</v>
      </c>
      <c r="B65" s="124" t="n">
        <f aca="false">(1+Assumptions!$B$26)^INT((A65-1)/12)</f>
        <v>1.1040808032</v>
      </c>
    </row>
    <row r="66" customFormat="false" ht="15" hidden="false" customHeight="true" outlineLevel="0" collapsed="false">
      <c r="A66" s="123" t="n">
        <v>65</v>
      </c>
      <c r="B66" s="124" t="n">
        <f aca="false">(1+Assumptions!$B$26)^INT((A66-1)/12)</f>
        <v>1.1040808032</v>
      </c>
    </row>
    <row r="67" customFormat="false" ht="15" hidden="false" customHeight="true" outlineLevel="0" collapsed="false">
      <c r="A67" s="123" t="n">
        <v>66</v>
      </c>
      <c r="B67" s="124" t="n">
        <f aca="false">(1+Assumptions!$B$26)^INT((A67-1)/12)</f>
        <v>1.1040808032</v>
      </c>
    </row>
    <row r="68" customFormat="false" ht="15" hidden="false" customHeight="true" outlineLevel="0" collapsed="false">
      <c r="A68" s="123" t="n">
        <v>67</v>
      </c>
      <c r="B68" s="124" t="n">
        <f aca="false">(1+Assumptions!$B$26)^INT((A68-1)/12)</f>
        <v>1.1040808032</v>
      </c>
    </row>
    <row r="69" customFormat="false" ht="15" hidden="false" customHeight="true" outlineLevel="0" collapsed="false">
      <c r="A69" s="123" t="n">
        <v>68</v>
      </c>
      <c r="B69" s="124" t="n">
        <f aca="false">(1+Assumptions!$B$26)^INT((A69-1)/12)</f>
        <v>1.1040808032</v>
      </c>
    </row>
    <row r="70" customFormat="false" ht="15" hidden="false" customHeight="true" outlineLevel="0" collapsed="false">
      <c r="A70" s="123" t="n">
        <v>69</v>
      </c>
      <c r="B70" s="124" t="n">
        <f aca="false">(1+Assumptions!$B$26)^INT((A70-1)/12)</f>
        <v>1.1040808032</v>
      </c>
    </row>
    <row r="71" customFormat="false" ht="15" hidden="false" customHeight="true" outlineLevel="0" collapsed="false">
      <c r="A71" s="123" t="n">
        <v>70</v>
      </c>
      <c r="B71" s="124" t="n">
        <f aca="false">(1+Assumptions!$B$26)^INT((A71-1)/12)</f>
        <v>1.1040808032</v>
      </c>
    </row>
    <row r="72" customFormat="false" ht="15" hidden="false" customHeight="true" outlineLevel="0" collapsed="false">
      <c r="A72" s="123" t="n">
        <v>71</v>
      </c>
      <c r="B72" s="124" t="n">
        <f aca="false">(1+Assumptions!$B$26)^INT((A72-1)/12)</f>
        <v>1.1040808032</v>
      </c>
    </row>
    <row r="73" customFormat="false" ht="15" hidden="false" customHeight="true" outlineLevel="0" collapsed="false">
      <c r="A73" s="123" t="n">
        <v>72</v>
      </c>
      <c r="B73" s="124" t="n">
        <f aca="false">(1+Assumptions!$B$26)^INT((A73-1)/12)</f>
        <v>1.1040808032</v>
      </c>
    </row>
    <row r="74" customFormat="false" ht="15" hidden="false" customHeight="true" outlineLevel="0" collapsed="false">
      <c r="A74" s="123" t="n">
        <v>73</v>
      </c>
      <c r="B74" s="124" t="n">
        <f aca="false">(1+Assumptions!$B$26)^INT((A74-1)/12)</f>
        <v>1.126162419264</v>
      </c>
    </row>
    <row r="75" customFormat="false" ht="15" hidden="false" customHeight="true" outlineLevel="0" collapsed="false">
      <c r="A75" s="123" t="n">
        <v>74</v>
      </c>
      <c r="B75" s="124" t="n">
        <f aca="false">(1+Assumptions!$B$26)^INT((A75-1)/12)</f>
        <v>1.126162419264</v>
      </c>
    </row>
    <row r="76" customFormat="false" ht="15" hidden="false" customHeight="true" outlineLevel="0" collapsed="false">
      <c r="A76" s="123" t="n">
        <v>75</v>
      </c>
      <c r="B76" s="124" t="n">
        <f aca="false">(1+Assumptions!$B$26)^INT((A76-1)/12)</f>
        <v>1.126162419264</v>
      </c>
    </row>
    <row r="77" customFormat="false" ht="15" hidden="false" customHeight="true" outlineLevel="0" collapsed="false">
      <c r="A77" s="123" t="n">
        <v>76</v>
      </c>
      <c r="B77" s="124" t="n">
        <f aca="false">(1+Assumptions!$B$26)^INT((A77-1)/12)</f>
        <v>1.126162419264</v>
      </c>
    </row>
    <row r="78" customFormat="false" ht="15" hidden="false" customHeight="true" outlineLevel="0" collapsed="false">
      <c r="A78" s="123" t="n">
        <v>77</v>
      </c>
      <c r="B78" s="124" t="n">
        <f aca="false">(1+Assumptions!$B$26)^INT((A78-1)/12)</f>
        <v>1.126162419264</v>
      </c>
    </row>
    <row r="79" customFormat="false" ht="15" hidden="false" customHeight="true" outlineLevel="0" collapsed="false">
      <c r="A79" s="123" t="n">
        <v>78</v>
      </c>
      <c r="B79" s="124" t="n">
        <f aca="false">(1+Assumptions!$B$26)^INT((A79-1)/12)</f>
        <v>1.126162419264</v>
      </c>
    </row>
    <row r="80" customFormat="false" ht="15" hidden="false" customHeight="true" outlineLevel="0" collapsed="false">
      <c r="A80" s="123" t="n">
        <v>79</v>
      </c>
      <c r="B80" s="124" t="n">
        <f aca="false">(1+Assumptions!$B$26)^INT((A80-1)/12)</f>
        <v>1.126162419264</v>
      </c>
    </row>
    <row r="81" customFormat="false" ht="15" hidden="false" customHeight="true" outlineLevel="0" collapsed="false">
      <c r="A81" s="123" t="n">
        <v>80</v>
      </c>
      <c r="B81" s="124" t="n">
        <f aca="false">(1+Assumptions!$B$26)^INT((A81-1)/12)</f>
        <v>1.126162419264</v>
      </c>
    </row>
    <row r="82" customFormat="false" ht="15" hidden="false" customHeight="true" outlineLevel="0" collapsed="false">
      <c r="A82" s="123" t="n">
        <v>81</v>
      </c>
      <c r="B82" s="124" t="n">
        <f aca="false">(1+Assumptions!$B$26)^INT((A82-1)/12)</f>
        <v>1.126162419264</v>
      </c>
    </row>
    <row r="83" customFormat="false" ht="15" hidden="false" customHeight="true" outlineLevel="0" collapsed="false">
      <c r="A83" s="123" t="n">
        <v>82</v>
      </c>
      <c r="B83" s="124" t="n">
        <f aca="false">(1+Assumptions!$B$26)^INT((A83-1)/12)</f>
        <v>1.126162419264</v>
      </c>
    </row>
    <row r="84" customFormat="false" ht="15" hidden="false" customHeight="true" outlineLevel="0" collapsed="false">
      <c r="A84" s="123" t="n">
        <v>83</v>
      </c>
      <c r="B84" s="124" t="n">
        <f aca="false">(1+Assumptions!$B$26)^INT((A84-1)/12)</f>
        <v>1.126162419264</v>
      </c>
    </row>
    <row r="85" customFormat="false" ht="15" hidden="false" customHeight="true" outlineLevel="0" collapsed="false">
      <c r="A85" s="123" t="n">
        <v>84</v>
      </c>
      <c r="B85" s="124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3" t="s">
        <v>534</v>
      </c>
      <c r="B1" s="103"/>
      <c r="C1" s="103"/>
      <c r="D1" s="10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0" t="s">
        <v>46</v>
      </c>
      <c r="C3" s="123" t="n">
        <v>1</v>
      </c>
      <c r="D3" s="123" t="n">
        <v>2</v>
      </c>
      <c r="E3" s="123" t="n">
        <v>3</v>
      </c>
      <c r="F3" s="123" t="n">
        <v>4</v>
      </c>
      <c r="G3" s="123" t="n">
        <v>5</v>
      </c>
      <c r="H3" s="123" t="n">
        <v>6</v>
      </c>
      <c r="I3" s="123" t="n">
        <v>7</v>
      </c>
      <c r="J3" s="123" t="n">
        <v>8</v>
      </c>
      <c r="K3" s="123" t="n">
        <v>9</v>
      </c>
      <c r="L3" s="123" t="n">
        <v>10</v>
      </c>
      <c r="M3" s="123" t="n">
        <v>11</v>
      </c>
      <c r="N3" s="123" t="n">
        <v>12</v>
      </c>
      <c r="O3" s="123" t="n">
        <v>13</v>
      </c>
      <c r="P3" s="123" t="n">
        <v>14</v>
      </c>
      <c r="Q3" s="123" t="n">
        <v>15</v>
      </c>
      <c r="R3" s="123" t="n">
        <v>16</v>
      </c>
      <c r="S3" s="123" t="n">
        <v>17</v>
      </c>
      <c r="T3" s="123" t="n">
        <v>18</v>
      </c>
      <c r="U3" s="123" t="n">
        <v>19</v>
      </c>
      <c r="V3" s="123" t="n">
        <v>20</v>
      </c>
      <c r="W3" s="123" t="n">
        <v>21</v>
      </c>
      <c r="X3" s="123" t="n">
        <v>22</v>
      </c>
      <c r="Y3" s="123" t="n">
        <v>23</v>
      </c>
      <c r="Z3" s="123" t="n">
        <v>24</v>
      </c>
      <c r="AA3" s="123" t="n">
        <v>25</v>
      </c>
      <c r="AB3" s="123" t="n">
        <v>26</v>
      </c>
      <c r="AC3" s="123" t="n">
        <v>27</v>
      </c>
      <c r="AD3" s="123" t="n">
        <v>28</v>
      </c>
      <c r="AE3" s="123" t="n">
        <v>29</v>
      </c>
      <c r="AF3" s="123" t="n">
        <v>30</v>
      </c>
      <c r="AG3" s="123" t="n">
        <v>31</v>
      </c>
      <c r="AH3" s="123" t="n">
        <v>32</v>
      </c>
      <c r="AI3" s="123" t="n">
        <v>33</v>
      </c>
      <c r="AJ3" s="123" t="n">
        <v>34</v>
      </c>
      <c r="AK3" s="123" t="n">
        <v>35</v>
      </c>
      <c r="AL3" s="123" t="n">
        <v>36</v>
      </c>
      <c r="AM3" s="123" t="n">
        <v>37</v>
      </c>
      <c r="AN3" s="123" t="n">
        <v>38</v>
      </c>
      <c r="AO3" s="123" t="n">
        <v>39</v>
      </c>
      <c r="AP3" s="123" t="n">
        <v>40</v>
      </c>
      <c r="AQ3" s="123" t="n">
        <v>41</v>
      </c>
      <c r="AR3" s="123" t="n">
        <v>42</v>
      </c>
      <c r="AS3" s="123" t="n">
        <v>43</v>
      </c>
      <c r="AT3" s="123" t="n">
        <v>44</v>
      </c>
      <c r="AU3" s="123" t="n">
        <v>45</v>
      </c>
      <c r="AV3" s="123" t="n">
        <v>46</v>
      </c>
      <c r="AW3" s="123" t="n">
        <v>47</v>
      </c>
      <c r="AX3" s="123" t="n">
        <v>48</v>
      </c>
      <c r="AY3" s="123" t="n">
        <v>49</v>
      </c>
      <c r="AZ3" s="123" t="n">
        <v>50</v>
      </c>
      <c r="BA3" s="123" t="n">
        <v>51</v>
      </c>
      <c r="BB3" s="123" t="n">
        <v>52</v>
      </c>
      <c r="BC3" s="123" t="n">
        <v>53</v>
      </c>
      <c r="BD3" s="123" t="n">
        <v>54</v>
      </c>
      <c r="BE3" s="123" t="n">
        <v>55</v>
      </c>
      <c r="BF3" s="123" t="n">
        <v>56</v>
      </c>
      <c r="BG3" s="123" t="n">
        <v>57</v>
      </c>
      <c r="BH3" s="123" t="n">
        <v>58</v>
      </c>
      <c r="BI3" s="123" t="n">
        <v>59</v>
      </c>
      <c r="BJ3" s="123" t="n">
        <v>60</v>
      </c>
      <c r="BK3" s="123" t="n">
        <v>61</v>
      </c>
      <c r="BL3" s="123" t="n">
        <v>62</v>
      </c>
      <c r="BM3" s="123" t="n">
        <v>63</v>
      </c>
      <c r="BN3" s="123" t="n">
        <v>64</v>
      </c>
      <c r="BO3" s="123" t="n">
        <v>65</v>
      </c>
      <c r="BP3" s="123" t="n">
        <v>66</v>
      </c>
      <c r="BQ3" s="123" t="n">
        <v>67</v>
      </c>
      <c r="BR3" s="123" t="n">
        <v>68</v>
      </c>
      <c r="BS3" s="123" t="n">
        <v>69</v>
      </c>
      <c r="BT3" s="123" t="n">
        <v>70</v>
      </c>
      <c r="BU3" s="123" t="n">
        <v>71</v>
      </c>
      <c r="BV3" s="123" t="n">
        <v>72</v>
      </c>
      <c r="BW3" s="123" t="n">
        <v>73</v>
      </c>
      <c r="BX3" s="123" t="n">
        <v>74</v>
      </c>
      <c r="BY3" s="123" t="n">
        <v>75</v>
      </c>
      <c r="BZ3" s="123" t="n">
        <v>76</v>
      </c>
      <c r="CA3" s="123" t="n">
        <v>77</v>
      </c>
      <c r="CB3" s="123" t="n">
        <v>78</v>
      </c>
      <c r="CC3" s="123" t="n">
        <v>79</v>
      </c>
      <c r="CD3" s="123" t="n">
        <v>80</v>
      </c>
      <c r="CE3" s="123" t="n">
        <v>81</v>
      </c>
      <c r="CF3" s="123" t="n">
        <v>82</v>
      </c>
      <c r="CG3" s="123" t="n">
        <v>83</v>
      </c>
      <c r="CH3" s="123" t="n">
        <v>84</v>
      </c>
    </row>
    <row r="4" customFormat="false" ht="15" hidden="false" customHeight="true" outlineLevel="0" collapsed="false">
      <c r="A4" s="100" t="s">
        <v>535</v>
      </c>
      <c r="C4" s="107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7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7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7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7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7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7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7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7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7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7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7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7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7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7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7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7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7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7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7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7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7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7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7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7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7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7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7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7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7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7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7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7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7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7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7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7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7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7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7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7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7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7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7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7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7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7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7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7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7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7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7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7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7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7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7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7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7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7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7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7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7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7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7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7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7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7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7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7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7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7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7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7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7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7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7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7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7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7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7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7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7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7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7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0" t="s">
        <v>536</v>
      </c>
      <c r="C5" s="107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7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7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7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7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7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7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7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7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7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7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7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7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7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7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7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7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7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7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7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7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7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7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7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7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7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7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7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7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7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7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7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7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7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7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7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7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7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7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7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7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7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7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7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7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7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7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7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7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7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7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7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7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7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7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7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7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7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7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7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7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7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7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7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7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7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7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7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7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7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7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7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7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7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7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7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7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7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7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7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7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7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7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7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2" t="s">
        <v>537</v>
      </c>
    </row>
    <row r="8" customFormat="false" ht="15" hidden="false" customHeight="true" outlineLevel="0" collapsed="false">
      <c r="A8" s="100" t="s">
        <v>157</v>
      </c>
      <c r="C8" s="107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7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7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7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7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7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7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7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7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7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7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7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7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7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7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7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7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7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7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7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7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7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7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7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7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7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7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7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7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7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7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7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7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7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7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7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7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7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7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7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7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7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7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7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7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7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7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7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7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7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7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7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7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7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7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7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7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7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7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7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7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7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7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7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7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7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7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7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7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7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7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7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7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7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7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7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7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7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7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7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7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7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7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7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0" t="s">
        <v>158</v>
      </c>
      <c r="C9" s="107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7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7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7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7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7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7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7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7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7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7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7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7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7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7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7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7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7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7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7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7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7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7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7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7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7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7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7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7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7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7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7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7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7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7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7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7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7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7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7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7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7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7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7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7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7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7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7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7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7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7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7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7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7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7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7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7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7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7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7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7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7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7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7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7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7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7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7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7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7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7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7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7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7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7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7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7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7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7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7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7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7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7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7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0" t="s">
        <v>49</v>
      </c>
      <c r="C10" s="107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7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7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7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7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7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7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7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7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7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7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7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7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7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7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7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7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7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7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7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7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7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7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7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7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7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7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7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7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7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7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7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7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7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7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7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7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7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7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7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7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7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7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7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7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7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7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7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7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7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7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7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7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7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7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7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7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7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7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7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7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7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7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7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7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7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7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7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7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7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7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7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7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7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7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7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7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7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7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7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7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7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7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7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0" t="s">
        <v>159</v>
      </c>
      <c r="C11" s="107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7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7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7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7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7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7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7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7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7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7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7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7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7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7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7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7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7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7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7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7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7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7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7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7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7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7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7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7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7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7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7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7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7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7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7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7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7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7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7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7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7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7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7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7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7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7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7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7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7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7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7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7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7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7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7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7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7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7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7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7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7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7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7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7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7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7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7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7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7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7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7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7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7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7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7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7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7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7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7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7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7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7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7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0" t="s">
        <v>160</v>
      </c>
      <c r="C12" s="107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7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7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7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7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7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7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7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7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7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7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7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7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7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7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7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7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7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7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7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7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7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7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7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7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7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7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7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7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7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7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7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7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7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7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7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7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7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7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7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7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7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7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7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7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7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7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7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7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7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7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7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7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7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7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7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7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7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7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7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7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7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7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7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7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7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7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7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7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7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7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7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7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7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7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7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7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7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7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7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7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7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7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7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0" t="s">
        <v>53</v>
      </c>
      <c r="C13" s="107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7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7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7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7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7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7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7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7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7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7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7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7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7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7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7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7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7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7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7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7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7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7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7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7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7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7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7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7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7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7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7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7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7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7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7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7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7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7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7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7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7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7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7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7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7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7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7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7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7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7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7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7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7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7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7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7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7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7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7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7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7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7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7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7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7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7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7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7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7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7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7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7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7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7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7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7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7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7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7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7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7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7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7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0" t="s">
        <v>54</v>
      </c>
      <c r="C14" s="107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7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7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7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7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7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7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7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7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7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7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7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7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7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7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7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7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7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7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7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7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7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7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7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7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7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7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7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7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7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7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7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7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7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7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7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7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7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7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7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7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7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7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7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7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7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7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7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7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7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7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7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7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7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7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7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7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7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7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7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7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7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7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7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7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7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7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7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7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7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7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7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7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7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7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7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7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7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7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7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7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7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7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7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0" t="s">
        <v>57</v>
      </c>
      <c r="C15" s="107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7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7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7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7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7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7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7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7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7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7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7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7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7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7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7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7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7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7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7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7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7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7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7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7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7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7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7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7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7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7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7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7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7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7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7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7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7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7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7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7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7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7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7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7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7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7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7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7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7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7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7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7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7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7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7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7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7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7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7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7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7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7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7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7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7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7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7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7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7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7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7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7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7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7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7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7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7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7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7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7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7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7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7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5" t="s">
        <v>161</v>
      </c>
      <c r="C16" s="126" t="n">
        <f aca="false">SUM(C8:C15)</f>
        <v>23599007.06059</v>
      </c>
      <c r="D16" s="126" t="n">
        <f aca="false">SUM(D8:D15)</f>
        <v>21846708.4387409</v>
      </c>
      <c r="E16" s="126" t="n">
        <f aca="false">SUM(E8:E15)</f>
        <v>19934994.8604503</v>
      </c>
      <c r="F16" s="126" t="n">
        <f aca="false">SUM(F8:F15)</f>
        <v>59988330.5577988</v>
      </c>
      <c r="G16" s="126" t="n">
        <f aca="false">SUM(G8:G15)</f>
        <v>56830895.3462433</v>
      </c>
      <c r="H16" s="126" t="n">
        <f aca="false">SUM(H8:H15)</f>
        <v>53470466.1002521</v>
      </c>
      <c r="I16" s="126" t="n">
        <f aca="false">SUM(I8:I15)</f>
        <v>78806360.8366376</v>
      </c>
      <c r="J16" s="126" t="n">
        <f aca="false">SUM(J8:J15)</f>
        <v>95138155.8113951</v>
      </c>
      <c r="K16" s="126" t="n">
        <f aca="false">SUM(K8:K15)</f>
        <v>89880219.2871105</v>
      </c>
      <c r="L16" s="126" t="n">
        <f aca="false">SUM(L8:L15)</f>
        <v>84327348.5196844</v>
      </c>
      <c r="M16" s="126" t="n">
        <f aca="false">SUM(M8:M15)</f>
        <v>78517826.7676414</v>
      </c>
      <c r="N16" s="126" t="n">
        <f aca="false">SUM(N8:N15)</f>
        <v>72497927.0285711</v>
      </c>
      <c r="O16" s="126" t="n">
        <f aca="false">SUM(O8:O15)</f>
        <v>110860792.787625</v>
      </c>
      <c r="P16" s="126" t="n">
        <f aca="false">SUM(P8:P15)</f>
        <v>103756479.760667</v>
      </c>
      <c r="Q16" s="126" t="n">
        <f aca="false">SUM(Q8:Q15)</f>
        <v>96517203.055075</v>
      </c>
      <c r="R16" s="126" t="n">
        <f aca="false">SUM(R8:R15)</f>
        <v>89832380.402737</v>
      </c>
      <c r="S16" s="126" t="n">
        <f aca="false">SUM(S8:S15)</f>
        <v>83021753.709656</v>
      </c>
      <c r="T16" s="126" t="n">
        <f aca="false">SUM(T8:T15)</f>
        <v>76187589.600929</v>
      </c>
      <c r="U16" s="126" t="n">
        <f aca="false">SUM(U8:U15)</f>
        <v>69427945.700482</v>
      </c>
      <c r="V16" s="126" t="n">
        <f aca="false">SUM(V8:V15)</f>
        <v>62831519.462922</v>
      </c>
      <c r="W16" s="126" t="n">
        <f aca="false">SUM(W8:W15)</f>
        <v>56473335.557832</v>
      </c>
      <c r="X16" s="126" t="n">
        <f aca="false">SUM(X8:X15)</f>
        <v>50412135.689664</v>
      </c>
      <c r="Y16" s="126" t="n">
        <f aca="false">SUM(Y8:Y15)</f>
        <v>44689514.450515</v>
      </c>
      <c r="Z16" s="126" t="n">
        <f aca="false">SUM(Z8:Z15)</f>
        <v>39330314.060104</v>
      </c>
      <c r="AA16" s="126" t="n">
        <f aca="false">SUM(AA8:AA15)</f>
        <v>34344660.92992</v>
      </c>
      <c r="AB16" s="126" t="n">
        <f aca="false">SUM(AB8:AB15)</f>
        <v>30015781.27808</v>
      </c>
      <c r="AC16" s="126" t="n">
        <f aca="false">SUM(AC8:AC15)</f>
        <v>67115910.942616</v>
      </c>
      <c r="AD16" s="126" t="n">
        <f aca="false">SUM(AD8:AD15)</f>
        <v>63678669.505813</v>
      </c>
      <c r="AE16" s="126" t="n">
        <f aca="false">SUM(AE8:AE15)</f>
        <v>60195756.503803</v>
      </c>
      <c r="AF16" s="126" t="n">
        <f aca="false">SUM(AF8:AF15)</f>
        <v>56684810.890851</v>
      </c>
      <c r="AG16" s="126" t="n">
        <f aca="false">SUM(AG8:AG15)</f>
        <v>53163021.419372</v>
      </c>
      <c r="AH16" s="126" t="n">
        <f aca="false">SUM(AH8:AH15)</f>
        <v>49646883.209601</v>
      </c>
      <c r="AI16" s="126" t="n">
        <f aca="false">SUM(AI8:AI15)</f>
        <v>46152166.879778</v>
      </c>
      <c r="AJ16" s="126" t="n">
        <f aca="false">SUM(AJ8:AJ15)</f>
        <v>42693842.409563</v>
      </c>
      <c r="AK16" s="126" t="n">
        <f aca="false">SUM(AK8:AK15)</f>
        <v>39286070.295121</v>
      </c>
      <c r="AL16" s="126" t="n">
        <f aca="false">SUM(AL8:AL15)</f>
        <v>35942217.821294</v>
      </c>
      <c r="AM16" s="126" t="n">
        <f aca="false">SUM(AM8:AM15)</f>
        <v>32894612.367548</v>
      </c>
      <c r="AN16" s="126" t="n">
        <f aca="false">SUM(AN8:AN15)</f>
        <v>29903009.833158</v>
      </c>
      <c r="AO16" s="126" t="n">
        <f aca="false">SUM(AO8:AO15)</f>
        <v>26981928.712532</v>
      </c>
      <c r="AP16" s="126" t="n">
        <f aca="false">SUM(AP8:AP15)</f>
        <v>24145214.967326</v>
      </c>
      <c r="AQ16" s="126" t="n">
        <f aca="false">SUM(AQ8:AQ15)</f>
        <v>21405892.487426</v>
      </c>
      <c r="AR16" s="126" t="n">
        <f aca="false">SUM(AR8:AR15)</f>
        <v>18775979.790616</v>
      </c>
      <c r="AS16" s="126" t="n">
        <f aca="false">SUM(AS8:AS15)</f>
        <v>16893987.49148</v>
      </c>
      <c r="AT16" s="126" t="n">
        <f aca="false">SUM(AT8:AT15)</f>
        <v>15049033.294064</v>
      </c>
      <c r="AU16" s="126" t="n">
        <f aca="false">SUM(AU8:AU15)</f>
        <v>13258584.501624</v>
      </c>
      <c r="AV16" s="126" t="n">
        <f aca="false">SUM(AV8:AV15)</f>
        <v>11538273.165056</v>
      </c>
      <c r="AW16" s="126" t="n">
        <f aca="false">SUM(AW8:AW15)</f>
        <v>9901787.667552</v>
      </c>
      <c r="AX16" s="126" t="n">
        <f aca="false">SUM(AX8:AX15)</f>
        <v>8360541.887544</v>
      </c>
      <c r="AY16" s="126" t="n">
        <f aca="false">SUM(AY8:AY15)</f>
        <v>6923385.71628</v>
      </c>
      <c r="AZ16" s="126" t="n">
        <f aca="false">SUM(AZ8:AZ15)</f>
        <v>5596646.412456</v>
      </c>
      <c r="BA16" s="126" t="n">
        <f aca="false">SUM(BA8:BA15)</f>
        <v>4384004.53832</v>
      </c>
      <c r="BB16" s="126" t="n">
        <f aca="false">SUM(BB8:BB15)</f>
        <v>3286659.3782</v>
      </c>
      <c r="BC16" s="126" t="n">
        <f aca="false">SUM(BC8:BC15)</f>
        <v>2303535.711664</v>
      </c>
      <c r="BD16" s="126" t="n">
        <f aca="false">SUM(BD8:BD15)</f>
        <v>1431490.58668</v>
      </c>
      <c r="BE16" s="126" t="n">
        <f aca="false">SUM(BE8:BE15)</f>
        <v>665685.511304001</v>
      </c>
      <c r="BF16" s="126" t="n">
        <f aca="false">SUM(BF8:BF15)</f>
        <v>-165.418527995574</v>
      </c>
      <c r="BG16" s="126" t="n">
        <f aca="false">SUM(BG8:BG15)</f>
        <v>0</v>
      </c>
      <c r="BH16" s="126" t="n">
        <f aca="false">SUM(BH8:BH15)</f>
        <v>0</v>
      </c>
      <c r="BI16" s="126" t="n">
        <f aca="false">SUM(BI8:BI15)</f>
        <v>0</v>
      </c>
      <c r="BJ16" s="126" t="n">
        <f aca="false">SUM(BJ8:BJ15)</f>
        <v>0</v>
      </c>
      <c r="BK16" s="126" t="n">
        <f aca="false">SUM(BK8:BK15)</f>
        <v>0</v>
      </c>
      <c r="BL16" s="126" t="n">
        <f aca="false">SUM(BL8:BL15)</f>
        <v>0</v>
      </c>
      <c r="BM16" s="126" t="n">
        <f aca="false">SUM(BM8:BM15)</f>
        <v>0</v>
      </c>
      <c r="BN16" s="126" t="n">
        <f aca="false">SUM(BN8:BN15)</f>
        <v>0</v>
      </c>
      <c r="BO16" s="126" t="n">
        <f aca="false">SUM(BO8:BO15)</f>
        <v>0</v>
      </c>
      <c r="BP16" s="126" t="n">
        <f aca="false">SUM(BP8:BP15)</f>
        <v>0</v>
      </c>
      <c r="BQ16" s="126" t="n">
        <f aca="false">SUM(BQ8:BQ15)</f>
        <v>0</v>
      </c>
      <c r="BR16" s="126" t="n">
        <f aca="false">SUM(BR8:BR15)</f>
        <v>0</v>
      </c>
      <c r="BS16" s="126" t="n">
        <f aca="false">SUM(BS8:BS15)</f>
        <v>0</v>
      </c>
      <c r="BT16" s="126" t="n">
        <f aca="false">SUM(BT8:BT15)</f>
        <v>0</v>
      </c>
      <c r="BU16" s="126" t="n">
        <f aca="false">SUM(BU8:BU15)</f>
        <v>0</v>
      </c>
      <c r="BV16" s="126" t="n">
        <f aca="false">SUM(BV8:BV15)</f>
        <v>0</v>
      </c>
      <c r="BW16" s="126" t="n">
        <f aca="false">SUM(BW8:BW15)</f>
        <v>0</v>
      </c>
      <c r="BX16" s="126" t="n">
        <f aca="false">SUM(BX8:BX15)</f>
        <v>0</v>
      </c>
      <c r="BY16" s="126" t="n">
        <f aca="false">SUM(BY8:BY15)</f>
        <v>0</v>
      </c>
      <c r="BZ16" s="126" t="n">
        <f aca="false">SUM(BZ8:BZ15)</f>
        <v>0</v>
      </c>
      <c r="CA16" s="126" t="n">
        <f aca="false">SUM(CA8:CA15)</f>
        <v>0</v>
      </c>
      <c r="CB16" s="126" t="n">
        <f aca="false">SUM(CB8:CB15)</f>
        <v>0</v>
      </c>
      <c r="CC16" s="126" t="n">
        <f aca="false">SUM(CC8:CC15)</f>
        <v>0</v>
      </c>
      <c r="CD16" s="126" t="n">
        <f aca="false">SUM(CD8:CD15)</f>
        <v>0</v>
      </c>
      <c r="CE16" s="126" t="n">
        <f aca="false">SUM(CE8:CE15)</f>
        <v>0</v>
      </c>
      <c r="CF16" s="126" t="n">
        <f aca="false">SUM(CF8:CF15)</f>
        <v>0</v>
      </c>
      <c r="CG16" s="126" t="n">
        <f aca="false">SUM(CG8:CG15)</f>
        <v>0</v>
      </c>
      <c r="CH16" s="126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0" t="s">
        <v>539</v>
      </c>
      <c r="C19" s="107" t="n">
        <f aca="false">IF(Projects!$G$7="Yes",Projects!$B$7*Assumptions!$B$47+Assumptions!$B$53*Assumptions!$B$48,0)</f>
        <v>579684.48</v>
      </c>
      <c r="D19" s="107" t="n">
        <f aca="false">C21</f>
        <v>579684.48</v>
      </c>
      <c r="E19" s="107" t="n">
        <f aca="false">D21</f>
        <v>579684.48</v>
      </c>
      <c r="F19" s="107" t="n">
        <f aca="false">E21</f>
        <v>579684.48</v>
      </c>
      <c r="G19" s="107" t="n">
        <f aca="false">F21</f>
        <v>579684.48</v>
      </c>
      <c r="H19" s="107" t="n">
        <f aca="false">G21</f>
        <v>579684.48</v>
      </c>
      <c r="I19" s="107" t="n">
        <f aca="false">H21</f>
        <v>579684.48</v>
      </c>
      <c r="J19" s="107" t="n">
        <f aca="false">I21</f>
        <v>579684.48</v>
      </c>
      <c r="K19" s="107" t="n">
        <f aca="false">J21</f>
        <v>579684.48</v>
      </c>
      <c r="L19" s="107" t="n">
        <f aca="false">K21</f>
        <v>579684.48</v>
      </c>
      <c r="M19" s="107" t="n">
        <f aca="false">L21</f>
        <v>579684.48</v>
      </c>
      <c r="N19" s="107" t="n">
        <f aca="false">M21</f>
        <v>579684.48</v>
      </c>
      <c r="O19" s="107" t="n">
        <f aca="false">N21</f>
        <v>579684.48</v>
      </c>
      <c r="P19" s="107" t="n">
        <f aca="false">O21</f>
        <v>579684.48</v>
      </c>
      <c r="Q19" s="107" t="n">
        <f aca="false">P21</f>
        <v>579684.48</v>
      </c>
      <c r="R19" s="107" t="n">
        <f aca="false">Q21</f>
        <v>579684.48</v>
      </c>
      <c r="S19" s="107" t="n">
        <f aca="false">R21</f>
        <v>579684.48</v>
      </c>
      <c r="T19" s="107" t="n">
        <f aca="false">S21</f>
        <v>579684.48</v>
      </c>
      <c r="U19" s="107" t="n">
        <f aca="false">T21</f>
        <v>579684.48</v>
      </c>
      <c r="V19" s="107" t="n">
        <f aca="false">U21</f>
        <v>579684.48</v>
      </c>
      <c r="W19" s="107" t="n">
        <f aca="false">V21</f>
        <v>579684.48</v>
      </c>
      <c r="X19" s="107" t="n">
        <f aca="false">W21</f>
        <v>579684.48</v>
      </c>
      <c r="Y19" s="107" t="n">
        <f aca="false">X21</f>
        <v>579684.48</v>
      </c>
      <c r="Z19" s="107" t="n">
        <f aca="false">Y21</f>
        <v>579684.48</v>
      </c>
      <c r="AA19" s="107" t="n">
        <f aca="false">Z21</f>
        <v>579684.48</v>
      </c>
      <c r="AB19" s="107" t="n">
        <f aca="false">AA21</f>
        <v>579684.48</v>
      </c>
      <c r="AC19" s="107" t="n">
        <f aca="false">AB21</f>
        <v>579684.48</v>
      </c>
      <c r="AD19" s="107" t="n">
        <f aca="false">AC21</f>
        <v>579684.48</v>
      </c>
      <c r="AE19" s="107" t="n">
        <f aca="false">AD21</f>
        <v>579684.48</v>
      </c>
      <c r="AF19" s="107" t="n">
        <f aca="false">AE21</f>
        <v>579684.48</v>
      </c>
      <c r="AG19" s="107" t="n">
        <f aca="false">AF21</f>
        <v>579684.48</v>
      </c>
      <c r="AH19" s="107" t="n">
        <f aca="false">AG21</f>
        <v>579684.48</v>
      </c>
      <c r="AI19" s="107" t="n">
        <f aca="false">AH21</f>
        <v>579684.48</v>
      </c>
      <c r="AJ19" s="107" t="n">
        <f aca="false">AI21</f>
        <v>579684.48</v>
      </c>
      <c r="AK19" s="107" t="n">
        <f aca="false">AJ21</f>
        <v>579684.48</v>
      </c>
      <c r="AL19" s="107" t="n">
        <f aca="false">AK21</f>
        <v>579684.48</v>
      </c>
      <c r="AM19" s="107" t="n">
        <f aca="false">AL21</f>
        <v>579684.48</v>
      </c>
      <c r="AN19" s="107" t="n">
        <f aca="false">AM21</f>
        <v>579684.48</v>
      </c>
      <c r="AO19" s="107" t="n">
        <f aca="false">AN21</f>
        <v>579684.48</v>
      </c>
      <c r="AP19" s="107" t="n">
        <f aca="false">AO21</f>
        <v>579684.48</v>
      </c>
      <c r="AQ19" s="107" t="n">
        <f aca="false">AP21</f>
        <v>579684.48</v>
      </c>
      <c r="AR19" s="107" t="n">
        <f aca="false">AQ21</f>
        <v>579684.48</v>
      </c>
      <c r="AS19" s="107" t="n">
        <f aca="false">AR21</f>
        <v>498001.48</v>
      </c>
      <c r="AT19" s="107" t="n">
        <f aca="false">AS21</f>
        <v>498001.48</v>
      </c>
      <c r="AU19" s="107" t="n">
        <f aca="false">AT21</f>
        <v>498001.48</v>
      </c>
      <c r="AV19" s="107" t="n">
        <f aca="false">AU21</f>
        <v>416319.48</v>
      </c>
      <c r="AW19" s="107" t="n">
        <f aca="false">AV21</f>
        <v>416319.48</v>
      </c>
      <c r="AX19" s="107" t="n">
        <f aca="false">AW21</f>
        <v>416319.48</v>
      </c>
      <c r="AY19" s="107" t="n">
        <f aca="false">AX21</f>
        <v>334637.48</v>
      </c>
      <c r="AZ19" s="107" t="n">
        <f aca="false">AY21</f>
        <v>334637.48</v>
      </c>
      <c r="BA19" s="107" t="n">
        <f aca="false">AZ21</f>
        <v>334637.48</v>
      </c>
      <c r="BB19" s="107" t="n">
        <f aca="false">BA21</f>
        <v>252955.48</v>
      </c>
      <c r="BC19" s="107" t="n">
        <f aca="false">BB21</f>
        <v>252955.48</v>
      </c>
      <c r="BD19" s="107" t="n">
        <f aca="false">BC21</f>
        <v>252955.48</v>
      </c>
      <c r="BE19" s="107" t="n">
        <f aca="false">BD21</f>
        <v>193777.48</v>
      </c>
      <c r="BF19" s="107" t="n">
        <f aca="false">BE21</f>
        <v>193777.48</v>
      </c>
      <c r="BG19" s="107" t="n">
        <f aca="false">BF21</f>
        <v>193777.48</v>
      </c>
      <c r="BH19" s="107" t="n">
        <f aca="false">BG21</f>
        <v>134601.48</v>
      </c>
      <c r="BI19" s="107" t="n">
        <f aca="false">BH21</f>
        <v>134601.48</v>
      </c>
      <c r="BJ19" s="107" t="n">
        <f aca="false">BI21</f>
        <v>134601.48</v>
      </c>
      <c r="BK19" s="107" t="n">
        <f aca="false">BJ21</f>
        <v>75425.48</v>
      </c>
      <c r="BL19" s="107" t="n">
        <f aca="false">BK21</f>
        <v>75425.48</v>
      </c>
      <c r="BM19" s="107" t="n">
        <f aca="false">BL21</f>
        <v>75425.48</v>
      </c>
      <c r="BN19" s="107" t="n">
        <f aca="false">BM21</f>
        <v>16249.48</v>
      </c>
      <c r="BO19" s="107" t="n">
        <f aca="false">BN21</f>
        <v>16249.48</v>
      </c>
      <c r="BP19" s="107" t="n">
        <f aca="false">BO21</f>
        <v>16249.48</v>
      </c>
      <c r="BQ19" s="107" t="n">
        <f aca="false">BP21</f>
        <v>0</v>
      </c>
      <c r="BR19" s="107" t="n">
        <f aca="false">BQ21</f>
        <v>0</v>
      </c>
      <c r="BS19" s="107" t="n">
        <f aca="false">BR21</f>
        <v>0</v>
      </c>
      <c r="BT19" s="107" t="n">
        <f aca="false">BS21</f>
        <v>0</v>
      </c>
      <c r="BU19" s="107" t="n">
        <f aca="false">BT21</f>
        <v>0</v>
      </c>
      <c r="BV19" s="107" t="n">
        <f aca="false">BU21</f>
        <v>0</v>
      </c>
      <c r="BW19" s="107" t="n">
        <f aca="false">BV21</f>
        <v>0</v>
      </c>
      <c r="BX19" s="107" t="n">
        <f aca="false">BW21</f>
        <v>0</v>
      </c>
      <c r="BY19" s="107" t="n">
        <f aca="false">BX21</f>
        <v>0</v>
      </c>
      <c r="BZ19" s="107" t="n">
        <f aca="false">BY21</f>
        <v>0</v>
      </c>
      <c r="CA19" s="107" t="n">
        <f aca="false">BZ21</f>
        <v>0</v>
      </c>
      <c r="CB19" s="107" t="n">
        <f aca="false">CA21</f>
        <v>0</v>
      </c>
      <c r="CC19" s="107" t="n">
        <f aca="false">CB21</f>
        <v>0</v>
      </c>
      <c r="CD19" s="107" t="n">
        <f aca="false">CC21</f>
        <v>0</v>
      </c>
      <c r="CE19" s="107" t="n">
        <f aca="false">CD21</f>
        <v>0</v>
      </c>
      <c r="CF19" s="107" t="n">
        <f aca="false">CE21</f>
        <v>0</v>
      </c>
      <c r="CG19" s="107" t="n">
        <f aca="false">CF21</f>
        <v>0</v>
      </c>
      <c r="CH19" s="107" t="n">
        <f aca="false">CG21</f>
        <v>0</v>
      </c>
    </row>
    <row r="20" customFormat="false" ht="15" hidden="false" customHeight="true" outlineLevel="0" collapsed="false">
      <c r="A20" s="127" t="s">
        <v>540</v>
      </c>
      <c r="C20" s="128" t="n">
        <f aca="false">MIN(C19,Model!C60)</f>
        <v>0</v>
      </c>
      <c r="D20" s="128" t="n">
        <f aca="false">MIN(D19,Model!D60)</f>
        <v>0</v>
      </c>
      <c r="E20" s="128" t="n">
        <f aca="false">MIN(E19,Model!E60)</f>
        <v>0</v>
      </c>
      <c r="F20" s="128" t="n">
        <f aca="false">MIN(F19,Model!F60)</f>
        <v>0</v>
      </c>
      <c r="G20" s="128" t="n">
        <f aca="false">MIN(G19,Model!G60)</f>
        <v>0</v>
      </c>
      <c r="H20" s="128" t="n">
        <f aca="false">MIN(H19,Model!H60)</f>
        <v>0</v>
      </c>
      <c r="I20" s="128" t="n">
        <f aca="false">MIN(I19,Model!I60)</f>
        <v>0</v>
      </c>
      <c r="J20" s="128" t="n">
        <f aca="false">MIN(J19,Model!J60)</f>
        <v>0</v>
      </c>
      <c r="K20" s="128" t="n">
        <f aca="false">MIN(K19,Model!K60)</f>
        <v>0</v>
      </c>
      <c r="L20" s="128" t="n">
        <f aca="false">MIN(L19,Model!L60)</f>
        <v>0</v>
      </c>
      <c r="M20" s="128" t="n">
        <f aca="false">MIN(M19,Model!M60)</f>
        <v>0</v>
      </c>
      <c r="N20" s="128" t="n">
        <f aca="false">MIN(N19,Model!N60)</f>
        <v>0</v>
      </c>
      <c r="O20" s="128" t="n">
        <f aca="false">MIN(O19,Model!O60)</f>
        <v>0</v>
      </c>
      <c r="P20" s="128" t="n">
        <f aca="false">MIN(P19,Model!P60)</f>
        <v>0</v>
      </c>
      <c r="Q20" s="128" t="n">
        <f aca="false">MIN(Q19,Model!Q60)</f>
        <v>0</v>
      </c>
      <c r="R20" s="128" t="n">
        <f aca="false">MIN(R19,Model!R60)</f>
        <v>0</v>
      </c>
      <c r="S20" s="128" t="n">
        <f aca="false">MIN(S19,Model!S60)</f>
        <v>0</v>
      </c>
      <c r="T20" s="128" t="n">
        <f aca="false">MIN(T19,Model!T60)</f>
        <v>0</v>
      </c>
      <c r="U20" s="128" t="n">
        <f aca="false">MIN(U19,Model!U60)</f>
        <v>0</v>
      </c>
      <c r="V20" s="128" t="n">
        <f aca="false">MIN(V19,Model!V60)</f>
        <v>0</v>
      </c>
      <c r="W20" s="128" t="n">
        <f aca="false">MIN(W19,Model!W60)</f>
        <v>0</v>
      </c>
      <c r="X20" s="128" t="n">
        <f aca="false">MIN(X19,Model!X60)</f>
        <v>0</v>
      </c>
      <c r="Y20" s="128" t="n">
        <f aca="false">MIN(Y19,Model!Y60)</f>
        <v>0</v>
      </c>
      <c r="Z20" s="128" t="n">
        <f aca="false">MIN(Z19,Model!Z60)</f>
        <v>0</v>
      </c>
      <c r="AA20" s="128" t="n">
        <f aca="false">MIN(AA19,Model!AA60)</f>
        <v>0</v>
      </c>
      <c r="AB20" s="128" t="n">
        <f aca="false">MIN(AB19,Model!AB60)</f>
        <v>0</v>
      </c>
      <c r="AC20" s="128" t="n">
        <f aca="false">MIN(AC19,Model!AC60)</f>
        <v>0</v>
      </c>
      <c r="AD20" s="128" t="n">
        <f aca="false">MIN(AD19,Model!AD60)</f>
        <v>0</v>
      </c>
      <c r="AE20" s="128" t="n">
        <f aca="false">MIN(AE19,Model!AE60)</f>
        <v>0</v>
      </c>
      <c r="AF20" s="128" t="n">
        <f aca="false">MIN(AF19,Model!AF60)</f>
        <v>0</v>
      </c>
      <c r="AG20" s="128" t="n">
        <f aca="false">MIN(AG19,Model!AG60)</f>
        <v>0</v>
      </c>
      <c r="AH20" s="128" t="n">
        <f aca="false">MIN(AH19,Model!AH60)</f>
        <v>0</v>
      </c>
      <c r="AI20" s="128" t="n">
        <f aca="false">MIN(AI19,Model!AI60)</f>
        <v>0</v>
      </c>
      <c r="AJ20" s="128" t="n">
        <f aca="false">MIN(AJ19,Model!AJ60)</f>
        <v>0</v>
      </c>
      <c r="AK20" s="128" t="n">
        <f aca="false">MIN(AK19,Model!AK60)</f>
        <v>0</v>
      </c>
      <c r="AL20" s="128" t="n">
        <f aca="false">MIN(AL19,Model!AL60)</f>
        <v>0</v>
      </c>
      <c r="AM20" s="128" t="n">
        <f aca="false">MIN(AM19,Model!AM60)</f>
        <v>0</v>
      </c>
      <c r="AN20" s="128" t="n">
        <f aca="false">MIN(AN19,Model!AN60)</f>
        <v>0</v>
      </c>
      <c r="AO20" s="128" t="n">
        <f aca="false">MIN(AO19,Model!AO60)</f>
        <v>0</v>
      </c>
      <c r="AP20" s="128" t="n">
        <f aca="false">MIN(AP19,Model!AP60)</f>
        <v>0</v>
      </c>
      <c r="AQ20" s="128" t="n">
        <f aca="false">MIN(AQ19,Model!AQ60)</f>
        <v>0</v>
      </c>
      <c r="AR20" s="128" t="n">
        <f aca="false">MIN(AR19,Model!AR60)</f>
        <v>81683</v>
      </c>
      <c r="AS20" s="128" t="n">
        <f aca="false">MIN(AS19,Model!AS60)</f>
        <v>0</v>
      </c>
      <c r="AT20" s="128" t="n">
        <f aca="false">MIN(AT19,Model!AT60)</f>
        <v>0</v>
      </c>
      <c r="AU20" s="128" t="n">
        <f aca="false">MIN(AU19,Model!AU60)</f>
        <v>81682</v>
      </c>
      <c r="AV20" s="128" t="n">
        <f aca="false">MIN(AV19,Model!AV60)</f>
        <v>0</v>
      </c>
      <c r="AW20" s="128" t="n">
        <f aca="false">MIN(AW19,Model!AW60)</f>
        <v>0</v>
      </c>
      <c r="AX20" s="128" t="n">
        <f aca="false">MIN(AX19,Model!AX60)</f>
        <v>81682</v>
      </c>
      <c r="AY20" s="128" t="n">
        <f aca="false">MIN(AY19,Model!AY60)</f>
        <v>0</v>
      </c>
      <c r="AZ20" s="128" t="n">
        <f aca="false">MIN(AZ19,Model!AZ60)</f>
        <v>0</v>
      </c>
      <c r="BA20" s="128" t="n">
        <f aca="false">MIN(BA19,Model!BA60)</f>
        <v>81682</v>
      </c>
      <c r="BB20" s="128" t="n">
        <f aca="false">MIN(BB19,Model!BB60)</f>
        <v>0</v>
      </c>
      <c r="BC20" s="128" t="n">
        <f aca="false">MIN(BC19,Model!BC60)</f>
        <v>0</v>
      </c>
      <c r="BD20" s="128" t="n">
        <f aca="false">MIN(BD19,Model!BD60)</f>
        <v>59178</v>
      </c>
      <c r="BE20" s="128" t="n">
        <f aca="false">MIN(BE19,Model!BE60)</f>
        <v>0</v>
      </c>
      <c r="BF20" s="128" t="n">
        <f aca="false">MIN(BF19,Model!BF60)</f>
        <v>0</v>
      </c>
      <c r="BG20" s="128" t="n">
        <f aca="false">MIN(BG19,Model!BG60)</f>
        <v>59176</v>
      </c>
      <c r="BH20" s="128" t="n">
        <f aca="false">MIN(BH19,Model!BH60)</f>
        <v>0</v>
      </c>
      <c r="BI20" s="128" t="n">
        <f aca="false">MIN(BI19,Model!BI60)</f>
        <v>0</v>
      </c>
      <c r="BJ20" s="128" t="n">
        <f aca="false">MIN(BJ19,Model!BJ60)</f>
        <v>59176</v>
      </c>
      <c r="BK20" s="128" t="n">
        <f aca="false">MIN(BK19,Model!BK60)</f>
        <v>0</v>
      </c>
      <c r="BL20" s="128" t="n">
        <f aca="false">MIN(BL19,Model!BL60)</f>
        <v>0</v>
      </c>
      <c r="BM20" s="128" t="n">
        <f aca="false">MIN(BM19,Model!BM60)</f>
        <v>59176</v>
      </c>
      <c r="BN20" s="128" t="n">
        <f aca="false">MIN(BN19,Model!BN60)</f>
        <v>0</v>
      </c>
      <c r="BO20" s="128" t="n">
        <f aca="false">MIN(BO19,Model!BO60)</f>
        <v>0</v>
      </c>
      <c r="BP20" s="128" t="n">
        <f aca="false">MIN(BP19,Model!BP60)</f>
        <v>16249.48</v>
      </c>
      <c r="BQ20" s="128" t="n">
        <f aca="false">MIN(BQ19,Model!BQ60)</f>
        <v>0</v>
      </c>
      <c r="BR20" s="128" t="n">
        <f aca="false">MIN(BR19,Model!BR60)</f>
        <v>0</v>
      </c>
      <c r="BS20" s="128" t="n">
        <f aca="false">MIN(BS19,Model!BS60)</f>
        <v>0</v>
      </c>
      <c r="BT20" s="128" t="n">
        <f aca="false">MIN(BT19,Model!BT60)</f>
        <v>0</v>
      </c>
      <c r="BU20" s="128" t="n">
        <f aca="false">MIN(BU19,Model!BU60)</f>
        <v>0</v>
      </c>
      <c r="BV20" s="128" t="n">
        <f aca="false">MIN(BV19,Model!BV60)</f>
        <v>0</v>
      </c>
      <c r="BW20" s="128" t="n">
        <f aca="false">MIN(BW19,Model!BW60)</f>
        <v>0</v>
      </c>
      <c r="BX20" s="128" t="n">
        <f aca="false">MIN(BX19,Model!BX60)</f>
        <v>0</v>
      </c>
      <c r="BY20" s="128" t="n">
        <f aca="false">MIN(BY19,Model!BY60)</f>
        <v>0</v>
      </c>
      <c r="BZ20" s="128" t="n">
        <f aca="false">MIN(BZ19,Model!BZ60)</f>
        <v>0</v>
      </c>
      <c r="CA20" s="128" t="n">
        <f aca="false">MIN(CA19,Model!CA60)</f>
        <v>0</v>
      </c>
      <c r="CB20" s="128" t="n">
        <f aca="false">MIN(CB19,Model!CB60)</f>
        <v>0</v>
      </c>
      <c r="CC20" s="128" t="n">
        <f aca="false">MIN(CC19,Model!CC60)</f>
        <v>0</v>
      </c>
      <c r="CD20" s="128" t="n">
        <f aca="false">MIN(CD19,Model!CD60)</f>
        <v>0</v>
      </c>
      <c r="CE20" s="128" t="n">
        <f aca="false">MIN(CE19,Model!CE60)</f>
        <v>0</v>
      </c>
      <c r="CF20" s="128" t="n">
        <f aca="false">MIN(CF19,Model!CF60)</f>
        <v>0</v>
      </c>
      <c r="CG20" s="128" t="n">
        <f aca="false">MIN(CG19,Model!CG60)</f>
        <v>0</v>
      </c>
      <c r="CH20" s="128" t="n">
        <f aca="false">MIN(CH19,Model!CH60)</f>
        <v>0</v>
      </c>
    </row>
    <row r="21" customFormat="false" ht="15" hidden="false" customHeight="true" outlineLevel="0" collapsed="false">
      <c r="A21" s="125" t="s">
        <v>541</v>
      </c>
      <c r="C21" s="126" t="n">
        <f aca="false">MAX(0,C19-C20)</f>
        <v>579684.48</v>
      </c>
      <c r="D21" s="126" t="n">
        <f aca="false">MAX(0,D19-D20)</f>
        <v>579684.48</v>
      </c>
      <c r="E21" s="126" t="n">
        <f aca="false">MAX(0,E19-E20)</f>
        <v>579684.48</v>
      </c>
      <c r="F21" s="126" t="n">
        <f aca="false">MAX(0,F19-F20)</f>
        <v>579684.48</v>
      </c>
      <c r="G21" s="126" t="n">
        <f aca="false">MAX(0,G19-G20)</f>
        <v>579684.48</v>
      </c>
      <c r="H21" s="126" t="n">
        <f aca="false">MAX(0,H19-H20)</f>
        <v>579684.48</v>
      </c>
      <c r="I21" s="126" t="n">
        <f aca="false">MAX(0,I19-I20)</f>
        <v>579684.48</v>
      </c>
      <c r="J21" s="126" t="n">
        <f aca="false">MAX(0,J19-J20)</f>
        <v>579684.48</v>
      </c>
      <c r="K21" s="126" t="n">
        <f aca="false">MAX(0,K19-K20)</f>
        <v>579684.48</v>
      </c>
      <c r="L21" s="126" t="n">
        <f aca="false">MAX(0,L19-L20)</f>
        <v>579684.48</v>
      </c>
      <c r="M21" s="126" t="n">
        <f aca="false">MAX(0,M19-M20)</f>
        <v>579684.48</v>
      </c>
      <c r="N21" s="126" t="n">
        <f aca="false">MAX(0,N19-N20)</f>
        <v>579684.48</v>
      </c>
      <c r="O21" s="126" t="n">
        <f aca="false">MAX(0,O19-O20)</f>
        <v>579684.48</v>
      </c>
      <c r="P21" s="126" t="n">
        <f aca="false">MAX(0,P19-P20)</f>
        <v>579684.48</v>
      </c>
      <c r="Q21" s="126" t="n">
        <f aca="false">MAX(0,Q19-Q20)</f>
        <v>579684.48</v>
      </c>
      <c r="R21" s="126" t="n">
        <f aca="false">MAX(0,R19-R20)</f>
        <v>579684.48</v>
      </c>
      <c r="S21" s="126" t="n">
        <f aca="false">MAX(0,S19-S20)</f>
        <v>579684.48</v>
      </c>
      <c r="T21" s="126" t="n">
        <f aca="false">MAX(0,T19-T20)</f>
        <v>579684.48</v>
      </c>
      <c r="U21" s="126" t="n">
        <f aca="false">MAX(0,U19-U20)</f>
        <v>579684.48</v>
      </c>
      <c r="V21" s="126" t="n">
        <f aca="false">MAX(0,V19-V20)</f>
        <v>579684.48</v>
      </c>
      <c r="W21" s="126" t="n">
        <f aca="false">MAX(0,W19-W20)</f>
        <v>579684.48</v>
      </c>
      <c r="X21" s="126" t="n">
        <f aca="false">MAX(0,X19-X20)</f>
        <v>579684.48</v>
      </c>
      <c r="Y21" s="126" t="n">
        <f aca="false">MAX(0,Y19-Y20)</f>
        <v>579684.48</v>
      </c>
      <c r="Z21" s="126" t="n">
        <f aca="false">MAX(0,Z19-Z20)</f>
        <v>579684.48</v>
      </c>
      <c r="AA21" s="126" t="n">
        <f aca="false">MAX(0,AA19-AA20)</f>
        <v>579684.48</v>
      </c>
      <c r="AB21" s="126" t="n">
        <f aca="false">MAX(0,AB19-AB20)</f>
        <v>579684.48</v>
      </c>
      <c r="AC21" s="126" t="n">
        <f aca="false">MAX(0,AC19-AC20)</f>
        <v>579684.48</v>
      </c>
      <c r="AD21" s="126" t="n">
        <f aca="false">MAX(0,AD19-AD20)</f>
        <v>579684.48</v>
      </c>
      <c r="AE21" s="126" t="n">
        <f aca="false">MAX(0,AE19-AE20)</f>
        <v>579684.48</v>
      </c>
      <c r="AF21" s="126" t="n">
        <f aca="false">MAX(0,AF19-AF20)</f>
        <v>579684.48</v>
      </c>
      <c r="AG21" s="126" t="n">
        <f aca="false">MAX(0,AG19-AG20)</f>
        <v>579684.48</v>
      </c>
      <c r="AH21" s="126" t="n">
        <f aca="false">MAX(0,AH19-AH20)</f>
        <v>579684.48</v>
      </c>
      <c r="AI21" s="126" t="n">
        <f aca="false">MAX(0,AI19-AI20)</f>
        <v>579684.48</v>
      </c>
      <c r="AJ21" s="126" t="n">
        <f aca="false">MAX(0,AJ19-AJ20)</f>
        <v>579684.48</v>
      </c>
      <c r="AK21" s="126" t="n">
        <f aca="false">MAX(0,AK19-AK20)</f>
        <v>579684.48</v>
      </c>
      <c r="AL21" s="126" t="n">
        <f aca="false">MAX(0,AL19-AL20)</f>
        <v>579684.48</v>
      </c>
      <c r="AM21" s="126" t="n">
        <f aca="false">MAX(0,AM19-AM20)</f>
        <v>579684.48</v>
      </c>
      <c r="AN21" s="126" t="n">
        <f aca="false">MAX(0,AN19-AN20)</f>
        <v>579684.48</v>
      </c>
      <c r="AO21" s="126" t="n">
        <f aca="false">MAX(0,AO19-AO20)</f>
        <v>579684.48</v>
      </c>
      <c r="AP21" s="126" t="n">
        <f aca="false">MAX(0,AP19-AP20)</f>
        <v>579684.48</v>
      </c>
      <c r="AQ21" s="126" t="n">
        <f aca="false">MAX(0,AQ19-AQ20)</f>
        <v>579684.48</v>
      </c>
      <c r="AR21" s="126" t="n">
        <f aca="false">MAX(0,AR19-AR20)</f>
        <v>498001.48</v>
      </c>
      <c r="AS21" s="126" t="n">
        <f aca="false">MAX(0,AS19-AS20)</f>
        <v>498001.48</v>
      </c>
      <c r="AT21" s="126" t="n">
        <f aca="false">MAX(0,AT19-AT20)</f>
        <v>498001.48</v>
      </c>
      <c r="AU21" s="126" t="n">
        <f aca="false">MAX(0,AU19-AU20)</f>
        <v>416319.48</v>
      </c>
      <c r="AV21" s="126" t="n">
        <f aca="false">MAX(0,AV19-AV20)</f>
        <v>416319.48</v>
      </c>
      <c r="AW21" s="126" t="n">
        <f aca="false">MAX(0,AW19-AW20)</f>
        <v>416319.48</v>
      </c>
      <c r="AX21" s="126" t="n">
        <f aca="false">MAX(0,AX19-AX20)</f>
        <v>334637.48</v>
      </c>
      <c r="AY21" s="126" t="n">
        <f aca="false">MAX(0,AY19-AY20)</f>
        <v>334637.48</v>
      </c>
      <c r="AZ21" s="126" t="n">
        <f aca="false">MAX(0,AZ19-AZ20)</f>
        <v>334637.48</v>
      </c>
      <c r="BA21" s="126" t="n">
        <f aca="false">MAX(0,BA19-BA20)</f>
        <v>252955.48</v>
      </c>
      <c r="BB21" s="126" t="n">
        <f aca="false">MAX(0,BB19-BB20)</f>
        <v>252955.48</v>
      </c>
      <c r="BC21" s="126" t="n">
        <f aca="false">MAX(0,BC19-BC20)</f>
        <v>252955.48</v>
      </c>
      <c r="BD21" s="126" t="n">
        <f aca="false">MAX(0,BD19-BD20)</f>
        <v>193777.48</v>
      </c>
      <c r="BE21" s="126" t="n">
        <f aca="false">MAX(0,BE19-BE20)</f>
        <v>193777.48</v>
      </c>
      <c r="BF21" s="126" t="n">
        <f aca="false">MAX(0,BF19-BF20)</f>
        <v>193777.48</v>
      </c>
      <c r="BG21" s="126" t="n">
        <f aca="false">MAX(0,BG19-BG20)</f>
        <v>134601.48</v>
      </c>
      <c r="BH21" s="126" t="n">
        <f aca="false">MAX(0,BH19-BH20)</f>
        <v>134601.48</v>
      </c>
      <c r="BI21" s="126" t="n">
        <f aca="false">MAX(0,BI19-BI20)</f>
        <v>134601.48</v>
      </c>
      <c r="BJ21" s="126" t="n">
        <f aca="false">MAX(0,BJ19-BJ20)</f>
        <v>75425.48</v>
      </c>
      <c r="BK21" s="126" t="n">
        <f aca="false">MAX(0,BK19-BK20)</f>
        <v>75425.48</v>
      </c>
      <c r="BL21" s="126" t="n">
        <f aca="false">MAX(0,BL19-BL20)</f>
        <v>75425.48</v>
      </c>
      <c r="BM21" s="126" t="n">
        <f aca="false">MAX(0,BM19-BM20)</f>
        <v>16249.48</v>
      </c>
      <c r="BN21" s="126" t="n">
        <f aca="false">MAX(0,BN19-BN20)</f>
        <v>16249.48</v>
      </c>
      <c r="BO21" s="126" t="n">
        <f aca="false">MAX(0,BO19-BO20)</f>
        <v>16249.48</v>
      </c>
      <c r="BP21" s="126" t="n">
        <f aca="false">MAX(0,BP19-BP20)</f>
        <v>0</v>
      </c>
      <c r="BQ21" s="126" t="n">
        <f aca="false">MAX(0,BQ19-BQ20)</f>
        <v>0</v>
      </c>
      <c r="BR21" s="126" t="n">
        <f aca="false">MAX(0,BR19-BR20)</f>
        <v>0</v>
      </c>
      <c r="BS21" s="126" t="n">
        <f aca="false">MAX(0,BS19-BS20)</f>
        <v>0</v>
      </c>
      <c r="BT21" s="126" t="n">
        <f aca="false">MAX(0,BT19-BT20)</f>
        <v>0</v>
      </c>
      <c r="BU21" s="126" t="n">
        <f aca="false">MAX(0,BU19-BU20)</f>
        <v>0</v>
      </c>
      <c r="BV21" s="126" t="n">
        <f aca="false">MAX(0,BV19-BV20)</f>
        <v>0</v>
      </c>
      <c r="BW21" s="126" t="n">
        <f aca="false">MAX(0,BW19-BW20)</f>
        <v>0</v>
      </c>
      <c r="BX21" s="126" t="n">
        <f aca="false">MAX(0,BX19-BX20)</f>
        <v>0</v>
      </c>
      <c r="BY21" s="126" t="n">
        <f aca="false">MAX(0,BY19-BY20)</f>
        <v>0</v>
      </c>
      <c r="BZ21" s="126" t="n">
        <f aca="false">MAX(0,BZ19-BZ20)</f>
        <v>0</v>
      </c>
      <c r="CA21" s="126" t="n">
        <f aca="false">MAX(0,CA19-CA20)</f>
        <v>0</v>
      </c>
      <c r="CB21" s="126" t="n">
        <f aca="false">MAX(0,CB19-CB20)</f>
        <v>0</v>
      </c>
      <c r="CC21" s="126" t="n">
        <f aca="false">MAX(0,CC19-CC20)</f>
        <v>0</v>
      </c>
      <c r="CD21" s="126" t="n">
        <f aca="false">MAX(0,CD19-CD20)</f>
        <v>0</v>
      </c>
      <c r="CE21" s="126" t="n">
        <f aca="false">MAX(0,CE19-CE20)</f>
        <v>0</v>
      </c>
      <c r="CF21" s="126" t="n">
        <f aca="false">MAX(0,CF19-CF20)</f>
        <v>0</v>
      </c>
      <c r="CG21" s="126" t="n">
        <f aca="false">MAX(0,CG19-CG20)</f>
        <v>0</v>
      </c>
      <c r="CH21" s="126" t="n">
        <f aca="false">MAX(0,CH19-CH20)</f>
        <v>0</v>
      </c>
    </row>
    <row r="22" customFormat="false" ht="15" hidden="false" customHeight="true" outlineLevel="0" collapsed="false">
      <c r="A22" s="100" t="s">
        <v>542</v>
      </c>
      <c r="C22" s="107" t="n">
        <f aca="false">IF(Projects!$G$13="Yes",Projects!$B$13*Assumptions!$B$47+Assumptions!$B$54*Assumptions!$B$48,0)</f>
        <v>602667.7</v>
      </c>
      <c r="D22" s="107" t="n">
        <f aca="false">C24</f>
        <v>602667.7</v>
      </c>
      <c r="E22" s="107" t="n">
        <f aca="false">D24</f>
        <v>602667.7</v>
      </c>
      <c r="F22" s="107" t="n">
        <f aca="false">E24</f>
        <v>602667.7</v>
      </c>
      <c r="G22" s="107" t="n">
        <f aca="false">F24</f>
        <v>602667.7</v>
      </c>
      <c r="H22" s="107" t="n">
        <f aca="false">G24</f>
        <v>602667.7</v>
      </c>
      <c r="I22" s="107" t="n">
        <f aca="false">H24</f>
        <v>602667.7</v>
      </c>
      <c r="J22" s="107" t="n">
        <f aca="false">I24</f>
        <v>602667.7</v>
      </c>
      <c r="K22" s="107" t="n">
        <f aca="false">J24</f>
        <v>602667.7</v>
      </c>
      <c r="L22" s="107" t="n">
        <f aca="false">K24</f>
        <v>602667.7</v>
      </c>
      <c r="M22" s="107" t="n">
        <f aca="false">L24</f>
        <v>602667.7</v>
      </c>
      <c r="N22" s="107" t="n">
        <f aca="false">M24</f>
        <v>602667.7</v>
      </c>
      <c r="O22" s="107" t="n">
        <f aca="false">N24</f>
        <v>602667.7</v>
      </c>
      <c r="P22" s="107" t="n">
        <f aca="false">O24</f>
        <v>602667.7</v>
      </c>
      <c r="Q22" s="107" t="n">
        <f aca="false">P24</f>
        <v>602667.7</v>
      </c>
      <c r="R22" s="107" t="n">
        <f aca="false">Q24</f>
        <v>602667.7</v>
      </c>
      <c r="S22" s="107" t="n">
        <f aca="false">R24</f>
        <v>602667.7</v>
      </c>
      <c r="T22" s="107" t="n">
        <f aca="false">S24</f>
        <v>602667.7</v>
      </c>
      <c r="U22" s="107" t="n">
        <f aca="false">T24</f>
        <v>602667.7</v>
      </c>
      <c r="V22" s="107" t="n">
        <f aca="false">U24</f>
        <v>602667.7</v>
      </c>
      <c r="W22" s="107" t="n">
        <f aca="false">V24</f>
        <v>602667.7</v>
      </c>
      <c r="X22" s="107" t="n">
        <f aca="false">W24</f>
        <v>602667.7</v>
      </c>
      <c r="Y22" s="107" t="n">
        <f aca="false">X24</f>
        <v>602667.7</v>
      </c>
      <c r="Z22" s="107" t="n">
        <f aca="false">Y24</f>
        <v>602667.7</v>
      </c>
      <c r="AA22" s="107" t="n">
        <f aca="false">Z24</f>
        <v>602667.7</v>
      </c>
      <c r="AB22" s="107" t="n">
        <f aca="false">AA24</f>
        <v>602667.7</v>
      </c>
      <c r="AC22" s="107" t="n">
        <f aca="false">AB24</f>
        <v>602667.7</v>
      </c>
      <c r="AD22" s="107" t="n">
        <f aca="false">AC24</f>
        <v>602667.7</v>
      </c>
      <c r="AE22" s="107" t="n">
        <f aca="false">AD24</f>
        <v>602667.7</v>
      </c>
      <c r="AF22" s="107" t="n">
        <f aca="false">AE24</f>
        <v>602667.7</v>
      </c>
      <c r="AG22" s="107" t="n">
        <f aca="false">AF24</f>
        <v>602667.7</v>
      </c>
      <c r="AH22" s="107" t="n">
        <f aca="false">AG24</f>
        <v>602667.7</v>
      </c>
      <c r="AI22" s="107" t="n">
        <f aca="false">AH24</f>
        <v>602667.7</v>
      </c>
      <c r="AJ22" s="107" t="n">
        <f aca="false">AI24</f>
        <v>602667.7</v>
      </c>
      <c r="AK22" s="107" t="n">
        <f aca="false">AJ24</f>
        <v>602667.7</v>
      </c>
      <c r="AL22" s="107" t="n">
        <f aca="false">AK24</f>
        <v>602667.7</v>
      </c>
      <c r="AM22" s="107" t="n">
        <f aca="false">AL24</f>
        <v>602667.7</v>
      </c>
      <c r="AN22" s="107" t="n">
        <f aca="false">AM24</f>
        <v>602667.7</v>
      </c>
      <c r="AO22" s="107" t="n">
        <f aca="false">AN24</f>
        <v>602667.7</v>
      </c>
      <c r="AP22" s="107" t="n">
        <f aca="false">AO24</f>
        <v>602667.7</v>
      </c>
      <c r="AQ22" s="107" t="n">
        <f aca="false">AP24</f>
        <v>602667.7</v>
      </c>
      <c r="AR22" s="107" t="n">
        <f aca="false">AQ24</f>
        <v>602667.7</v>
      </c>
      <c r="AS22" s="107" t="n">
        <f aca="false">AR24</f>
        <v>602667.7</v>
      </c>
      <c r="AT22" s="107" t="n">
        <f aca="false">AS24</f>
        <v>602667.7</v>
      </c>
      <c r="AU22" s="107" t="n">
        <f aca="false">AT24</f>
        <v>602667.7</v>
      </c>
      <c r="AV22" s="107" t="n">
        <f aca="false">AU24</f>
        <v>602667.7</v>
      </c>
      <c r="AW22" s="107" t="n">
        <f aca="false">AV24</f>
        <v>602667.7</v>
      </c>
      <c r="AX22" s="107" t="n">
        <f aca="false">AW24</f>
        <v>602667.7</v>
      </c>
      <c r="AY22" s="107" t="n">
        <f aca="false">AX24</f>
        <v>602667.7</v>
      </c>
      <c r="AZ22" s="107" t="n">
        <f aca="false">AY24</f>
        <v>602667.7</v>
      </c>
      <c r="BA22" s="107" t="n">
        <f aca="false">AZ24</f>
        <v>602667.7</v>
      </c>
      <c r="BB22" s="107" t="n">
        <f aca="false">BA24</f>
        <v>0</v>
      </c>
      <c r="BC22" s="107" t="n">
        <f aca="false">BB24</f>
        <v>0</v>
      </c>
      <c r="BD22" s="107" t="n">
        <f aca="false">BC24</f>
        <v>0</v>
      </c>
      <c r="BE22" s="107" t="n">
        <f aca="false">BD24</f>
        <v>0</v>
      </c>
      <c r="BF22" s="107" t="n">
        <f aca="false">BE24</f>
        <v>0</v>
      </c>
      <c r="BG22" s="107" t="n">
        <f aca="false">BF24</f>
        <v>0</v>
      </c>
      <c r="BH22" s="107" t="n">
        <f aca="false">BG24</f>
        <v>0</v>
      </c>
      <c r="BI22" s="107" t="n">
        <f aca="false">BH24</f>
        <v>0</v>
      </c>
      <c r="BJ22" s="107" t="n">
        <f aca="false">BI24</f>
        <v>0</v>
      </c>
      <c r="BK22" s="107" t="n">
        <f aca="false">BJ24</f>
        <v>0</v>
      </c>
      <c r="BL22" s="107" t="n">
        <f aca="false">BK24</f>
        <v>0</v>
      </c>
      <c r="BM22" s="107" t="n">
        <f aca="false">BL24</f>
        <v>0</v>
      </c>
      <c r="BN22" s="107" t="n">
        <f aca="false">BM24</f>
        <v>0</v>
      </c>
      <c r="BO22" s="107" t="n">
        <f aca="false">BN24</f>
        <v>0</v>
      </c>
      <c r="BP22" s="107" t="n">
        <f aca="false">BO24</f>
        <v>0</v>
      </c>
      <c r="BQ22" s="107" t="n">
        <f aca="false">BP24</f>
        <v>0</v>
      </c>
      <c r="BR22" s="107" t="n">
        <f aca="false">BQ24</f>
        <v>0</v>
      </c>
      <c r="BS22" s="107" t="n">
        <f aca="false">BR24</f>
        <v>0</v>
      </c>
      <c r="BT22" s="107" t="n">
        <f aca="false">BS24</f>
        <v>0</v>
      </c>
      <c r="BU22" s="107" t="n">
        <f aca="false">BT24</f>
        <v>0</v>
      </c>
      <c r="BV22" s="107" t="n">
        <f aca="false">BU24</f>
        <v>0</v>
      </c>
      <c r="BW22" s="107" t="n">
        <f aca="false">BV24</f>
        <v>0</v>
      </c>
      <c r="BX22" s="107" t="n">
        <f aca="false">BW24</f>
        <v>0</v>
      </c>
      <c r="BY22" s="107" t="n">
        <f aca="false">BX24</f>
        <v>0</v>
      </c>
      <c r="BZ22" s="107" t="n">
        <f aca="false">BY24</f>
        <v>0</v>
      </c>
      <c r="CA22" s="107" t="n">
        <f aca="false">BZ24</f>
        <v>0</v>
      </c>
      <c r="CB22" s="107" t="n">
        <f aca="false">CA24</f>
        <v>0</v>
      </c>
      <c r="CC22" s="107" t="n">
        <f aca="false">CB24</f>
        <v>0</v>
      </c>
      <c r="CD22" s="107" t="n">
        <f aca="false">CC24</f>
        <v>0</v>
      </c>
      <c r="CE22" s="107" t="n">
        <f aca="false">CD24</f>
        <v>0</v>
      </c>
      <c r="CF22" s="107" t="n">
        <f aca="false">CE24</f>
        <v>0</v>
      </c>
      <c r="CG22" s="107" t="n">
        <f aca="false">CF24</f>
        <v>0</v>
      </c>
      <c r="CH22" s="107" t="n">
        <f aca="false">CG24</f>
        <v>0</v>
      </c>
    </row>
    <row r="23" customFormat="false" ht="15" hidden="false" customHeight="true" outlineLevel="0" collapsed="false">
      <c r="A23" s="127" t="s">
        <v>543</v>
      </c>
      <c r="C23" s="128" t="n">
        <f aca="false">MIN(C22,Model!C61)</f>
        <v>0</v>
      </c>
      <c r="D23" s="128" t="n">
        <f aca="false">MIN(D22,Model!D61)</f>
        <v>0</v>
      </c>
      <c r="E23" s="128" t="n">
        <f aca="false">MIN(E22,Model!E61)</f>
        <v>0</v>
      </c>
      <c r="F23" s="128" t="n">
        <f aca="false">MIN(F22,Model!F61)</f>
        <v>0</v>
      </c>
      <c r="G23" s="128" t="n">
        <f aca="false">MIN(G22,Model!G61)</f>
        <v>0</v>
      </c>
      <c r="H23" s="128" t="n">
        <f aca="false">MIN(H22,Model!H61)</f>
        <v>0</v>
      </c>
      <c r="I23" s="128" t="n">
        <f aca="false">MIN(I22,Model!I61)</f>
        <v>0</v>
      </c>
      <c r="J23" s="128" t="n">
        <f aca="false">MIN(J22,Model!J61)</f>
        <v>0</v>
      </c>
      <c r="K23" s="128" t="n">
        <f aca="false">MIN(K22,Model!K61)</f>
        <v>0</v>
      </c>
      <c r="L23" s="128" t="n">
        <f aca="false">MIN(L22,Model!L61)</f>
        <v>0</v>
      </c>
      <c r="M23" s="128" t="n">
        <f aca="false">MIN(M22,Model!M61)</f>
        <v>0</v>
      </c>
      <c r="N23" s="128" t="n">
        <f aca="false">MIN(N22,Model!N61)</f>
        <v>0</v>
      </c>
      <c r="O23" s="128" t="n">
        <f aca="false">MIN(O22,Model!O61)</f>
        <v>0</v>
      </c>
      <c r="P23" s="128" t="n">
        <f aca="false">MIN(P22,Model!P61)</f>
        <v>0</v>
      </c>
      <c r="Q23" s="128" t="n">
        <f aca="false">MIN(Q22,Model!Q61)</f>
        <v>0</v>
      </c>
      <c r="R23" s="128" t="n">
        <f aca="false">MIN(R22,Model!R61)</f>
        <v>0</v>
      </c>
      <c r="S23" s="128" t="n">
        <f aca="false">MIN(S22,Model!S61)</f>
        <v>0</v>
      </c>
      <c r="T23" s="128" t="n">
        <f aca="false">MIN(T22,Model!T61)</f>
        <v>0</v>
      </c>
      <c r="U23" s="128" t="n">
        <f aca="false">MIN(U22,Model!U61)</f>
        <v>0</v>
      </c>
      <c r="V23" s="128" t="n">
        <f aca="false">MIN(V22,Model!V61)</f>
        <v>0</v>
      </c>
      <c r="W23" s="128" t="n">
        <f aca="false">MIN(W22,Model!W61)</f>
        <v>0</v>
      </c>
      <c r="X23" s="128" t="n">
        <f aca="false">MIN(X22,Model!X61)</f>
        <v>0</v>
      </c>
      <c r="Y23" s="128" t="n">
        <f aca="false">MIN(Y22,Model!Y61)</f>
        <v>0</v>
      </c>
      <c r="Z23" s="128" t="n">
        <f aca="false">MIN(Z22,Model!Z61)</f>
        <v>0</v>
      </c>
      <c r="AA23" s="128" t="n">
        <f aca="false">MIN(AA22,Model!AA61)</f>
        <v>0</v>
      </c>
      <c r="AB23" s="128" t="n">
        <f aca="false">MIN(AB22,Model!AB61)</f>
        <v>0</v>
      </c>
      <c r="AC23" s="128" t="n">
        <f aca="false">MIN(AC22,Model!AC61)</f>
        <v>0</v>
      </c>
      <c r="AD23" s="128" t="n">
        <f aca="false">MIN(AD22,Model!AD61)</f>
        <v>0</v>
      </c>
      <c r="AE23" s="128" t="n">
        <f aca="false">MIN(AE22,Model!AE61)</f>
        <v>0</v>
      </c>
      <c r="AF23" s="128" t="n">
        <f aca="false">MIN(AF22,Model!AF61)</f>
        <v>0</v>
      </c>
      <c r="AG23" s="128" t="n">
        <f aca="false">MIN(AG22,Model!AG61)</f>
        <v>0</v>
      </c>
      <c r="AH23" s="128" t="n">
        <f aca="false">MIN(AH22,Model!AH61)</f>
        <v>0</v>
      </c>
      <c r="AI23" s="128" t="n">
        <f aca="false">MIN(AI22,Model!AI61)</f>
        <v>0</v>
      </c>
      <c r="AJ23" s="128" t="n">
        <f aca="false">MIN(AJ22,Model!AJ61)</f>
        <v>0</v>
      </c>
      <c r="AK23" s="128" t="n">
        <f aca="false">MIN(AK22,Model!AK61)</f>
        <v>0</v>
      </c>
      <c r="AL23" s="128" t="n">
        <f aca="false">MIN(AL22,Model!AL61)</f>
        <v>0</v>
      </c>
      <c r="AM23" s="128" t="n">
        <f aca="false">MIN(AM22,Model!AM61)</f>
        <v>0</v>
      </c>
      <c r="AN23" s="128" t="n">
        <f aca="false">MIN(AN22,Model!AN61)</f>
        <v>0</v>
      </c>
      <c r="AO23" s="128" t="n">
        <f aca="false">MIN(AO22,Model!AO61)</f>
        <v>0</v>
      </c>
      <c r="AP23" s="128" t="n">
        <f aca="false">MIN(AP22,Model!AP61)</f>
        <v>0</v>
      </c>
      <c r="AQ23" s="128" t="n">
        <f aca="false">MIN(AQ22,Model!AQ61)</f>
        <v>0</v>
      </c>
      <c r="AR23" s="128" t="n">
        <f aca="false">MIN(AR22,Model!AR61)</f>
        <v>0</v>
      </c>
      <c r="AS23" s="128" t="n">
        <f aca="false">MIN(AS22,Model!AS61)</f>
        <v>0</v>
      </c>
      <c r="AT23" s="128" t="n">
        <f aca="false">MIN(AT22,Model!AT61)</f>
        <v>0</v>
      </c>
      <c r="AU23" s="128" t="n">
        <f aca="false">MIN(AU22,Model!AU61)</f>
        <v>0</v>
      </c>
      <c r="AV23" s="128" t="n">
        <f aca="false">MIN(AV22,Model!AV61)</f>
        <v>0</v>
      </c>
      <c r="AW23" s="128" t="n">
        <f aca="false">MIN(AW22,Model!AW61)</f>
        <v>0</v>
      </c>
      <c r="AX23" s="128" t="n">
        <f aca="false">MIN(AX22,Model!AX61)</f>
        <v>0</v>
      </c>
      <c r="AY23" s="128" t="n">
        <f aca="false">MIN(AY22,Model!AY61)</f>
        <v>0</v>
      </c>
      <c r="AZ23" s="128" t="n">
        <f aca="false">MIN(AZ22,Model!AZ61)</f>
        <v>0</v>
      </c>
      <c r="BA23" s="128" t="n">
        <f aca="false">MIN(BA22,Model!BA61)</f>
        <v>602667.7</v>
      </c>
      <c r="BB23" s="128" t="n">
        <f aca="false">MIN(BB22,Model!BB61)</f>
        <v>0</v>
      </c>
      <c r="BC23" s="128" t="n">
        <f aca="false">MIN(BC22,Model!BC61)</f>
        <v>0</v>
      </c>
      <c r="BD23" s="128" t="n">
        <f aca="false">MIN(BD22,Model!BD61)</f>
        <v>0</v>
      </c>
      <c r="BE23" s="128" t="n">
        <f aca="false">MIN(BE22,Model!BE61)</f>
        <v>0</v>
      </c>
      <c r="BF23" s="128" t="n">
        <f aca="false">MIN(BF22,Model!BF61)</f>
        <v>0</v>
      </c>
      <c r="BG23" s="128" t="n">
        <f aca="false">MIN(BG22,Model!BG61)</f>
        <v>0</v>
      </c>
      <c r="BH23" s="128" t="n">
        <f aca="false">MIN(BH22,Model!BH61)</f>
        <v>0</v>
      </c>
      <c r="BI23" s="128" t="n">
        <f aca="false">MIN(BI22,Model!BI61)</f>
        <v>0</v>
      </c>
      <c r="BJ23" s="128" t="n">
        <f aca="false">MIN(BJ22,Model!BJ61)</f>
        <v>0</v>
      </c>
      <c r="BK23" s="128" t="n">
        <f aca="false">MIN(BK22,Model!BK61)</f>
        <v>0</v>
      </c>
      <c r="BL23" s="128" t="n">
        <f aca="false">MIN(BL22,Model!BL61)</f>
        <v>0</v>
      </c>
      <c r="BM23" s="128" t="n">
        <f aca="false">MIN(BM22,Model!BM61)</f>
        <v>0</v>
      </c>
      <c r="BN23" s="128" t="n">
        <f aca="false">MIN(BN22,Model!BN61)</f>
        <v>0</v>
      </c>
      <c r="BO23" s="128" t="n">
        <f aca="false">MIN(BO22,Model!BO61)</f>
        <v>0</v>
      </c>
      <c r="BP23" s="128" t="n">
        <f aca="false">MIN(BP22,Model!BP61)</f>
        <v>0</v>
      </c>
      <c r="BQ23" s="128" t="n">
        <f aca="false">MIN(BQ22,Model!BQ61)</f>
        <v>0</v>
      </c>
      <c r="BR23" s="128" t="n">
        <f aca="false">MIN(BR22,Model!BR61)</f>
        <v>0</v>
      </c>
      <c r="BS23" s="128" t="n">
        <f aca="false">MIN(BS22,Model!BS61)</f>
        <v>0</v>
      </c>
      <c r="BT23" s="128" t="n">
        <f aca="false">MIN(BT22,Model!BT61)</f>
        <v>0</v>
      </c>
      <c r="BU23" s="128" t="n">
        <f aca="false">MIN(BU22,Model!BU61)</f>
        <v>0</v>
      </c>
      <c r="BV23" s="128" t="n">
        <f aca="false">MIN(BV22,Model!BV61)</f>
        <v>0</v>
      </c>
      <c r="BW23" s="128" t="n">
        <f aca="false">MIN(BW22,Model!BW61)</f>
        <v>0</v>
      </c>
      <c r="BX23" s="128" t="n">
        <f aca="false">MIN(BX22,Model!BX61)</f>
        <v>0</v>
      </c>
      <c r="BY23" s="128" t="n">
        <f aca="false">MIN(BY22,Model!BY61)</f>
        <v>0</v>
      </c>
      <c r="BZ23" s="128" t="n">
        <f aca="false">MIN(BZ22,Model!BZ61)</f>
        <v>0</v>
      </c>
      <c r="CA23" s="128" t="n">
        <f aca="false">MIN(CA22,Model!CA61)</f>
        <v>0</v>
      </c>
      <c r="CB23" s="128" t="n">
        <f aca="false">MIN(CB22,Model!CB61)</f>
        <v>0</v>
      </c>
      <c r="CC23" s="128" t="n">
        <f aca="false">MIN(CC22,Model!CC61)</f>
        <v>0</v>
      </c>
      <c r="CD23" s="128" t="n">
        <f aca="false">MIN(CD22,Model!CD61)</f>
        <v>0</v>
      </c>
      <c r="CE23" s="128" t="n">
        <f aca="false">MIN(CE22,Model!CE61)</f>
        <v>0</v>
      </c>
      <c r="CF23" s="128" t="n">
        <f aca="false">MIN(CF22,Model!CF61)</f>
        <v>0</v>
      </c>
      <c r="CG23" s="128" t="n">
        <f aca="false">MIN(CG22,Model!CG61)</f>
        <v>0</v>
      </c>
      <c r="CH23" s="128" t="n">
        <f aca="false">MIN(CH22,Model!CH61)</f>
        <v>0</v>
      </c>
    </row>
    <row r="24" customFormat="false" ht="15" hidden="false" customHeight="true" outlineLevel="0" collapsed="false">
      <c r="A24" s="125" t="s">
        <v>544</v>
      </c>
      <c r="C24" s="126" t="n">
        <f aca="false">MAX(0,C22-C23)</f>
        <v>602667.7</v>
      </c>
      <c r="D24" s="126" t="n">
        <f aca="false">MAX(0,D22-D23)</f>
        <v>602667.7</v>
      </c>
      <c r="E24" s="126" t="n">
        <f aca="false">MAX(0,E22-E23)</f>
        <v>602667.7</v>
      </c>
      <c r="F24" s="126" t="n">
        <f aca="false">MAX(0,F22-F23)</f>
        <v>602667.7</v>
      </c>
      <c r="G24" s="126" t="n">
        <f aca="false">MAX(0,G22-G23)</f>
        <v>602667.7</v>
      </c>
      <c r="H24" s="126" t="n">
        <f aca="false">MAX(0,H22-H23)</f>
        <v>602667.7</v>
      </c>
      <c r="I24" s="126" t="n">
        <f aca="false">MAX(0,I22-I23)</f>
        <v>602667.7</v>
      </c>
      <c r="J24" s="126" t="n">
        <f aca="false">MAX(0,J22-J23)</f>
        <v>602667.7</v>
      </c>
      <c r="K24" s="126" t="n">
        <f aca="false">MAX(0,K22-K23)</f>
        <v>602667.7</v>
      </c>
      <c r="L24" s="126" t="n">
        <f aca="false">MAX(0,L22-L23)</f>
        <v>602667.7</v>
      </c>
      <c r="M24" s="126" t="n">
        <f aca="false">MAX(0,M22-M23)</f>
        <v>602667.7</v>
      </c>
      <c r="N24" s="126" t="n">
        <f aca="false">MAX(0,N22-N23)</f>
        <v>602667.7</v>
      </c>
      <c r="O24" s="126" t="n">
        <f aca="false">MAX(0,O22-O23)</f>
        <v>602667.7</v>
      </c>
      <c r="P24" s="126" t="n">
        <f aca="false">MAX(0,P22-P23)</f>
        <v>602667.7</v>
      </c>
      <c r="Q24" s="126" t="n">
        <f aca="false">MAX(0,Q22-Q23)</f>
        <v>602667.7</v>
      </c>
      <c r="R24" s="126" t="n">
        <f aca="false">MAX(0,R22-R23)</f>
        <v>602667.7</v>
      </c>
      <c r="S24" s="126" t="n">
        <f aca="false">MAX(0,S22-S23)</f>
        <v>602667.7</v>
      </c>
      <c r="T24" s="126" t="n">
        <f aca="false">MAX(0,T22-T23)</f>
        <v>602667.7</v>
      </c>
      <c r="U24" s="126" t="n">
        <f aca="false">MAX(0,U22-U23)</f>
        <v>602667.7</v>
      </c>
      <c r="V24" s="126" t="n">
        <f aca="false">MAX(0,V22-V23)</f>
        <v>602667.7</v>
      </c>
      <c r="W24" s="126" t="n">
        <f aca="false">MAX(0,W22-W23)</f>
        <v>602667.7</v>
      </c>
      <c r="X24" s="126" t="n">
        <f aca="false">MAX(0,X22-X23)</f>
        <v>602667.7</v>
      </c>
      <c r="Y24" s="126" t="n">
        <f aca="false">MAX(0,Y22-Y23)</f>
        <v>602667.7</v>
      </c>
      <c r="Z24" s="126" t="n">
        <f aca="false">MAX(0,Z22-Z23)</f>
        <v>602667.7</v>
      </c>
      <c r="AA24" s="126" t="n">
        <f aca="false">MAX(0,AA22-AA23)</f>
        <v>602667.7</v>
      </c>
      <c r="AB24" s="126" t="n">
        <f aca="false">MAX(0,AB22-AB23)</f>
        <v>602667.7</v>
      </c>
      <c r="AC24" s="126" t="n">
        <f aca="false">MAX(0,AC22-AC23)</f>
        <v>602667.7</v>
      </c>
      <c r="AD24" s="126" t="n">
        <f aca="false">MAX(0,AD22-AD23)</f>
        <v>602667.7</v>
      </c>
      <c r="AE24" s="126" t="n">
        <f aca="false">MAX(0,AE22-AE23)</f>
        <v>602667.7</v>
      </c>
      <c r="AF24" s="126" t="n">
        <f aca="false">MAX(0,AF22-AF23)</f>
        <v>602667.7</v>
      </c>
      <c r="AG24" s="126" t="n">
        <f aca="false">MAX(0,AG22-AG23)</f>
        <v>602667.7</v>
      </c>
      <c r="AH24" s="126" t="n">
        <f aca="false">MAX(0,AH22-AH23)</f>
        <v>602667.7</v>
      </c>
      <c r="AI24" s="126" t="n">
        <f aca="false">MAX(0,AI22-AI23)</f>
        <v>602667.7</v>
      </c>
      <c r="AJ24" s="126" t="n">
        <f aca="false">MAX(0,AJ22-AJ23)</f>
        <v>602667.7</v>
      </c>
      <c r="AK24" s="126" t="n">
        <f aca="false">MAX(0,AK22-AK23)</f>
        <v>602667.7</v>
      </c>
      <c r="AL24" s="126" t="n">
        <f aca="false">MAX(0,AL22-AL23)</f>
        <v>602667.7</v>
      </c>
      <c r="AM24" s="126" t="n">
        <f aca="false">MAX(0,AM22-AM23)</f>
        <v>602667.7</v>
      </c>
      <c r="AN24" s="126" t="n">
        <f aca="false">MAX(0,AN22-AN23)</f>
        <v>602667.7</v>
      </c>
      <c r="AO24" s="126" t="n">
        <f aca="false">MAX(0,AO22-AO23)</f>
        <v>602667.7</v>
      </c>
      <c r="AP24" s="126" t="n">
        <f aca="false">MAX(0,AP22-AP23)</f>
        <v>602667.7</v>
      </c>
      <c r="AQ24" s="126" t="n">
        <f aca="false">MAX(0,AQ22-AQ23)</f>
        <v>602667.7</v>
      </c>
      <c r="AR24" s="126" t="n">
        <f aca="false">MAX(0,AR22-AR23)</f>
        <v>602667.7</v>
      </c>
      <c r="AS24" s="126" t="n">
        <f aca="false">MAX(0,AS22-AS23)</f>
        <v>602667.7</v>
      </c>
      <c r="AT24" s="126" t="n">
        <f aca="false">MAX(0,AT22-AT23)</f>
        <v>602667.7</v>
      </c>
      <c r="AU24" s="126" t="n">
        <f aca="false">MAX(0,AU22-AU23)</f>
        <v>602667.7</v>
      </c>
      <c r="AV24" s="126" t="n">
        <f aca="false">MAX(0,AV22-AV23)</f>
        <v>602667.7</v>
      </c>
      <c r="AW24" s="126" t="n">
        <f aca="false">MAX(0,AW22-AW23)</f>
        <v>602667.7</v>
      </c>
      <c r="AX24" s="126" t="n">
        <f aca="false">MAX(0,AX22-AX23)</f>
        <v>602667.7</v>
      </c>
      <c r="AY24" s="126" t="n">
        <f aca="false">MAX(0,AY22-AY23)</f>
        <v>602667.7</v>
      </c>
      <c r="AZ24" s="126" t="n">
        <f aca="false">MAX(0,AZ22-AZ23)</f>
        <v>602667.7</v>
      </c>
      <c r="BA24" s="126" t="n">
        <f aca="false">MAX(0,BA22-BA23)</f>
        <v>0</v>
      </c>
      <c r="BB24" s="126" t="n">
        <f aca="false">MAX(0,BB22-BB23)</f>
        <v>0</v>
      </c>
      <c r="BC24" s="126" t="n">
        <f aca="false">MAX(0,BC22-BC23)</f>
        <v>0</v>
      </c>
      <c r="BD24" s="126" t="n">
        <f aca="false">MAX(0,BD22-BD23)</f>
        <v>0</v>
      </c>
      <c r="BE24" s="126" t="n">
        <f aca="false">MAX(0,BE22-BE23)</f>
        <v>0</v>
      </c>
      <c r="BF24" s="126" t="n">
        <f aca="false">MAX(0,BF22-BF23)</f>
        <v>0</v>
      </c>
      <c r="BG24" s="126" t="n">
        <f aca="false">MAX(0,BG22-BG23)</f>
        <v>0</v>
      </c>
      <c r="BH24" s="126" t="n">
        <f aca="false">MAX(0,BH22-BH23)</f>
        <v>0</v>
      </c>
      <c r="BI24" s="126" t="n">
        <f aca="false">MAX(0,BI22-BI23)</f>
        <v>0</v>
      </c>
      <c r="BJ24" s="126" t="n">
        <f aca="false">MAX(0,BJ22-BJ23)</f>
        <v>0</v>
      </c>
      <c r="BK24" s="126" t="n">
        <f aca="false">MAX(0,BK22-BK23)</f>
        <v>0</v>
      </c>
      <c r="BL24" s="126" t="n">
        <f aca="false">MAX(0,BL22-BL23)</f>
        <v>0</v>
      </c>
      <c r="BM24" s="126" t="n">
        <f aca="false">MAX(0,BM22-BM23)</f>
        <v>0</v>
      </c>
      <c r="BN24" s="126" t="n">
        <f aca="false">MAX(0,BN22-BN23)</f>
        <v>0</v>
      </c>
      <c r="BO24" s="126" t="n">
        <f aca="false">MAX(0,BO22-BO23)</f>
        <v>0</v>
      </c>
      <c r="BP24" s="126" t="n">
        <f aca="false">MAX(0,BP22-BP23)</f>
        <v>0</v>
      </c>
      <c r="BQ24" s="126" t="n">
        <f aca="false">MAX(0,BQ22-BQ23)</f>
        <v>0</v>
      </c>
      <c r="BR24" s="126" t="n">
        <f aca="false">MAX(0,BR22-BR23)</f>
        <v>0</v>
      </c>
      <c r="BS24" s="126" t="n">
        <f aca="false">MAX(0,BS22-BS23)</f>
        <v>0</v>
      </c>
      <c r="BT24" s="126" t="n">
        <f aca="false">MAX(0,BT22-BT23)</f>
        <v>0</v>
      </c>
      <c r="BU24" s="126" t="n">
        <f aca="false">MAX(0,BU22-BU23)</f>
        <v>0</v>
      </c>
      <c r="BV24" s="126" t="n">
        <f aca="false">MAX(0,BV22-BV23)</f>
        <v>0</v>
      </c>
      <c r="BW24" s="126" t="n">
        <f aca="false">MAX(0,BW22-BW23)</f>
        <v>0</v>
      </c>
      <c r="BX24" s="126" t="n">
        <f aca="false">MAX(0,BX22-BX23)</f>
        <v>0</v>
      </c>
      <c r="BY24" s="126" t="n">
        <f aca="false">MAX(0,BY22-BY23)</f>
        <v>0</v>
      </c>
      <c r="BZ24" s="126" t="n">
        <f aca="false">MAX(0,BZ22-BZ23)</f>
        <v>0</v>
      </c>
      <c r="CA24" s="126" t="n">
        <f aca="false">MAX(0,CA22-CA23)</f>
        <v>0</v>
      </c>
      <c r="CB24" s="126" t="n">
        <f aca="false">MAX(0,CB22-CB23)</f>
        <v>0</v>
      </c>
      <c r="CC24" s="126" t="n">
        <f aca="false">MAX(0,CC22-CC23)</f>
        <v>0</v>
      </c>
      <c r="CD24" s="126" t="n">
        <f aca="false">MAX(0,CD22-CD23)</f>
        <v>0</v>
      </c>
      <c r="CE24" s="126" t="n">
        <f aca="false">MAX(0,CE22-CE23)</f>
        <v>0</v>
      </c>
      <c r="CF24" s="126" t="n">
        <f aca="false">MAX(0,CF22-CF23)</f>
        <v>0</v>
      </c>
      <c r="CG24" s="126" t="n">
        <f aca="false">MAX(0,CG22-CG23)</f>
        <v>0</v>
      </c>
      <c r="CH24" s="126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29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29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1" t="s">
        <v>549</v>
      </c>
      <c r="B30" s="111"/>
      <c r="C30" s="111"/>
      <c r="D30" s="111"/>
      <c r="E30" s="111"/>
      <c r="F30" s="111"/>
      <c r="G30" s="111"/>
      <c r="H30" s="111"/>
      <c r="I30" s="111"/>
    </row>
    <row r="31" customFormat="false" ht="15" hidden="false" customHeight="true" outlineLevel="0" collapsed="false">
      <c r="A31" s="130" t="s">
        <v>550</v>
      </c>
    </row>
    <row r="32" customFormat="false" ht="15" hidden="false" customHeight="true" outlineLevel="0" collapsed="false">
      <c r="A32" s="131" t="s">
        <v>49</v>
      </c>
      <c r="B32" s="64" t="n">
        <f aca="false">LOOKUP(2,1/(Model!C60:CH60&gt;0),Model!C60:CH60)</f>
        <v>76499</v>
      </c>
    </row>
    <row r="33" customFormat="false" ht="15" hidden="false" customHeight="true" outlineLevel="0" collapsed="false">
      <c r="A33" s="131" t="s">
        <v>57</v>
      </c>
      <c r="B33" s="64" t="n">
        <f aca="false">LOOKUP(2,1/(Model!C62:CH62&gt;0),Model!C62:CH62)</f>
        <v>73155</v>
      </c>
    </row>
    <row r="34" customFormat="false" ht="15" hidden="false" customHeight="true" outlineLevel="0" collapsed="false">
      <c r="A34" s="131" t="s">
        <v>54</v>
      </c>
      <c r="B34" s="64" t="n">
        <f aca="false">LOOKUP(2,1/(Model!C61:CH61&gt;0),Model!C61:CH61)</f>
        <v>81362</v>
      </c>
    </row>
    <row r="36" customFormat="false" ht="15" hidden="false" customHeight="true" outlineLevel="0" collapsed="false">
      <c r="A36" s="130" t="s">
        <v>551</v>
      </c>
    </row>
    <row r="37" customFormat="false" ht="15" hidden="false" customHeight="true" outlineLevel="0" collapsed="false">
      <c r="A37" s="131" t="s">
        <v>49</v>
      </c>
      <c r="B37" s="109" t="n">
        <f aca="false">SUMPRODUCT((Model!C60:CH60&gt;0)*1)</f>
        <v>15</v>
      </c>
    </row>
    <row r="38" customFormat="false" ht="15" hidden="false" customHeight="true" outlineLevel="0" collapsed="false">
      <c r="A38" s="131" t="s">
        <v>57</v>
      </c>
      <c r="B38" s="109" t="n">
        <f aca="false">SUMPRODUCT((Model!C62:CH62&gt;0)*1)</f>
        <v>4</v>
      </c>
    </row>
    <row r="39" customFormat="false" ht="15" hidden="false" customHeight="true" outlineLevel="0" collapsed="false">
      <c r="A39" s="131" t="s">
        <v>54</v>
      </c>
      <c r="B39" s="109" t="n">
        <f aca="false">SUMPRODUCT((Model!C61:CH61&gt;0)*1)</f>
        <v>12</v>
      </c>
    </row>
    <row r="41" customFormat="false" ht="15" hidden="false" customHeight="true" outlineLevel="0" collapsed="false">
      <c r="A41" s="130" t="s">
        <v>552</v>
      </c>
    </row>
    <row r="42" customFormat="false" ht="15" hidden="false" customHeight="true" outlineLevel="0" collapsed="false">
      <c r="A42" s="131" t="s">
        <v>49</v>
      </c>
      <c r="B42" s="109" t="n">
        <f aca="false">40-B37</f>
        <v>25</v>
      </c>
    </row>
    <row r="43" customFormat="false" ht="15" hidden="false" customHeight="true" outlineLevel="0" collapsed="false">
      <c r="A43" s="131" t="s">
        <v>57</v>
      </c>
      <c r="B43" s="109" t="n">
        <f aca="false">40-B38</f>
        <v>36</v>
      </c>
    </row>
    <row r="44" customFormat="false" ht="15" hidden="false" customHeight="true" outlineLevel="0" collapsed="false">
      <c r="A44" s="131" t="s">
        <v>54</v>
      </c>
      <c r="B44" s="109" t="n">
        <f aca="false">40-B39</f>
        <v>28</v>
      </c>
    </row>
    <row r="46" customFormat="false" ht="15" hidden="false" customHeight="true" outlineLevel="0" collapsed="false">
      <c r="A46" s="130" t="s">
        <v>553</v>
      </c>
    </row>
    <row r="47" customFormat="false" ht="15" hidden="false" customHeight="true" outlineLevel="0" collapsed="false">
      <c r="A47" s="131" t="s">
        <v>49</v>
      </c>
      <c r="B47" s="64" t="n">
        <f aca="false">B32*B42</f>
        <v>1912475</v>
      </c>
    </row>
    <row r="48" customFormat="false" ht="15" hidden="false" customHeight="true" outlineLevel="0" collapsed="false">
      <c r="A48" s="131" t="s">
        <v>57</v>
      </c>
      <c r="B48" s="64" t="n">
        <f aca="false">B33*B43</f>
        <v>2633580</v>
      </c>
    </row>
    <row r="49" customFormat="false" ht="15" hidden="false" customHeight="true" outlineLevel="0" collapsed="false">
      <c r="A49" s="131" t="s">
        <v>54</v>
      </c>
      <c r="B49" s="64" t="n">
        <f aca="false">B34*B44</f>
        <v>2278136</v>
      </c>
    </row>
    <row r="51" customFormat="false" ht="15" hidden="false" customHeight="true" outlineLevel="0" collapsed="false">
      <c r="A51" s="111" t="s">
        <v>554</v>
      </c>
      <c r="B51" s="111"/>
      <c r="C51" s="111"/>
      <c r="D51" s="111"/>
      <c r="E51" s="111"/>
      <c r="F51" s="111"/>
      <c r="G51" s="111"/>
    </row>
    <row r="52" customFormat="false" ht="15" hidden="false" customHeight="true" outlineLevel="0" collapsed="false">
      <c r="A52" s="130" t="s">
        <v>555</v>
      </c>
      <c r="B52" s="130" t="s">
        <v>556</v>
      </c>
      <c r="C52" s="130" t="s">
        <v>557</v>
      </c>
      <c r="D52" s="130" t="s">
        <v>558</v>
      </c>
      <c r="E52" s="130" t="s">
        <v>559</v>
      </c>
      <c r="F52" s="130" t="s">
        <v>560</v>
      </c>
      <c r="G52" s="130" t="s">
        <v>561</v>
      </c>
    </row>
    <row r="53" customFormat="false" ht="15" hidden="false" customHeight="true" outlineLevel="0" collapsed="false">
      <c r="A53" s="109" t="n">
        <v>1</v>
      </c>
      <c r="B53" s="64" t="n">
        <f aca="false">$B$33</f>
        <v>73155</v>
      </c>
      <c r="C53" s="64" t="n">
        <f aca="false">CH27</f>
        <v>270925.32</v>
      </c>
      <c r="D53" s="64" t="n">
        <f aca="false">MIN(C53,B53)</f>
        <v>73155</v>
      </c>
      <c r="E53" s="64" t="n">
        <f aca="false">Model!CH125</f>
        <v>570021.547005172</v>
      </c>
      <c r="F53" s="64" t="n">
        <f aca="false">E53*Assumptions!$B$59</f>
        <v>21375.8080126939</v>
      </c>
      <c r="G53" s="64" t="n">
        <f aca="false">MIN(E53+F53,MAX(0,B53-D53))</f>
        <v>0</v>
      </c>
    </row>
    <row r="54" customFormat="false" ht="15" hidden="false" customHeight="true" outlineLevel="0" collapsed="false">
      <c r="A54" s="109" t="n">
        <v>2</v>
      </c>
      <c r="B54" s="64" t="n">
        <f aca="false">$B$33</f>
        <v>73155</v>
      </c>
      <c r="C54" s="64" t="n">
        <f aca="false">MAX(0,C53-D53)</f>
        <v>197770.32</v>
      </c>
      <c r="D54" s="64" t="n">
        <f aca="false">MIN(C54,B54)</f>
        <v>73155</v>
      </c>
      <c r="E54" s="64" t="n">
        <f aca="false">MAX(0,E53+F53-G53)</f>
        <v>591397.355017866</v>
      </c>
      <c r="F54" s="64" t="n">
        <f aca="false">E54*Assumptions!$B$59</f>
        <v>22177.40081317</v>
      </c>
      <c r="G54" s="64" t="n">
        <f aca="false">MIN(E54+F54,MAX(0,B54-D54))</f>
        <v>0</v>
      </c>
    </row>
    <row r="55" customFormat="false" ht="15" hidden="false" customHeight="true" outlineLevel="0" collapsed="false">
      <c r="A55" s="109" t="n">
        <v>3</v>
      </c>
      <c r="B55" s="64" t="n">
        <f aca="false">$B$33</f>
        <v>73155</v>
      </c>
      <c r="C55" s="64" t="n">
        <f aca="false">MAX(0,C54-D54)</f>
        <v>124615.32</v>
      </c>
      <c r="D55" s="64" t="n">
        <f aca="false">MIN(C55,B55)</f>
        <v>73155</v>
      </c>
      <c r="E55" s="64" t="n">
        <f aca="false">MAX(0,E54+F54-G54)</f>
        <v>613574.755831036</v>
      </c>
      <c r="F55" s="64" t="n">
        <f aca="false">E55*Assumptions!$B$59</f>
        <v>23009.0533436638</v>
      </c>
      <c r="G55" s="64" t="n">
        <f aca="false">MIN(E55+F55,MAX(0,B55-D55))</f>
        <v>0</v>
      </c>
    </row>
    <row r="56" customFormat="false" ht="15" hidden="false" customHeight="true" outlineLevel="0" collapsed="false">
      <c r="A56" s="109" t="n">
        <v>4</v>
      </c>
      <c r="B56" s="64" t="n">
        <f aca="false">$B$33</f>
        <v>73155</v>
      </c>
      <c r="C56" s="64" t="n">
        <f aca="false">MAX(0,C55-D55)</f>
        <v>51460.3200000001</v>
      </c>
      <c r="D56" s="64" t="n">
        <f aca="false">MIN(C56,B56)</f>
        <v>51460.3200000001</v>
      </c>
      <c r="E56" s="64" t="n">
        <f aca="false">MAX(0,E55+F55-G55)</f>
        <v>636583.8091747</v>
      </c>
      <c r="F56" s="64" t="n">
        <f aca="false">E56*Assumptions!$B$59</f>
        <v>23871.8928440512</v>
      </c>
      <c r="G56" s="64" t="n">
        <f aca="false">MIN(E56+F56,MAX(0,B56-D56))</f>
        <v>21694.6799999999</v>
      </c>
    </row>
    <row r="57" customFormat="false" ht="15" hidden="false" customHeight="true" outlineLevel="0" collapsed="false">
      <c r="A57" s="109" t="n">
        <v>5</v>
      </c>
      <c r="B57" s="64" t="n">
        <f aca="false">$B$33</f>
        <v>73155</v>
      </c>
      <c r="C57" s="64" t="n">
        <f aca="false">MAX(0,C56-D56)</f>
        <v>0</v>
      </c>
      <c r="D57" s="64" t="n">
        <f aca="false">MIN(C57,B57)</f>
        <v>0</v>
      </c>
      <c r="E57" s="64" t="n">
        <f aca="false">MAX(0,E56+F56-G56)</f>
        <v>638761.022018751</v>
      </c>
      <c r="F57" s="64" t="n">
        <f aca="false">E57*Assumptions!$B$59</f>
        <v>23953.5383257032</v>
      </c>
      <c r="G57" s="64" t="n">
        <f aca="false">MIN(E57+F57,MAX(0,B57-D57))</f>
        <v>73155</v>
      </c>
    </row>
    <row r="58" customFormat="false" ht="15" hidden="false" customHeight="true" outlineLevel="0" collapsed="false">
      <c r="A58" s="109" t="n">
        <v>6</v>
      </c>
      <c r="B58" s="64" t="n">
        <f aca="false">$B$33</f>
        <v>73155</v>
      </c>
      <c r="C58" s="64" t="n">
        <f aca="false">MAX(0,C57-D57)</f>
        <v>0</v>
      </c>
      <c r="D58" s="64" t="n">
        <f aca="false">MIN(C58,B58)</f>
        <v>0</v>
      </c>
      <c r="E58" s="64" t="n">
        <f aca="false">MAX(0,E57+F57-G57)</f>
        <v>589559.560344454</v>
      </c>
      <c r="F58" s="64" t="n">
        <f aca="false">E58*Assumptions!$B$59</f>
        <v>22108.483512917</v>
      </c>
      <c r="G58" s="64" t="n">
        <f aca="false">MIN(E58+F58,MAX(0,B58-D58))</f>
        <v>73155</v>
      </c>
    </row>
    <row r="59" customFormat="false" ht="15" hidden="false" customHeight="true" outlineLevel="0" collapsed="false">
      <c r="A59" s="109" t="n">
        <v>7</v>
      </c>
      <c r="B59" s="64" t="n">
        <f aca="false">$B$33</f>
        <v>73155</v>
      </c>
      <c r="C59" s="64" t="n">
        <f aca="false">MAX(0,C58-D58)</f>
        <v>0</v>
      </c>
      <c r="D59" s="64" t="n">
        <f aca="false">MIN(C59,B59)</f>
        <v>0</v>
      </c>
      <c r="E59" s="64" t="n">
        <f aca="false">MAX(0,E58+F58-G58)</f>
        <v>538513.043857371</v>
      </c>
      <c r="F59" s="64" t="n">
        <f aca="false">E59*Assumptions!$B$59</f>
        <v>20194.2391446514</v>
      </c>
      <c r="G59" s="64" t="n">
        <f aca="false">MIN(E59+F59,MAX(0,B59-D59))</f>
        <v>73155</v>
      </c>
    </row>
    <row r="60" customFormat="false" ht="15" hidden="false" customHeight="true" outlineLevel="0" collapsed="false">
      <c r="A60" s="109" t="n">
        <v>8</v>
      </c>
      <c r="B60" s="64" t="n">
        <f aca="false">$B$33</f>
        <v>73155</v>
      </c>
      <c r="C60" s="64" t="n">
        <f aca="false">MAX(0,C59-D59)</f>
        <v>0</v>
      </c>
      <c r="D60" s="64" t="n">
        <f aca="false">MIN(C60,B60)</f>
        <v>0</v>
      </c>
      <c r="E60" s="64" t="n">
        <f aca="false">MAX(0,E59+F59-G59)</f>
        <v>485552.283002023</v>
      </c>
      <c r="F60" s="64" t="n">
        <f aca="false">E60*Assumptions!$B$59</f>
        <v>18208.2106125758</v>
      </c>
      <c r="G60" s="64" t="n">
        <f aca="false">MIN(E60+F60,MAX(0,B60-D60))</f>
        <v>73155</v>
      </c>
    </row>
    <row r="61" customFormat="false" ht="15" hidden="false" customHeight="true" outlineLevel="0" collapsed="false">
      <c r="A61" s="109" t="n">
        <v>9</v>
      </c>
      <c r="B61" s="64" t="n">
        <f aca="false">$B$33</f>
        <v>73155</v>
      </c>
      <c r="C61" s="64" t="n">
        <f aca="false">MAX(0,C60-D60)</f>
        <v>0</v>
      </c>
      <c r="D61" s="64" t="n">
        <f aca="false">MIN(C61,B61)</f>
        <v>0</v>
      </c>
      <c r="E61" s="64" t="n">
        <f aca="false">MAX(0,E60+F60-G60)</f>
        <v>430605.493614598</v>
      </c>
      <c r="F61" s="64" t="n">
        <f aca="false">E61*Assumptions!$B$59</f>
        <v>16147.7060105474</v>
      </c>
      <c r="G61" s="64" t="n">
        <f aca="false">MIN(E61+F61,MAX(0,B61-D61))</f>
        <v>73155</v>
      </c>
    </row>
    <row r="62" customFormat="false" ht="15" hidden="false" customHeight="true" outlineLevel="0" collapsed="false">
      <c r="A62" s="109" t="n">
        <v>10</v>
      </c>
      <c r="B62" s="64" t="n">
        <f aca="false">$B$33</f>
        <v>73155</v>
      </c>
      <c r="C62" s="64" t="n">
        <f aca="false">MAX(0,C61-D61)</f>
        <v>0</v>
      </c>
      <c r="D62" s="64" t="n">
        <f aca="false">MIN(C62,B62)</f>
        <v>0</v>
      </c>
      <c r="E62" s="64" t="n">
        <f aca="false">MAX(0,E61+F61-G61)</f>
        <v>373598.199625146</v>
      </c>
      <c r="F62" s="64" t="n">
        <f aca="false">E62*Assumptions!$B$59</f>
        <v>14009.932485943</v>
      </c>
      <c r="G62" s="64" t="n">
        <f aca="false">MIN(E62+F62,MAX(0,B62-D62))</f>
        <v>73155</v>
      </c>
    </row>
    <row r="63" customFormat="false" ht="15" hidden="false" customHeight="true" outlineLevel="0" collapsed="false">
      <c r="A63" s="109" t="n">
        <v>11</v>
      </c>
      <c r="B63" s="64" t="n">
        <f aca="false">$B$33</f>
        <v>73155</v>
      </c>
      <c r="C63" s="64" t="n">
        <f aca="false">MAX(0,C62-D62)</f>
        <v>0</v>
      </c>
      <c r="D63" s="64" t="n">
        <f aca="false">MIN(C63,B63)</f>
        <v>0</v>
      </c>
      <c r="E63" s="64" t="n">
        <f aca="false">MAX(0,E62+F62-G62)</f>
        <v>314453.132111089</v>
      </c>
      <c r="F63" s="64" t="n">
        <f aca="false">E63*Assumptions!$B$59</f>
        <v>11791.9924541658</v>
      </c>
      <c r="G63" s="64" t="n">
        <f aca="false">MIN(E63+F63,MAX(0,B63-D63))</f>
        <v>73155</v>
      </c>
    </row>
    <row r="64" customFormat="false" ht="15" hidden="false" customHeight="true" outlineLevel="0" collapsed="false">
      <c r="A64" s="109" t="n">
        <v>12</v>
      </c>
      <c r="B64" s="64" t="n">
        <f aca="false">$B$33</f>
        <v>73155</v>
      </c>
      <c r="C64" s="64" t="n">
        <f aca="false">MAX(0,C63-D63)</f>
        <v>0</v>
      </c>
      <c r="D64" s="64" t="n">
        <f aca="false">MIN(C64,B64)</f>
        <v>0</v>
      </c>
      <c r="E64" s="64" t="n">
        <f aca="false">MAX(0,E63+F63-G63)</f>
        <v>253090.124565255</v>
      </c>
      <c r="F64" s="64" t="n">
        <f aca="false">E64*Assumptions!$B$59</f>
        <v>9490.87967119705</v>
      </c>
      <c r="G64" s="64" t="n">
        <f aca="false">MIN(E64+F64,MAX(0,B64-D64))</f>
        <v>73155</v>
      </c>
    </row>
    <row r="65" customFormat="false" ht="15" hidden="false" customHeight="true" outlineLevel="0" collapsed="false">
      <c r="A65" s="109" t="n">
        <v>13</v>
      </c>
      <c r="B65" s="64" t="n">
        <f aca="false">$B$33</f>
        <v>73155</v>
      </c>
      <c r="C65" s="64" t="n">
        <f aca="false">MAX(0,C64-D64)</f>
        <v>0</v>
      </c>
      <c r="D65" s="64" t="n">
        <f aca="false">MIN(C65,B65)</f>
        <v>0</v>
      </c>
      <c r="E65" s="64" t="n">
        <f aca="false">MAX(0,E64+F64-G64)</f>
        <v>189426.004236452</v>
      </c>
      <c r="F65" s="64" t="n">
        <f aca="false">E65*Assumptions!$B$59</f>
        <v>7103.47515886694</v>
      </c>
      <c r="G65" s="64" t="n">
        <f aca="false">MIN(E65+F65,MAX(0,B65-D65))</f>
        <v>73155</v>
      </c>
    </row>
    <row r="66" customFormat="false" ht="15" hidden="false" customHeight="true" outlineLevel="0" collapsed="false">
      <c r="A66" s="109" t="n">
        <v>14</v>
      </c>
      <c r="B66" s="64" t="n">
        <f aca="false">$B$33</f>
        <v>73155</v>
      </c>
      <c r="C66" s="64" t="n">
        <f aca="false">MAX(0,C65-D65)</f>
        <v>0</v>
      </c>
      <c r="D66" s="64" t="n">
        <f aca="false">MIN(C66,B66)</f>
        <v>0</v>
      </c>
      <c r="E66" s="64" t="n">
        <f aca="false">MAX(0,E65+F65-G65)</f>
        <v>123374.479395319</v>
      </c>
      <c r="F66" s="64" t="n">
        <f aca="false">E66*Assumptions!$B$59</f>
        <v>4626.54297732445</v>
      </c>
      <c r="G66" s="64" t="n">
        <f aca="false">MIN(E66+F66,MAX(0,B66-D66))</f>
        <v>73155</v>
      </c>
    </row>
    <row r="67" customFormat="false" ht="15" hidden="false" customHeight="true" outlineLevel="0" collapsed="false">
      <c r="A67" s="109" t="n">
        <v>15</v>
      </c>
      <c r="B67" s="64" t="n">
        <f aca="false">$B$33</f>
        <v>73155</v>
      </c>
      <c r="C67" s="64" t="n">
        <f aca="false">MAX(0,C66-D66)</f>
        <v>0</v>
      </c>
      <c r="D67" s="64" t="n">
        <f aca="false">MIN(C67,B67)</f>
        <v>0</v>
      </c>
      <c r="E67" s="64" t="n">
        <f aca="false">MAX(0,E66+F66-G66)</f>
        <v>54846.0223726431</v>
      </c>
      <c r="F67" s="64" t="n">
        <f aca="false">E67*Assumptions!$B$59</f>
        <v>2056.72583897412</v>
      </c>
      <c r="G67" s="64" t="n">
        <f aca="false">MIN(E67+F67,MAX(0,B67-D67))</f>
        <v>56902.7482116172</v>
      </c>
    </row>
    <row r="68" customFormat="false" ht="15" hidden="false" customHeight="true" outlineLevel="0" collapsed="false">
      <c r="A68" s="109" t="n">
        <v>16</v>
      </c>
      <c r="B68" s="64" t="n">
        <f aca="false">$B$33</f>
        <v>73155</v>
      </c>
      <c r="C68" s="64" t="n">
        <f aca="false">MAX(0,C67-D67)</f>
        <v>0</v>
      </c>
      <c r="D68" s="64" t="n">
        <f aca="false">MIN(C68,B68)</f>
        <v>0</v>
      </c>
      <c r="E68" s="64" t="n">
        <f aca="false">MAX(0,E67+F67-G67)</f>
        <v>0</v>
      </c>
      <c r="F68" s="64" t="n">
        <f aca="false">E68*Assumptions!$B$59</f>
        <v>0</v>
      </c>
      <c r="G68" s="64" t="n">
        <f aca="false">MIN(E68+F68,MAX(0,B68-D68))</f>
        <v>0</v>
      </c>
    </row>
    <row r="69" customFormat="false" ht="15" hidden="false" customHeight="true" outlineLevel="0" collapsed="false">
      <c r="A69" s="109" t="n">
        <v>17</v>
      </c>
      <c r="B69" s="64" t="n">
        <f aca="false">$B$33</f>
        <v>73155</v>
      </c>
      <c r="C69" s="64" t="n">
        <f aca="false">MAX(0,C68-D68)</f>
        <v>0</v>
      </c>
      <c r="D69" s="64" t="n">
        <f aca="false">MIN(C69,B69)</f>
        <v>0</v>
      </c>
      <c r="E69" s="64" t="n">
        <f aca="false">MAX(0,E68+F68-G68)</f>
        <v>0</v>
      </c>
      <c r="F69" s="64" t="n">
        <f aca="false">E69*Assumptions!$B$59</f>
        <v>0</v>
      </c>
      <c r="G69" s="64" t="n">
        <f aca="false">MIN(E69+F69,MAX(0,B69-D69))</f>
        <v>0</v>
      </c>
    </row>
    <row r="70" customFormat="false" ht="15" hidden="false" customHeight="true" outlineLevel="0" collapsed="false">
      <c r="A70" s="109" t="n">
        <v>18</v>
      </c>
      <c r="B70" s="64" t="n">
        <f aca="false">$B$33</f>
        <v>73155</v>
      </c>
      <c r="C70" s="64" t="n">
        <f aca="false">MAX(0,C69-D69)</f>
        <v>0</v>
      </c>
      <c r="D70" s="64" t="n">
        <f aca="false">MIN(C70,B70)</f>
        <v>0</v>
      </c>
      <c r="E70" s="64" t="n">
        <f aca="false">MAX(0,E69+F69-G69)</f>
        <v>0</v>
      </c>
      <c r="F70" s="64" t="n">
        <f aca="false">E70*Assumptions!$B$59</f>
        <v>0</v>
      </c>
      <c r="G70" s="64" t="n">
        <f aca="false">MIN(E70+F70,MAX(0,B70-D70))</f>
        <v>0</v>
      </c>
    </row>
    <row r="71" customFormat="false" ht="15" hidden="false" customHeight="true" outlineLevel="0" collapsed="false">
      <c r="A71" s="109" t="n">
        <v>19</v>
      </c>
      <c r="B71" s="64" t="n">
        <f aca="false">$B$33</f>
        <v>73155</v>
      </c>
      <c r="C71" s="64" t="n">
        <f aca="false">MAX(0,C70-D70)</f>
        <v>0</v>
      </c>
      <c r="D71" s="64" t="n">
        <f aca="false">MIN(C71,B71)</f>
        <v>0</v>
      </c>
      <c r="E71" s="64" t="n">
        <f aca="false">MAX(0,E70+F70-G70)</f>
        <v>0</v>
      </c>
      <c r="F71" s="64" t="n">
        <f aca="false">E71*Assumptions!$B$59</f>
        <v>0</v>
      </c>
      <c r="G71" s="64" t="n">
        <f aca="false">MIN(E71+F71,MAX(0,B71-D71))</f>
        <v>0</v>
      </c>
    </row>
    <row r="72" customFormat="false" ht="15" hidden="false" customHeight="true" outlineLevel="0" collapsed="false">
      <c r="A72" s="109" t="n">
        <v>20</v>
      </c>
      <c r="B72" s="64" t="n">
        <f aca="false">$B$33</f>
        <v>73155</v>
      </c>
      <c r="C72" s="64" t="n">
        <f aca="false">MAX(0,C71-D71)</f>
        <v>0</v>
      </c>
      <c r="D72" s="64" t="n">
        <f aca="false">MIN(C72,B72)</f>
        <v>0</v>
      </c>
      <c r="E72" s="64" t="n">
        <f aca="false">MAX(0,E71+F71-G71)</f>
        <v>0</v>
      </c>
      <c r="F72" s="64" t="n">
        <f aca="false">E72*Assumptions!$B$59</f>
        <v>0</v>
      </c>
      <c r="G72" s="64" t="n">
        <f aca="false">MIN(E72+F72,MAX(0,B72-D72))</f>
        <v>0</v>
      </c>
    </row>
    <row r="73" customFormat="false" ht="15" hidden="false" customHeight="true" outlineLevel="0" collapsed="false">
      <c r="A73" s="109" t="n">
        <v>21</v>
      </c>
      <c r="B73" s="64" t="n">
        <f aca="false">$B$33</f>
        <v>73155</v>
      </c>
      <c r="C73" s="64" t="n">
        <f aca="false">MAX(0,C72-D72)</f>
        <v>0</v>
      </c>
      <c r="D73" s="64" t="n">
        <f aca="false">MIN(C73,B73)</f>
        <v>0</v>
      </c>
      <c r="E73" s="64" t="n">
        <f aca="false">MAX(0,E72+F72-G72)</f>
        <v>0</v>
      </c>
      <c r="F73" s="64" t="n">
        <f aca="false">E73*Assumptions!$B$59</f>
        <v>0</v>
      </c>
      <c r="G73" s="64" t="n">
        <f aca="false">MIN(E73+F73,MAX(0,B73-D73))</f>
        <v>0</v>
      </c>
    </row>
    <row r="74" customFormat="false" ht="15" hidden="false" customHeight="true" outlineLevel="0" collapsed="false">
      <c r="A74" s="109" t="n">
        <v>22</v>
      </c>
      <c r="B74" s="64" t="n">
        <f aca="false">$B$33</f>
        <v>73155</v>
      </c>
      <c r="C74" s="64" t="n">
        <f aca="false">MAX(0,C73-D73)</f>
        <v>0</v>
      </c>
      <c r="D74" s="64" t="n">
        <f aca="false">MIN(C74,B74)</f>
        <v>0</v>
      </c>
      <c r="E74" s="64" t="n">
        <f aca="false">MAX(0,E73+F73-G73)</f>
        <v>0</v>
      </c>
      <c r="F74" s="64" t="n">
        <f aca="false">E74*Assumptions!$B$59</f>
        <v>0</v>
      </c>
      <c r="G74" s="64" t="n">
        <f aca="false">MIN(E74+F74,MAX(0,B74-D74))</f>
        <v>0</v>
      </c>
    </row>
    <row r="75" customFormat="false" ht="15" hidden="false" customHeight="true" outlineLevel="0" collapsed="false">
      <c r="A75" s="109" t="n">
        <v>23</v>
      </c>
      <c r="B75" s="64" t="n">
        <f aca="false">$B$33</f>
        <v>73155</v>
      </c>
      <c r="C75" s="64" t="n">
        <f aca="false">MAX(0,C74-D74)</f>
        <v>0</v>
      </c>
      <c r="D75" s="64" t="n">
        <f aca="false">MIN(C75,B75)</f>
        <v>0</v>
      </c>
      <c r="E75" s="64" t="n">
        <f aca="false">MAX(0,E74+F74-G74)</f>
        <v>0</v>
      </c>
      <c r="F75" s="64" t="n">
        <f aca="false">E75*Assumptions!$B$59</f>
        <v>0</v>
      </c>
      <c r="G75" s="64" t="n">
        <f aca="false">MIN(E75+F75,MAX(0,B75-D75))</f>
        <v>0</v>
      </c>
    </row>
    <row r="76" customFormat="false" ht="15" hidden="false" customHeight="true" outlineLevel="0" collapsed="false">
      <c r="A76" s="109" t="n">
        <v>24</v>
      </c>
      <c r="B76" s="64" t="n">
        <f aca="false">$B$33</f>
        <v>73155</v>
      </c>
      <c r="C76" s="64" t="n">
        <f aca="false">MAX(0,C75-D75)</f>
        <v>0</v>
      </c>
      <c r="D76" s="64" t="n">
        <f aca="false">MIN(C76,B76)</f>
        <v>0</v>
      </c>
      <c r="E76" s="64" t="n">
        <f aca="false">MAX(0,E75+F75-G75)</f>
        <v>0</v>
      </c>
      <c r="F76" s="64" t="n">
        <f aca="false">E76*Assumptions!$B$59</f>
        <v>0</v>
      </c>
      <c r="G76" s="64" t="n">
        <f aca="false">MIN(E76+F76,MAX(0,B76-D76))</f>
        <v>0</v>
      </c>
    </row>
    <row r="77" customFormat="false" ht="15" hidden="false" customHeight="true" outlineLevel="0" collapsed="false">
      <c r="A77" s="109" t="n">
        <v>25</v>
      </c>
      <c r="B77" s="64" t="n">
        <f aca="false">$B$33</f>
        <v>73155</v>
      </c>
      <c r="C77" s="64" t="n">
        <f aca="false">MAX(0,C76-D76)</f>
        <v>0</v>
      </c>
      <c r="D77" s="64" t="n">
        <f aca="false">MIN(C77,B77)</f>
        <v>0</v>
      </c>
      <c r="E77" s="64" t="n">
        <f aca="false">MAX(0,E76+F76-G76)</f>
        <v>0</v>
      </c>
      <c r="F77" s="64" t="n">
        <f aca="false">E77*Assumptions!$B$59</f>
        <v>0</v>
      </c>
      <c r="G77" s="64" t="n">
        <f aca="false">MIN(E77+F77,MAX(0,B77-D77))</f>
        <v>0</v>
      </c>
    </row>
    <row r="78" customFormat="false" ht="15" hidden="false" customHeight="true" outlineLevel="0" collapsed="false">
      <c r="A78" s="109" t="n">
        <v>26</v>
      </c>
      <c r="B78" s="64" t="n">
        <f aca="false">$B$33</f>
        <v>73155</v>
      </c>
      <c r="C78" s="64" t="n">
        <f aca="false">MAX(0,C77-D77)</f>
        <v>0</v>
      </c>
      <c r="D78" s="64" t="n">
        <f aca="false">MIN(C78,B78)</f>
        <v>0</v>
      </c>
      <c r="E78" s="64" t="n">
        <f aca="false">MAX(0,E77+F77-G77)</f>
        <v>0</v>
      </c>
      <c r="F78" s="64" t="n">
        <f aca="false">E78*Assumptions!$B$59</f>
        <v>0</v>
      </c>
      <c r="G78" s="64" t="n">
        <f aca="false">MIN(E78+F78,MAX(0,B78-D78))</f>
        <v>0</v>
      </c>
    </row>
    <row r="79" customFormat="false" ht="15" hidden="false" customHeight="true" outlineLevel="0" collapsed="false">
      <c r="A79" s="109" t="n">
        <v>27</v>
      </c>
      <c r="B79" s="64" t="n">
        <f aca="false">$B$33</f>
        <v>73155</v>
      </c>
      <c r="C79" s="64" t="n">
        <f aca="false">MAX(0,C78-D78)</f>
        <v>0</v>
      </c>
      <c r="D79" s="64" t="n">
        <f aca="false">MIN(C79,B79)</f>
        <v>0</v>
      </c>
      <c r="E79" s="64" t="n">
        <f aca="false">MAX(0,E78+F78-G78)</f>
        <v>0</v>
      </c>
      <c r="F79" s="64" t="n">
        <f aca="false">E79*Assumptions!$B$59</f>
        <v>0</v>
      </c>
      <c r="G79" s="64" t="n">
        <f aca="false">MIN(E79+F79,MAX(0,B79-D79))</f>
        <v>0</v>
      </c>
    </row>
    <row r="80" customFormat="false" ht="15" hidden="false" customHeight="true" outlineLevel="0" collapsed="false">
      <c r="A80" s="109" t="n">
        <v>28</v>
      </c>
      <c r="B80" s="64" t="n">
        <f aca="false">$B$33</f>
        <v>73155</v>
      </c>
      <c r="C80" s="64" t="n">
        <f aca="false">MAX(0,C79-D79)</f>
        <v>0</v>
      </c>
      <c r="D80" s="64" t="n">
        <f aca="false">MIN(C80,B80)</f>
        <v>0</v>
      </c>
      <c r="E80" s="64" t="n">
        <f aca="false">MAX(0,E79+F79-G79)</f>
        <v>0</v>
      </c>
      <c r="F80" s="64" t="n">
        <f aca="false">E80*Assumptions!$B$59</f>
        <v>0</v>
      </c>
      <c r="G80" s="64" t="n">
        <f aca="false">MIN(E80+F80,MAX(0,B80-D80))</f>
        <v>0</v>
      </c>
    </row>
    <row r="81" customFormat="false" ht="15" hidden="false" customHeight="true" outlineLevel="0" collapsed="false">
      <c r="A81" s="109" t="n">
        <v>29</v>
      </c>
      <c r="B81" s="64" t="n">
        <f aca="false">$B$33</f>
        <v>73155</v>
      </c>
      <c r="C81" s="64" t="n">
        <f aca="false">MAX(0,C80-D80)</f>
        <v>0</v>
      </c>
      <c r="D81" s="64" t="n">
        <f aca="false">MIN(C81,B81)</f>
        <v>0</v>
      </c>
      <c r="E81" s="64" t="n">
        <f aca="false">MAX(0,E80+F80-G80)</f>
        <v>0</v>
      </c>
      <c r="F81" s="64" t="n">
        <f aca="false">E81*Assumptions!$B$59</f>
        <v>0</v>
      </c>
      <c r="G81" s="64" t="n">
        <f aca="false">MIN(E81+F81,MAX(0,B81-D81))</f>
        <v>0</v>
      </c>
    </row>
    <row r="82" customFormat="false" ht="15" hidden="false" customHeight="true" outlineLevel="0" collapsed="false">
      <c r="A82" s="109" t="n">
        <v>30</v>
      </c>
      <c r="B82" s="64" t="n">
        <f aca="false">$B$33</f>
        <v>73155</v>
      </c>
      <c r="C82" s="64" t="n">
        <f aca="false">MAX(0,C81-D81)</f>
        <v>0</v>
      </c>
      <c r="D82" s="64" t="n">
        <f aca="false">MIN(C82,B82)</f>
        <v>0</v>
      </c>
      <c r="E82" s="64" t="n">
        <f aca="false">MAX(0,E81+F81-G81)</f>
        <v>0</v>
      </c>
      <c r="F82" s="64" t="n">
        <f aca="false">E82*Assumptions!$B$59</f>
        <v>0</v>
      </c>
      <c r="G82" s="64" t="n">
        <f aca="false">MIN(E82+F82,MAX(0,B82-D82))</f>
        <v>0</v>
      </c>
    </row>
    <row r="83" customFormat="false" ht="15" hidden="false" customHeight="true" outlineLevel="0" collapsed="false">
      <c r="A83" s="109" t="n">
        <v>31</v>
      </c>
      <c r="B83" s="64" t="n">
        <f aca="false">$B$33</f>
        <v>73155</v>
      </c>
      <c r="C83" s="64" t="n">
        <f aca="false">MAX(0,C82-D82)</f>
        <v>0</v>
      </c>
      <c r="D83" s="64" t="n">
        <f aca="false">MIN(C83,B83)</f>
        <v>0</v>
      </c>
      <c r="E83" s="64" t="n">
        <f aca="false">MAX(0,E82+F82-G82)</f>
        <v>0</v>
      </c>
      <c r="F83" s="64" t="n">
        <f aca="false">E83*Assumptions!$B$59</f>
        <v>0</v>
      </c>
      <c r="G83" s="64" t="n">
        <f aca="false">MIN(E83+F83,MAX(0,B83-D83))</f>
        <v>0</v>
      </c>
    </row>
    <row r="84" customFormat="false" ht="15" hidden="false" customHeight="true" outlineLevel="0" collapsed="false">
      <c r="A84" s="109" t="n">
        <v>32</v>
      </c>
      <c r="B84" s="64" t="n">
        <f aca="false">$B$33</f>
        <v>73155</v>
      </c>
      <c r="C84" s="64" t="n">
        <f aca="false">MAX(0,C83-D83)</f>
        <v>0</v>
      </c>
      <c r="D84" s="64" t="n">
        <f aca="false">MIN(C84,B84)</f>
        <v>0</v>
      </c>
      <c r="E84" s="64" t="n">
        <f aca="false">MAX(0,E83+F83-G83)</f>
        <v>0</v>
      </c>
      <c r="F84" s="64" t="n">
        <f aca="false">E84*Assumptions!$B$59</f>
        <v>0</v>
      </c>
      <c r="G84" s="64" t="n">
        <f aca="false">MIN(E84+F84,MAX(0,B84-D84))</f>
        <v>0</v>
      </c>
    </row>
    <row r="85" customFormat="false" ht="15" hidden="false" customHeight="true" outlineLevel="0" collapsed="false">
      <c r="A85" s="109" t="n">
        <v>33</v>
      </c>
      <c r="B85" s="64" t="n">
        <f aca="false">$B$33</f>
        <v>73155</v>
      </c>
      <c r="C85" s="64" t="n">
        <f aca="false">MAX(0,C84-D84)</f>
        <v>0</v>
      </c>
      <c r="D85" s="64" t="n">
        <f aca="false">MIN(C85,B85)</f>
        <v>0</v>
      </c>
      <c r="E85" s="64" t="n">
        <f aca="false">MAX(0,E84+F84-G84)</f>
        <v>0</v>
      </c>
      <c r="F85" s="64" t="n">
        <f aca="false">E85*Assumptions!$B$59</f>
        <v>0</v>
      </c>
      <c r="G85" s="64" t="n">
        <f aca="false">MIN(E85+F85,MAX(0,B85-D85))</f>
        <v>0</v>
      </c>
    </row>
    <row r="86" customFormat="false" ht="15" hidden="false" customHeight="true" outlineLevel="0" collapsed="false">
      <c r="A86" s="109" t="n">
        <v>34</v>
      </c>
      <c r="B86" s="64" t="n">
        <f aca="false">$B$33</f>
        <v>73155</v>
      </c>
      <c r="C86" s="64" t="n">
        <f aca="false">MAX(0,C85-D85)</f>
        <v>0</v>
      </c>
      <c r="D86" s="64" t="n">
        <f aca="false">MIN(C86,B86)</f>
        <v>0</v>
      </c>
      <c r="E86" s="64" t="n">
        <f aca="false">MAX(0,E85+F85-G85)</f>
        <v>0</v>
      </c>
      <c r="F86" s="64" t="n">
        <f aca="false">E86*Assumptions!$B$59</f>
        <v>0</v>
      </c>
      <c r="G86" s="64" t="n">
        <f aca="false">MIN(E86+F86,MAX(0,B86-D86))</f>
        <v>0</v>
      </c>
    </row>
    <row r="87" customFormat="false" ht="15" hidden="false" customHeight="true" outlineLevel="0" collapsed="false">
      <c r="A87" s="109" t="n">
        <v>35</v>
      </c>
      <c r="B87" s="64" t="n">
        <f aca="false">$B$33</f>
        <v>73155</v>
      </c>
      <c r="C87" s="64" t="n">
        <f aca="false">MAX(0,C86-D86)</f>
        <v>0</v>
      </c>
      <c r="D87" s="64" t="n">
        <f aca="false">MIN(C87,B87)</f>
        <v>0</v>
      </c>
      <c r="E87" s="64" t="n">
        <f aca="false">MAX(0,E86+F86-G86)</f>
        <v>0</v>
      </c>
      <c r="F87" s="64" t="n">
        <f aca="false">E87*Assumptions!$B$59</f>
        <v>0</v>
      </c>
      <c r="G87" s="64" t="n">
        <f aca="false">MIN(E87+F87,MAX(0,B87-D87))</f>
        <v>0</v>
      </c>
    </row>
    <row r="88" customFormat="false" ht="15" hidden="false" customHeight="true" outlineLevel="0" collapsed="false">
      <c r="A88" s="109" t="n">
        <v>36</v>
      </c>
      <c r="B88" s="64" t="n">
        <f aca="false">$B$33</f>
        <v>73155</v>
      </c>
      <c r="C88" s="64" t="n">
        <f aca="false">MAX(0,C87-D87)</f>
        <v>0</v>
      </c>
      <c r="D88" s="64" t="n">
        <f aca="false">MIN(C88,B88)</f>
        <v>0</v>
      </c>
      <c r="E88" s="64" t="n">
        <f aca="false">MAX(0,E87+F87-G87)</f>
        <v>0</v>
      </c>
      <c r="F88" s="64" t="n">
        <f aca="false">E88*Assumptions!$B$59</f>
        <v>0</v>
      </c>
      <c r="G88" s="64" t="n">
        <f aca="false">MIN(E88+F88,MAX(0,B88-D88))</f>
        <v>0</v>
      </c>
    </row>
    <row r="89" customFormat="false" ht="15" hidden="false" customHeight="true" outlineLevel="0" collapsed="false">
      <c r="A89" s="109" t="n">
        <v>37</v>
      </c>
      <c r="B89" s="64" t="n">
        <f aca="false">$B$33</f>
        <v>73155</v>
      </c>
      <c r="C89" s="64" t="n">
        <f aca="false">MAX(0,C88-D88)</f>
        <v>0</v>
      </c>
      <c r="D89" s="64" t="n">
        <f aca="false">MIN(C89,B89)</f>
        <v>0</v>
      </c>
      <c r="E89" s="64" t="n">
        <f aca="false">MAX(0,E88+F88-G88)</f>
        <v>0</v>
      </c>
      <c r="F89" s="64" t="n">
        <f aca="false">E89*Assumptions!$B$59</f>
        <v>0</v>
      </c>
      <c r="G89" s="64" t="n">
        <f aca="false">MIN(E89+F89,MAX(0,B89-D89))</f>
        <v>0</v>
      </c>
    </row>
    <row r="90" customFormat="false" ht="15" hidden="false" customHeight="true" outlineLevel="0" collapsed="false">
      <c r="A90" s="109" t="n">
        <v>38</v>
      </c>
      <c r="B90" s="64" t="n">
        <f aca="false">$B$33</f>
        <v>73155</v>
      </c>
      <c r="C90" s="64" t="n">
        <f aca="false">MAX(0,C89-D89)</f>
        <v>0</v>
      </c>
      <c r="D90" s="64" t="n">
        <f aca="false">MIN(C90,B90)</f>
        <v>0</v>
      </c>
      <c r="E90" s="64" t="n">
        <f aca="false">MAX(0,E89+F89-G89)</f>
        <v>0</v>
      </c>
      <c r="F90" s="64" t="n">
        <f aca="false">E90*Assumptions!$B$59</f>
        <v>0</v>
      </c>
      <c r="G90" s="64" t="n">
        <f aca="false">MIN(E90+F90,MAX(0,B90-D90))</f>
        <v>0</v>
      </c>
    </row>
    <row r="91" customFormat="false" ht="15" hidden="false" customHeight="true" outlineLevel="0" collapsed="false">
      <c r="A91" s="109" t="n">
        <v>39</v>
      </c>
      <c r="B91" s="64" t="n">
        <f aca="false">$B$33</f>
        <v>73155</v>
      </c>
      <c r="C91" s="64" t="n">
        <f aca="false">MAX(0,C90-D90)</f>
        <v>0</v>
      </c>
      <c r="D91" s="64" t="n">
        <f aca="false">MIN(C91,B91)</f>
        <v>0</v>
      </c>
      <c r="E91" s="64" t="n">
        <f aca="false">MAX(0,E90+F90-G90)</f>
        <v>0</v>
      </c>
      <c r="F91" s="64" t="n">
        <f aca="false">E91*Assumptions!$B$59</f>
        <v>0</v>
      </c>
      <c r="G91" s="64" t="n">
        <f aca="false">MIN(E91+F91,MAX(0,B91-D91))</f>
        <v>0</v>
      </c>
    </row>
    <row r="92" customFormat="false" ht="15" hidden="false" customHeight="true" outlineLevel="0" collapsed="false">
      <c r="A92" s="109" t="n">
        <v>40</v>
      </c>
      <c r="B92" s="64" t="n">
        <f aca="false">$B$33</f>
        <v>73155</v>
      </c>
      <c r="C92" s="64" t="n">
        <f aca="false">MAX(0,C91-D91)</f>
        <v>0</v>
      </c>
      <c r="D92" s="64" t="n">
        <f aca="false">MIN(C92,B92)</f>
        <v>0</v>
      </c>
      <c r="E92" s="64" t="n">
        <f aca="false">MAX(0,E91+F91-G91)</f>
        <v>0</v>
      </c>
      <c r="F92" s="64" t="n">
        <f aca="false">E92*Assumptions!$B$59</f>
        <v>0</v>
      </c>
      <c r="G92" s="64" t="n">
        <f aca="false">MIN(E92+F92,MAX(0,B92-D92))</f>
        <v>0</v>
      </c>
    </row>
    <row r="93" customFormat="false" ht="15" hidden="false" customHeight="true" outlineLevel="0" collapsed="false">
      <c r="A93" s="130" t="s">
        <v>562</v>
      </c>
      <c r="D93" s="132" t="n">
        <f aca="false">SUM(D53:D92)</f>
        <v>270925.32</v>
      </c>
      <c r="F93" s="132" t="n">
        <f aca="false">SUM(F53:F92)</f>
        <v>240125.881206445</v>
      </c>
      <c r="G93" s="132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3" t="s">
        <v>563</v>
      </c>
    </row>
    <row r="2" customFormat="false" ht="15" hidden="false" customHeight="true" outlineLevel="0" collapsed="false">
      <c r="A2" s="109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4" t="s">
        <v>564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</row>
    <row r="5" customFormat="false" ht="15" hidden="false" customHeight="true" outlineLevel="0" collapsed="false">
      <c r="A5" s="109" t="s">
        <v>565</v>
      </c>
      <c r="B5" s="109" t="s">
        <v>563</v>
      </c>
    </row>
    <row r="6" customFormat="false" ht="15" hidden="false" customHeight="true" outlineLevel="0" collapsed="false">
      <c r="A6" s="109" t="s">
        <v>566</v>
      </c>
      <c r="B6" s="109" t="s">
        <v>567</v>
      </c>
    </row>
    <row r="7" customFormat="false" ht="15" hidden="false" customHeight="true" outlineLevel="0" collapsed="false">
      <c r="A7" s="109" t="s">
        <v>568</v>
      </c>
      <c r="B7" s="135" t="n">
        <v>60</v>
      </c>
    </row>
    <row r="8" customFormat="false" ht="15" hidden="false" customHeight="true" outlineLevel="0" collapsed="false">
      <c r="A8" s="109" t="s">
        <v>569</v>
      </c>
      <c r="B8" s="109" t="s">
        <v>570</v>
      </c>
    </row>
    <row r="9" customFormat="false" ht="15" hidden="false" customHeight="true" outlineLevel="0" collapsed="false">
      <c r="A9" s="109" t="s">
        <v>571</v>
      </c>
      <c r="B9" s="64" t="n">
        <v>1400000</v>
      </c>
    </row>
    <row r="10" customFormat="false" ht="15" hidden="false" customHeight="true" outlineLevel="0" collapsed="false">
      <c r="A10" s="109" t="s">
        <v>572</v>
      </c>
      <c r="B10" s="64" t="n">
        <v>1609391</v>
      </c>
    </row>
    <row r="11" customFormat="false" ht="15" hidden="false" customHeight="true" outlineLevel="0" collapsed="false">
      <c r="A11" s="109" t="s">
        <v>573</v>
      </c>
      <c r="B11" s="64" t="n">
        <v>3419763</v>
      </c>
    </row>
    <row r="12" customFormat="false" ht="15" hidden="false" customHeight="true" outlineLevel="0" collapsed="false">
      <c r="A12" s="109" t="s">
        <v>469</v>
      </c>
      <c r="B12" s="7">
        <f>B16</f>
        <v>9009665</v>
      </c>
    </row>
    <row r="14" customFormat="false" ht="15" hidden="false" customHeight="true" outlineLevel="0" collapsed="false">
      <c r="A14" s="136" t="s">
        <v>574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</row>
    <row r="15" customFormat="false" ht="15" hidden="false" customHeight="true" outlineLevel="0" collapsed="false">
      <c r="B15" s="137" t="s">
        <v>318</v>
      </c>
      <c r="C15" s="137" t="s">
        <v>1</v>
      </c>
      <c r="D15" s="137" t="s">
        <v>2</v>
      </c>
      <c r="E15" s="137" t="s">
        <v>3</v>
      </c>
      <c r="F15" s="137" t="s">
        <v>4</v>
      </c>
      <c r="G15" s="137" t="s">
        <v>5</v>
      </c>
      <c r="H15" s="137" t="s">
        <v>6</v>
      </c>
      <c r="I15" s="137" t="s">
        <v>7</v>
      </c>
      <c r="J15" s="137" t="s">
        <v>8</v>
      </c>
    </row>
    <row r="16" customFormat="false" ht="15" hidden="false" customHeight="true" outlineLevel="0" collapsed="false">
      <c r="A16" s="109" t="s">
        <v>469</v>
      </c>
      <c r="B16" s="7" t="n">
        <f aca="false">C16+D16+E16+F16+G16+H16+I16+J16</f>
        <v>9009665</v>
      </c>
      <c r="C16" s="64" t="n">
        <f aca="false">SUM(C99:K99)</f>
        <v>0</v>
      </c>
      <c r="D16" s="64" t="n">
        <f aca="false">SUM(L99:W99)</f>
        <v>1084381.66</v>
      </c>
      <c r="E16" s="64" t="n">
        <f aca="false">SUM(X99:AI99)</f>
        <v>3698017.39</v>
      </c>
      <c r="F16" s="64" t="n">
        <f aca="false">SUM(AJ99:AU99)</f>
        <v>2427299.01</v>
      </c>
      <c r="G16" s="64" t="n">
        <f aca="false">SUM(AV99:BG99)</f>
        <v>1369332.42</v>
      </c>
      <c r="H16" s="64" t="n">
        <f aca="false">SUM(BH99:BS99)</f>
        <v>430634.52</v>
      </c>
      <c r="I16" s="64" t="n">
        <f aca="false">SUM(BT99:CE99)</f>
        <v>0</v>
      </c>
      <c r="J16" s="64" t="n">
        <f aca="false">SUM(CF99:CH99)</f>
        <v>0</v>
      </c>
    </row>
    <row r="17" customFormat="false" ht="15" hidden="false" customHeight="true" outlineLevel="0" collapsed="false">
      <c r="A17" s="109" t="s">
        <v>575</v>
      </c>
      <c r="B17" s="7">
        <f>C17+D17+E17+F17+G17+H17+I17+J17</f>
        <v>-1500039</v>
      </c>
      <c r="C17" s="64" t="n">
        <f aca="false">SUM(C100:K100)</f>
        <v>0</v>
      </c>
      <c r="D17" s="64">
        <f>SUM(L100:W100)</f>
        <v>-202088</v>
      </c>
      <c r="E17" s="64">
        <f>SUM(X100:AI100)</f>
        <v>-397927</v>
      </c>
      <c r="F17" s="64" t="n">
        <f aca="false">SUM(AJ100:AU100)</f>
        <v>-450012</v>
      </c>
      <c r="G17" s="64" t="n">
        <f aca="false">SUM(AV100:BG100)</f>
        <v>-450012</v>
      </c>
      <c r="H17" s="64" t="n">
        <f aca="false">SUM(BH100:BS100)</f>
        <v>0</v>
      </c>
      <c r="I17" s="64" t="n">
        <f aca="false">SUM(BT100:CE100)</f>
        <v>0</v>
      </c>
      <c r="J17" s="64" t="n">
        <f aca="false">SUM(CF100:CH100)</f>
        <v>0</v>
      </c>
    </row>
    <row r="18" customFormat="false" ht="15" hidden="false" customHeight="true" outlineLevel="0" collapsed="false">
      <c r="A18" s="109" t="s">
        <v>576</v>
      </c>
      <c r="B18" s="7">
        <f>C18+D18+E18+F18+G18+H18+I18+J18</f>
        <v>-456000</v>
      </c>
      <c r="C18" s="64" t="n">
        <f aca="false">SUM(C101:K101)</f>
        <v>0</v>
      </c>
      <c r="D18" s="64">
        <f>SUM(L101:W101)</f>
        <v>-114000</v>
      </c>
      <c r="E18" s="64">
        <f>SUM(X101:AI101)</f>
        <v>-114000</v>
      </c>
      <c r="F18" s="64">
        <f>SUM(AJ101:AU101)</f>
        <v>-114000</v>
      </c>
      <c r="G18" s="64">
        <f>SUM(AV101:BG101)</f>
        <v>-114000</v>
      </c>
      <c r="H18" s="64" t="n">
        <f aca="false">SUM(BH101:BS101)</f>
        <v>0</v>
      </c>
      <c r="I18" s="64" t="n">
        <f aca="false">SUM(BT101:CE101)</f>
        <v>0</v>
      </c>
      <c r="J18" s="64" t="n">
        <f aca="false">SUM(CF101:CH101)</f>
        <v>0</v>
      </c>
    </row>
    <row r="19" customFormat="false" ht="15" hidden="false" customHeight="true" outlineLevel="0" collapsed="false">
      <c r="A19" s="138" t="s">
        <v>577</v>
      </c>
      <c r="B19" s="139">
        <f>C19+D19+E19+F19+G19+H19+I19+J19</f>
        <v>7053626</v>
      </c>
      <c r="C19" s="139" t="n">
        <f aca="false">SUM(C102:K102)</f>
        <v>0</v>
      </c>
      <c r="D19" s="139">
        <f>SUM(L102:W102)</f>
        <v>768293.6599999999</v>
      </c>
      <c r="E19" s="139">
        <f>SUM(X102:AI102)</f>
        <v>3186090.3899999997</v>
      </c>
      <c r="F19" s="139">
        <f>SUM(AJ102:AU102)</f>
        <v>1863287.0100000002</v>
      </c>
      <c r="G19" s="139">
        <f>SUM(AV102:BG102)</f>
        <v>805320.4200000002</v>
      </c>
      <c r="H19" s="139" t="n">
        <f aca="false">SUM(BH102:BS102)</f>
        <v>430634.52</v>
      </c>
      <c r="I19" s="139" t="n">
        <f aca="false">SUM(BT102:CE102)</f>
        <v>0</v>
      </c>
      <c r="J19" s="139" t="n">
        <f aca="false">SUM(CF102:CH102)</f>
        <v>0</v>
      </c>
    </row>
    <row r="20" customFormat="false" ht="15" hidden="false" customHeight="true" outlineLevel="0" collapsed="false">
      <c r="A20" s="109" t="s">
        <v>578</v>
      </c>
      <c r="B20" s="7">
        <f>C20+D20+E20+F20+G20+H20+I20+J20</f>
        <v>563192.617</v>
      </c>
      <c r="C20" s="64" t="n">
        <f aca="false">SUM(C103:K103)</f>
        <v>0</v>
      </c>
      <c r="D20" s="64">
        <f>SUM(L103:W103)</f>
        <v>93581.82</v>
      </c>
      <c r="E20" s="64">
        <f>SUM(X103:AI103)</f>
        <v>150000</v>
      </c>
      <c r="F20" s="64">
        <f>SUM(AJ103:AU103)</f>
        <v>148450.302</v>
      </c>
      <c r="G20" s="64" t="n">
        <f aca="false">SUM(AV103:BG103)</f>
        <v>136933.242</v>
      </c>
      <c r="H20" s="64">
        <f>SUM(BH103:BS103)</f>
        <v>34227.253000000004</v>
      </c>
      <c r="I20" s="64" t="n">
        <f aca="false">SUM(BT103:CE103)</f>
        <v>0</v>
      </c>
      <c r="J20" s="64" t="n">
        <f aca="false">SUM(CF103:CH103)</f>
        <v>0</v>
      </c>
    </row>
    <row r="21" customFormat="false" ht="15" hidden="false" customHeight="true" outlineLevel="0" collapsed="false">
      <c r="A21" s="138" t="s">
        <v>579</v>
      </c>
      <c r="B21" s="139">
        <f>C21+D21+E21+F21+G21+H21+I21+J21</f>
        <v>6490433.382999999</v>
      </c>
      <c r="C21" s="139" t="n">
        <f aca="false">SUM(C104:K104)</f>
        <v>0</v>
      </c>
      <c r="D21" s="139">
        <f>SUM(L104:W104)</f>
        <v>674711.8399999999</v>
      </c>
      <c r="E21" s="139">
        <f>SUM(X104:AI104)</f>
        <v>3036090.3899999997</v>
      </c>
      <c r="F21" s="139">
        <f>SUM(AJ104:AU104)</f>
        <v>1714836.708</v>
      </c>
      <c r="G21" s="139">
        <f>SUM(AV104:BG104)</f>
        <v>668387.178</v>
      </c>
      <c r="H21" s="139">
        <f>SUM(BH104:BS104)</f>
        <v>396407.267</v>
      </c>
      <c r="I21" s="139" t="n">
        <f aca="false">SUM(BT104:CE104)</f>
        <v>0</v>
      </c>
      <c r="J21" s="139" t="n">
        <f aca="false">SUM(CF104:CH104)</f>
        <v>0</v>
      </c>
    </row>
    <row r="22" customFormat="false" ht="15" hidden="false" customHeight="true" outlineLevel="0" collapsed="false">
      <c r="A22" s="109" t="inlineStr">
        <is>
          <t>Schuyler Bonus (40/45/50%)</t>
        </is>
      </c>
      <c r="B22" s="7">
        <f>C22+D22+E22+F22+G22+H22+I22+J22</f>
        <v>2951665.926</v>
      </c>
      <c r="C22" s="64" t="n">
        <f aca="false">SUM(C105:K105)</f>
        <v>0</v>
      </c>
      <c r="D22" s="64">
        <f>SUM(L105:W105)</f>
        <v>269884.73600000003</v>
      </c>
      <c r="E22" s="64">
        <f>SUM(X105:AI105)</f>
        <v>1335772.7319999998</v>
      </c>
      <c r="F22" s="64">
        <f>SUM(AJ105:AU105)</f>
        <v>813611.2355</v>
      </c>
      <c r="G22" s="64">
        <f>SUM(AV105:BG105)</f>
        <v>334193.589</v>
      </c>
      <c r="H22" s="64">
        <f>SUM(BH105:BS105)</f>
        <v>198203.6335</v>
      </c>
      <c r="I22" s="64" t="n">
        <f aca="false">SUM(BT105:CE105)</f>
        <v>0</v>
      </c>
      <c r="J22" s="64" t="n">
        <f aca="false">SUM(CF105:CH105)</f>
        <v>0</v>
      </c>
    </row>
    <row r="23" customFormat="false" ht="15" hidden="false" customHeight="true" outlineLevel="0" collapsed="false">
      <c r="A23" s="109" t="s">
        <v>581</v>
      </c>
      <c r="B23" s="7">
        <f>C23+D23+E23+F23+G23+H23+I23+J23</f>
        <v>3538767.4570000004</v>
      </c>
      <c r="C23" s="64" t="n">
        <f aca="false">SUM(C106:K106)</f>
        <v>0</v>
      </c>
      <c r="D23" s="64">
        <f>SUM(L106:W106)</f>
        <v>404827.10399999993</v>
      </c>
      <c r="E23" s="64">
        <f>SUM(X106:AI106)</f>
        <v>1700317.658</v>
      </c>
      <c r="F23" s="64">
        <f>SUM(AJ106:AU106)</f>
        <v>901225.4724999999</v>
      </c>
      <c r="G23" s="64">
        <f>SUM(AV106:BG106)</f>
        <v>334193.589</v>
      </c>
      <c r="H23" s="64">
        <f>SUM(BH106:BS106)</f>
        <v>198203.6335</v>
      </c>
      <c r="I23" s="64" t="n">
        <f aca="false">SUM(BT106:CE106)</f>
        <v>0</v>
      </c>
      <c r="J23" s="64" t="n">
        <f aca="false">SUM(CF106:CH106)</f>
        <v>0</v>
      </c>
    </row>
    <row r="24" customFormat="false" ht="15" hidden="false" customHeight="true" outlineLevel="0" collapsed="false">
      <c r="A24" s="140" t="s">
        <v>582</v>
      </c>
      <c r="B24" s="141">
        <f>C24+D24+E24+F24+G24+H24+I24+J24</f>
        <v>4101960.074</v>
      </c>
      <c r="C24" s="141" t="n">
        <f aca="false">SUM(C107:K107)</f>
        <v>0</v>
      </c>
      <c r="D24" s="141">
        <f>SUM(L107:W107)</f>
        <v>498408.924</v>
      </c>
      <c r="E24" s="141">
        <f>SUM(X107:AI107)</f>
        <v>1850317.658</v>
      </c>
      <c r="F24" s="141">
        <f>SUM(AJ107:AU107)</f>
        <v>1049675.7745</v>
      </c>
      <c r="G24" s="141">
        <f>SUM(AV107:BG107)</f>
        <v>471126.831</v>
      </c>
      <c r="H24" s="141">
        <f>SUM(BH107:BS107)</f>
        <v>232430.88650000002</v>
      </c>
      <c r="I24" s="141" t="n">
        <f aca="false">SUM(BT107:CE107)</f>
        <v>0</v>
      </c>
      <c r="J24" s="141" t="n">
        <f aca="false">SUM(CF107:CH107)</f>
        <v>0</v>
      </c>
    </row>
    <row r="26" customFormat="false" ht="15" hidden="false" customHeight="true" outlineLevel="0" collapsed="false">
      <c r="A26" s="142" t="s">
        <v>583</v>
      </c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customFormat="false" ht="15" hidden="false" customHeight="true" outlineLevel="0" collapsed="false">
      <c r="A27" s="143" t="s">
        <v>584</v>
      </c>
      <c r="B27" s="143" t="s">
        <v>585</v>
      </c>
      <c r="C27" s="143" t="s">
        <v>586</v>
      </c>
      <c r="D27" s="143" t="s">
        <v>571</v>
      </c>
      <c r="E27" s="143" t="s">
        <v>587</v>
      </c>
    </row>
    <row r="28" customFormat="false" ht="15" hidden="false" customHeight="true" outlineLevel="0" collapsed="false">
      <c r="A28" s="109" t="s">
        <v>588</v>
      </c>
      <c r="B28" s="135" t="n">
        <v>6</v>
      </c>
      <c r="C28" s="109" t="s">
        <v>589</v>
      </c>
      <c r="D28" s="64" t="n">
        <v>1400000</v>
      </c>
      <c r="E28" s="144" t="s">
        <v>590</v>
      </c>
    </row>
    <row r="29" customFormat="false" ht="15" hidden="false" customHeight="true" outlineLevel="0" collapsed="false">
      <c r="A29" s="109" t="s">
        <v>591</v>
      </c>
      <c r="B29" s="135" t="n">
        <v>18</v>
      </c>
      <c r="C29" s="109" t="s">
        <v>592</v>
      </c>
      <c r="D29" s="64" t="n">
        <v>1400000</v>
      </c>
      <c r="E29" s="144" t="s">
        <v>593</v>
      </c>
    </row>
    <row r="30" customFormat="false" ht="15" hidden="false" customHeight="true" outlineLevel="0" collapsed="false">
      <c r="A30" s="109" t="s">
        <v>594</v>
      </c>
      <c r="B30" s="135" t="n">
        <v>18</v>
      </c>
      <c r="C30" s="109" t="s">
        <v>595</v>
      </c>
      <c r="D30" s="64" t="n">
        <v>1400000</v>
      </c>
      <c r="E30" s="144" t="s">
        <v>596</v>
      </c>
    </row>
    <row r="31" customFormat="false" ht="15" hidden="false" customHeight="true" outlineLevel="0" collapsed="false">
      <c r="A31" s="109" t="s">
        <v>597</v>
      </c>
      <c r="B31" s="135" t="n">
        <v>18</v>
      </c>
      <c r="C31" s="109" t="s">
        <v>598</v>
      </c>
      <c r="D31" s="64" t="n">
        <v>1400000</v>
      </c>
      <c r="E31" s="144" t="s">
        <v>599</v>
      </c>
    </row>
    <row r="32" customFormat="false" ht="15" hidden="false" customHeight="true" outlineLevel="0" collapsed="false">
      <c r="A32" s="143" t="s">
        <v>318</v>
      </c>
      <c r="B32" s="145" t="n">
        <v>60</v>
      </c>
      <c r="C32" s="143" t="s">
        <v>600</v>
      </c>
      <c r="D32" s="146" t="n">
        <v>1400000</v>
      </c>
    </row>
    <row r="34" customFormat="false" ht="15" hidden="false" customHeight="true" outlineLevel="0" collapsed="false">
      <c r="A34" s="147" t="s">
        <v>601</v>
      </c>
      <c r="B34" s="147"/>
      <c r="C34" s="147"/>
      <c r="D34" s="147"/>
      <c r="E34" s="147"/>
      <c r="F34" s="147"/>
      <c r="G34" s="147"/>
      <c r="H34" s="147"/>
      <c r="I34" s="147"/>
      <c r="J34" s="147"/>
      <c r="K34" s="147"/>
    </row>
    <row r="35" customFormat="false" ht="15" hidden="false" customHeight="true" outlineLevel="0" collapsed="false">
      <c r="A35" s="148" t="s">
        <v>602</v>
      </c>
      <c r="B35" s="148" t="s">
        <v>603</v>
      </c>
      <c r="C35" s="148" t="s">
        <v>604</v>
      </c>
      <c r="D35" s="148" t="s">
        <v>605</v>
      </c>
      <c r="E35" s="148" t="s">
        <v>606</v>
      </c>
      <c r="F35" s="148" t="s">
        <v>236</v>
      </c>
    </row>
    <row r="36" customFormat="false" ht="15" hidden="false" customHeight="true" outlineLevel="0" collapsed="false">
      <c r="A36" s="109" t="s">
        <v>607</v>
      </c>
      <c r="B36" s="109" t="s">
        <v>608</v>
      </c>
      <c r="C36" s="109" t="s">
        <v>609</v>
      </c>
      <c r="D36" s="64" t="n">
        <v>14000</v>
      </c>
      <c r="E36" s="64" t="n">
        <v>840000</v>
      </c>
      <c r="F36" s="149" t="s">
        <v>610</v>
      </c>
    </row>
    <row r="37" customFormat="false" ht="15" hidden="false" customHeight="true" outlineLevel="0" collapsed="false">
      <c r="A37" s="109" t="s">
        <v>611</v>
      </c>
      <c r="B37" s="109" t="s">
        <v>612</v>
      </c>
      <c r="C37" s="109" t="s">
        <v>613</v>
      </c>
      <c r="D37" s="64" t="n">
        <v>96563</v>
      </c>
      <c r="E37" s="64" t="n">
        <v>5793808</v>
      </c>
      <c r="F37" s="149" t="s">
        <v>614</v>
      </c>
    </row>
    <row r="38" customFormat="false" ht="15" hidden="false" customHeight="true" outlineLevel="0" collapsed="false">
      <c r="A38" s="109" t="s">
        <v>615</v>
      </c>
      <c r="B38" s="109" t="s">
        <v>616</v>
      </c>
      <c r="C38" s="109" t="s">
        <v>617</v>
      </c>
      <c r="D38" s="64" t="n">
        <v>5400</v>
      </c>
      <c r="E38" s="64" t="n">
        <v>324000</v>
      </c>
      <c r="F38" s="149" t="s">
        <v>618</v>
      </c>
    </row>
    <row r="39" customFormat="false" ht="15" hidden="false" customHeight="true" outlineLevel="0" collapsed="false">
      <c r="A39" s="109" t="s">
        <v>619</v>
      </c>
      <c r="B39" s="109" t="s">
        <v>608</v>
      </c>
      <c r="C39" s="109" t="s">
        <v>620</v>
      </c>
      <c r="D39" s="64" t="n">
        <v>34198</v>
      </c>
      <c r="E39" s="64" t="n">
        <v>2051858</v>
      </c>
      <c r="F39" s="149" t="s">
        <v>621</v>
      </c>
    </row>
    <row r="40" customFormat="false" ht="15" hidden="false" customHeight="true" outlineLevel="0" collapsed="false">
      <c r="A40" s="148" t="s">
        <v>469</v>
      </c>
      <c r="D40" s="150" t="n">
        <v>150161</v>
      </c>
      <c r="E40" s="150" t="n">
        <v>9009665</v>
      </c>
    </row>
    <row r="42" customFormat="false" ht="15" hidden="false" customHeight="true" outlineLevel="0" collapsed="false">
      <c r="A42" s="151" t="s">
        <v>622</v>
      </c>
      <c r="B42" s="151"/>
      <c r="C42" s="151"/>
      <c r="D42" s="151"/>
      <c r="E42" s="151"/>
      <c r="F42" s="151"/>
      <c r="G42" s="151"/>
      <c r="H42" s="151"/>
      <c r="I42" s="151"/>
      <c r="J42" s="151"/>
      <c r="K42" s="151"/>
    </row>
    <row r="43" customFormat="false" ht="15" hidden="false" customHeight="true" outlineLevel="0" collapsed="false">
      <c r="A43" s="152" t="s">
        <v>475</v>
      </c>
      <c r="B43" s="152" t="s">
        <v>623</v>
      </c>
      <c r="C43" s="152" t="s">
        <v>624</v>
      </c>
      <c r="D43" s="152" t="s">
        <v>625</v>
      </c>
      <c r="E43" s="152" t="s">
        <v>626</v>
      </c>
      <c r="F43" s="152" t="s">
        <v>627</v>
      </c>
      <c r="G43" s="152" t="s">
        <v>628</v>
      </c>
    </row>
    <row r="44" customFormat="false" ht="15" hidden="false" customHeight="true" outlineLevel="0" collapsed="false">
      <c r="A44" s="109" t="inlineStr">
        <is>
          <t>Project Manager 1</t>
        </is>
      </c>
      <c r="B44" s="64">
        <v>125000</v>
      </c>
      <c r="C44" s="64">
        <v>10417</v>
      </c>
      <c r="D44" s="109" t="inlineStr">
        <is>
          <t>Mo 11</t>
        </is>
      </c>
      <c r="E44" s="109" t="s">
        <v>630</v>
      </c>
      <c r="F44" s="109">
        <v>47</v>
      </c>
      <c r="G44" s="64">
        <f>C44*F44</f>
        <v>489599</v>
      </c>
    </row>
    <row r="45" customFormat="false" ht="15" hidden="false" customHeight="true" outlineLevel="0" collapsed="false">
      <c r="A45" s="109" t="s">
        <v>631</v>
      </c>
      <c r="B45" s="64" t="n">
        <v>90000</v>
      </c>
      <c r="C45" s="64" t="n">
        <v>7500</v>
      </c>
      <c r="D45" s="109" t="inlineStr">
        <is>
          <t>Mo 14</t>
        </is>
      </c>
      <c r="E45" s="109" t="s">
        <v>630</v>
      </c>
      <c r="F45" s="109">
        <v>44</v>
      </c>
      <c r="G45" s="64">
        <f>C45*F45</f>
        <v>330000</v>
      </c>
    </row>
    <row r="46" customFormat="false" ht="15" hidden="false" customHeight="true" outlineLevel="0" collapsed="false">
      <c r="A46" s="109" t="inlineStr">
        <is>
          <t>Accountant</t>
        </is>
      </c>
      <c r="B46" s="64">
        <v>110000</v>
      </c>
      <c r="C46" s="64">
        <v>9167</v>
      </c>
      <c r="D46" s="109" t="inlineStr">
        <is>
          <t>Mo 19</t>
        </is>
      </c>
      <c r="E46" s="109" t="s">
        <v>630</v>
      </c>
      <c r="F46" s="109">
        <v>39</v>
      </c>
      <c r="G46" s="64">
        <f>C46*F46</f>
        <v>357513</v>
      </c>
    </row>
    <row r="47" customFormat="false" ht="15" hidden="false" customHeight="true" outlineLevel="0" collapsed="false">
      <c r="A47" s="109" t="s">
        <v>633</v>
      </c>
      <c r="B47" s="64" t="n">
        <v>125000</v>
      </c>
      <c r="C47" s="64" t="n">
        <v>10417</v>
      </c>
      <c r="D47" s="109" t="inlineStr">
        <is>
          <t>Mo 27</t>
        </is>
      </c>
      <c r="E47" s="109" t="s">
        <v>630</v>
      </c>
      <c r="F47" s="109">
        <v>31</v>
      </c>
      <c r="G47" s="64">
        <f>C47*F47</f>
        <v>322927</v>
      </c>
    </row>
    <row r="48" customFormat="false" ht="15" hidden="false" customHeight="true" outlineLevel="0" collapsed="false">
      <c r="A48" s="152" t="s">
        <v>634</v>
      </c>
      <c r="G48" s="153">
        <f>SUM(G44:G47)</f>
        <v>1500039</v>
      </c>
    </row>
    <row r="50" customFormat="false" ht="15" hidden="false" customHeight="true" outlineLevel="0" collapsed="false">
      <c r="A50" s="154" t="s">
        <v>635</v>
      </c>
      <c r="B50" s="154"/>
      <c r="C50" s="154"/>
      <c r="D50" s="154"/>
      <c r="E50" s="154"/>
      <c r="F50" s="154"/>
      <c r="G50" s="154"/>
      <c r="H50" s="154"/>
      <c r="I50" s="154"/>
      <c r="J50" s="154"/>
      <c r="K50" s="154"/>
    </row>
    <row r="51" customFormat="false" ht="15" hidden="false" customHeight="true" outlineLevel="0" collapsed="false">
      <c r="A51" s="155" t="s">
        <v>636</v>
      </c>
      <c r="B51" s="155" t="s">
        <v>637</v>
      </c>
      <c r="C51" s="155" t="s">
        <v>624</v>
      </c>
      <c r="D51" s="155" t="s">
        <v>638</v>
      </c>
      <c r="E51" s="155" t="s">
        <v>318</v>
      </c>
    </row>
    <row r="52" customFormat="false" ht="15" hidden="false" customHeight="true" outlineLevel="0" collapsed="false">
      <c r="A52" s="109" t="s">
        <v>639</v>
      </c>
      <c r="B52" s="64" t="n">
        <v>40000</v>
      </c>
      <c r="C52" s="64" t="n">
        <v>3333</v>
      </c>
      <c r="D52" s="109" t="n">
        <v>4</v>
      </c>
      <c r="E52" s="64" t="n">
        <v>160000</v>
      </c>
    </row>
    <row r="53" customFormat="false" ht="15" hidden="false" customHeight="true" outlineLevel="0" collapsed="false">
      <c r="A53" s="109" t="s">
        <v>115</v>
      </c>
      <c r="B53" s="64">
        <v>20000</v>
      </c>
      <c r="C53" s="64">
        <v>1667</v>
      </c>
      <c r="D53" s="109" t="n">
        <v>4</v>
      </c>
      <c r="E53" s="64">
        <v>80000</v>
      </c>
    </row>
    <row r="54" customFormat="false" ht="15" hidden="false" customHeight="true" outlineLevel="0" collapsed="false">
      <c r="A54" s="109" t="s">
        <v>640</v>
      </c>
      <c r="B54" s="64" t="n">
        <v>30000</v>
      </c>
      <c r="C54" s="64" t="n">
        <v>2500</v>
      </c>
      <c r="D54" s="109" t="n">
        <v>4</v>
      </c>
      <c r="E54" s="64" t="n">
        <v>120000</v>
      </c>
    </row>
    <row r="55" customFormat="false" ht="15" hidden="false" customHeight="true" outlineLevel="0" collapsed="false">
      <c r="A55" s="109" t="s">
        <v>641</v>
      </c>
      <c r="B55" s="64" t="n">
        <v>24000</v>
      </c>
      <c r="C55" s="64" t="n">
        <v>2000</v>
      </c>
      <c r="D55" s="109" t="n">
        <v>4</v>
      </c>
      <c r="E55" s="64" t="n">
        <v>96000</v>
      </c>
    </row>
    <row r="56" customFormat="false" ht="15" hidden="false" customHeight="true" outlineLevel="0" collapsed="false">
      <c r="A56" s="155" t="s">
        <v>642</v>
      </c>
      <c r="E56" s="156">
        <v>456000</v>
      </c>
    </row>
    <row r="57" customFormat="false" ht="15" hidden="false" customHeight="true" outlineLevel="0" collapsed="false">
      <c r="A57" s="157" t="s">
        <v>643</v>
      </c>
    </row>
    <row r="59" customFormat="false" ht="15" hidden="false" customHeight="true" outlineLevel="0" collapsed="false">
      <c r="A59" s="158" t="s">
        <v>644</v>
      </c>
      <c r="B59" s="158"/>
      <c r="C59" s="158"/>
      <c r="D59" s="158"/>
      <c r="E59" s="158"/>
      <c r="F59" s="158"/>
      <c r="G59" s="158"/>
      <c r="H59" s="158"/>
      <c r="I59" s="158"/>
      <c r="J59" s="158"/>
      <c r="K59" s="158"/>
    </row>
    <row r="60" customFormat="false" ht="15" hidden="false" customHeight="true" outlineLevel="0" collapsed="false">
      <c r="A60" s="109" t="s">
        <v>645</v>
      </c>
      <c r="B60" s="64">
        <f>B16</f>
        <v>9009665</v>
      </c>
    </row>
    <row r="61" customFormat="false" ht="15" hidden="false" customHeight="true" outlineLevel="0" collapsed="false">
      <c r="A61" s="109" t="s">
        <v>575</v>
      </c>
      <c r="B61" s="64">
        <f>B17</f>
        <v>-1500039</v>
      </c>
    </row>
    <row r="62" customFormat="false" ht="15" hidden="false" customHeight="true" outlineLevel="0" collapsed="false">
      <c r="A62" s="109" t="s">
        <v>576</v>
      </c>
      <c r="B62" s="64">
        <f>B18</f>
        <v>-456000</v>
      </c>
    </row>
    <row r="63" customFormat="false" ht="15" hidden="false" customHeight="true" outlineLevel="0" collapsed="false">
      <c r="A63" s="143" t="s">
        <v>577</v>
      </c>
      <c r="B63" s="146">
        <f>B60+B61+B62</f>
        <v>7053626</v>
      </c>
    </row>
    <row r="64" customFormat="false" ht="15" hidden="false" customHeight="true" outlineLevel="0" collapsed="false">
      <c r="A64" s="109" t="inlineStr">
        <is>
          <t>SP Overhead (10% Revenue, max $150K/yr)</t>
        </is>
      </c>
      <c r="B64" s="64">
        <f>-B20</f>
        <v>-563192.617</v>
      </c>
    </row>
    <row r="65" customFormat="false" ht="15" hidden="false" customHeight="true" outlineLevel="0" collapsed="false">
      <c r="A65" s="143" t="s">
        <v>579</v>
      </c>
      <c r="B65" s="146">
        <f>B63+B64</f>
        <v>6490433.383</v>
      </c>
    </row>
    <row r="66" customFormat="false" ht="15" hidden="false" customHeight="true" outlineLevel="0" collapsed="false">
      <c r="A66" s="109" t="inlineStr">
        <is>
          <t>Schuyler Bonus (40/45/50% tiered)</t>
        </is>
      </c>
      <c r="B66" s="64">
        <f>-B22</f>
        <v>-2951665.926</v>
      </c>
    </row>
    <row r="67" customFormat="false" ht="15" hidden="false" customHeight="true" outlineLevel="0" collapsed="false">
      <c r="A67" s="143" t="s">
        <v>581</v>
      </c>
      <c r="B67" s="146">
        <f>B65+B66</f>
        <v>3538767.4570000004</v>
      </c>
    </row>
    <row r="68" customFormat="false" ht="15" hidden="false" customHeight="true" outlineLevel="0" collapsed="false">
      <c r="A68" s="109" t="s">
        <v>578</v>
      </c>
      <c r="B68" s="64">
        <f>B20</f>
        <v>563192.617</v>
      </c>
    </row>
    <row r="69" customFormat="false" ht="15" hidden="false" customHeight="true" outlineLevel="0" collapsed="false">
      <c r="A69" s="143" t="s">
        <v>582</v>
      </c>
      <c r="B69" s="146">
        <f>B67+B68</f>
        <v>4101960.0740000005</v>
      </c>
    </row>
    <row r="71" customFormat="false" ht="15" hidden="false" customHeight="true" outlineLevel="0" collapsed="false">
      <c r="A71" s="147" t="s">
        <v>648</v>
      </c>
      <c r="B71" s="147"/>
      <c r="C71" s="147"/>
      <c r="D71" s="147"/>
      <c r="E71" s="147"/>
      <c r="F71" s="147"/>
      <c r="G71" s="147"/>
      <c r="H71" s="147"/>
      <c r="I71" s="147"/>
      <c r="J71" s="147"/>
      <c r="K71" s="147"/>
    </row>
    <row r="72" customFormat="false" ht="15" hidden="false" customHeight="true" outlineLevel="0" collapsed="false">
      <c r="A72" s="148" t="s">
        <v>474</v>
      </c>
      <c r="B72" s="148" t="s">
        <v>475</v>
      </c>
      <c r="C72" s="148" t="s">
        <v>649</v>
      </c>
    </row>
    <row r="73" customFormat="false" ht="31.5" hidden="false" customHeight="true" outlineLevel="0" collapsed="false">
      <c r="A73" s="6" t="s">
        <v>524</v>
      </c>
      <c r="B73" s="109" t="s">
        <v>650</v>
      </c>
      <c r="C73" s="159" t="s">
        <v>651</v>
      </c>
      <c r="D73" s="159"/>
      <c r="E73" s="159"/>
      <c r="F73" s="159"/>
      <c r="G73" s="159"/>
    </row>
    <row r="74" customFormat="false" ht="31.5" hidden="false" customHeight="true" outlineLevel="0" collapsed="false">
      <c r="A74" s="6" t="s">
        <v>517</v>
      </c>
      <c r="B74" s="109" t="s">
        <v>652</v>
      </c>
      <c r="C74" s="159" t="s">
        <v>653</v>
      </c>
      <c r="D74" s="159"/>
      <c r="E74" s="159"/>
      <c r="F74" s="159"/>
      <c r="G74" s="159"/>
    </row>
    <row r="75" customFormat="false" ht="31.5" hidden="false" customHeight="true" outlineLevel="0" collapsed="false">
      <c r="A75" s="6" t="s">
        <v>526</v>
      </c>
      <c r="B75" s="109" t="s">
        <v>654</v>
      </c>
      <c r="C75" s="159" t="s">
        <v>655</v>
      </c>
      <c r="D75" s="159"/>
      <c r="E75" s="159"/>
      <c r="F75" s="159"/>
      <c r="G75" s="159"/>
    </row>
    <row r="76" customFormat="false" ht="31.5" hidden="false" customHeight="true" outlineLevel="0" collapsed="false">
      <c r="A76" s="6" t="s">
        <v>530</v>
      </c>
      <c r="B76" s="109" t="s">
        <v>656</v>
      </c>
      <c r="C76" s="159" t="s">
        <v>657</v>
      </c>
      <c r="D76" s="159"/>
      <c r="E76" s="159"/>
      <c r="F76" s="159"/>
      <c r="G76" s="159"/>
    </row>
    <row r="77" customFormat="false" ht="31.5" hidden="false" customHeight="true" outlineLevel="0" collapsed="false">
      <c r="A77" s="6" t="s">
        <v>528</v>
      </c>
      <c r="B77" s="109" t="s">
        <v>656</v>
      </c>
      <c r="C77" s="159" t="s">
        <v>658</v>
      </c>
      <c r="D77" s="159"/>
      <c r="E77" s="159"/>
      <c r="F77" s="159"/>
      <c r="G77" s="159"/>
    </row>
    <row r="78" customFormat="false" ht="31.5" hidden="false" customHeight="true" outlineLevel="0" collapsed="false">
      <c r="A78" s="6" t="s">
        <v>522</v>
      </c>
      <c r="B78" s="109" t="s">
        <v>659</v>
      </c>
      <c r="C78" s="159" t="s">
        <v>660</v>
      </c>
      <c r="D78" s="159"/>
      <c r="E78" s="159"/>
      <c r="F78" s="159"/>
      <c r="G78" s="159"/>
    </row>
    <row r="80" customFormat="false" ht="15" hidden="false" customHeight="true" outlineLevel="0" collapsed="false">
      <c r="A80" s="160" t="s">
        <v>661</v>
      </c>
      <c r="B80" s="160"/>
      <c r="C80" s="160"/>
      <c r="D80" s="160"/>
      <c r="E80" s="160"/>
      <c r="F80" s="160"/>
      <c r="G80" s="160"/>
      <c r="H80" s="160"/>
      <c r="I80" s="160"/>
      <c r="J80" s="160"/>
      <c r="K80" s="160"/>
    </row>
    <row r="81" customFormat="false" ht="27.75" hidden="false" customHeight="true" outlineLevel="0" collapsed="false">
      <c r="A81" s="6" t="s">
        <v>662</v>
      </c>
      <c r="B81" s="159" t="s">
        <v>663</v>
      </c>
      <c r="C81" s="159"/>
      <c r="D81" s="159"/>
      <c r="E81" s="159"/>
      <c r="F81" s="159"/>
      <c r="G81" s="159"/>
    </row>
    <row r="82" customFormat="false" ht="27.75" hidden="false" customHeight="true" outlineLevel="0" collapsed="false">
      <c r="A82" s="6" t="s">
        <v>664</v>
      </c>
      <c r="B82" s="159" t="s">
        <v>665</v>
      </c>
      <c r="C82" s="159"/>
      <c r="D82" s="159"/>
      <c r="E82" s="159"/>
      <c r="F82" s="159"/>
      <c r="G82" s="159"/>
    </row>
    <row r="83" customFormat="false" ht="27.75" hidden="false" customHeight="true" outlineLevel="0" collapsed="false">
      <c r="A83" s="6" t="s">
        <v>666</v>
      </c>
      <c r="B83" s="159" t="s">
        <v>667</v>
      </c>
      <c r="C83" s="159"/>
      <c r="D83" s="159"/>
      <c r="E83" s="159"/>
      <c r="F83" s="159"/>
      <c r="G83" s="159"/>
    </row>
    <row r="84" customFormat="false" ht="27.75" hidden="false" customHeight="true" outlineLevel="0" collapsed="false">
      <c r="A84" s="6" t="s">
        <v>668</v>
      </c>
      <c r="B84" s="159" t="s">
        <v>669</v>
      </c>
      <c r="C84" s="159"/>
      <c r="D84" s="159"/>
      <c r="E84" s="159"/>
      <c r="F84" s="159"/>
      <c r="G84" s="159"/>
    </row>
    <row r="85" customFormat="false" ht="27.75" hidden="false" customHeight="true" outlineLevel="0" collapsed="false">
      <c r="A85" s="6" t="s">
        <v>670</v>
      </c>
      <c r="B85" s="159" t="inlineStr">
        <is>
          <t>SP Overhead is 10% of all fee revenue, capped at $150,000 per year, retained by Six Peak.</t>
        </is>
      </c>
      <c r="C85" s="159"/>
      <c r="D85" s="159"/>
      <c r="E85" s="159"/>
      <c r="F85" s="159"/>
      <c r="G85" s="159"/>
    </row>
    <row r="86" customFormat="false" ht="27.75" hidden="false" customHeight="true" outlineLevel="0" collapsed="false">
      <c r="A86" s="6" t="s">
        <v>672</v>
      </c>
      <c r="B86" s="159" t="inlineStr">
        <is>
          <t>Schuyler bonus: 40% on first 20 deals (Mo 10-24), 45% on next 20 (Mo 25-37), 50% on final 20 (Mo 38+). Paid on positive months only.</t>
        </is>
      </c>
      <c r="C86" s="159"/>
      <c r="D86" s="159"/>
      <c r="E86" s="159"/>
      <c r="F86" s="159"/>
      <c r="G86" s="159"/>
    </row>
    <row r="87" customFormat="false" ht="27.75" hidden="false" customHeight="true" outlineLevel="0" collapsed="false">
      <c r="A87" s="6" t="s">
        <v>674</v>
      </c>
      <c r="B87" s="159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9"/>
      <c r="D87" s="159"/>
      <c r="E87" s="159"/>
      <c r="F87" s="159"/>
      <c r="G87" s="159"/>
    </row>
    <row r="88" customFormat="false" ht="27.75" hidden="false" customHeight="true" outlineLevel="0" collapsed="false">
      <c r="A88" s="6" t="s">
        <v>676</v>
      </c>
      <c r="B88" s="159" t="inlineStr">
        <is>
          <t>Other OpEx: Acctg/Audit/Tax ($40K/yr), Insurance ($20K/yr), Office ($2,500/mo), Computer ($24K/yr).</t>
        </is>
      </c>
      <c r="C88" s="159"/>
      <c r="D88" s="159"/>
      <c r="E88" s="159"/>
      <c r="F88" s="159"/>
      <c r="G88" s="159"/>
    </row>
    <row r="89" customFormat="false" ht="27.75" hidden="false" customHeight="true" outlineLevel="0" collapsed="false">
      <c r="A89" s="6" t="s">
        <v>678</v>
      </c>
      <c r="B89" s="159" t="s">
        <v>679</v>
      </c>
      <c r="C89" s="159"/>
      <c r="D89" s="159"/>
      <c r="E89" s="159"/>
      <c r="F89" s="159"/>
      <c r="G89" s="159"/>
    </row>
    <row r="90" customFormat="false" ht="27.75" hidden="false" customHeight="true" outlineLevel="0" collapsed="false">
      <c r="A90" s="6" t="s">
        <v>680</v>
      </c>
      <c r="B90" s="159" t="s">
        <v>681</v>
      </c>
      <c r="C90" s="159"/>
      <c r="D90" s="159"/>
      <c r="E90" s="159"/>
      <c r="F90" s="159"/>
      <c r="G90" s="159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2" t="s">
        <v>682</v>
      </c>
      <c r="B93" s="142"/>
      <c r="C93" s="142"/>
      <c r="D93" s="142"/>
      <c r="E93" s="142"/>
      <c r="F93" s="142"/>
      <c r="G93" s="142"/>
      <c r="H93" s="142"/>
      <c r="I93" s="142"/>
      <c r="J93" s="142"/>
      <c r="K93" s="142"/>
    </row>
    <row r="94" customFormat="false" ht="15" hidden="false" customHeight="true" outlineLevel="0" collapsed="false">
      <c r="A94" s="109" t="s">
        <v>683</v>
      </c>
      <c r="B94" s="161" t="n">
        <v>0.1</v>
      </c>
    </row>
    <row r="95" customFormat="false" ht="15" hidden="false" customHeight="true" outlineLevel="0" collapsed="false">
      <c r="A95" s="109" t="inlineStr">
        <is>
          <t>SP Overhead Annual Cap</t>
        </is>
      </c>
      <c r="B95" s="161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2" t="s">
        <v>685</v>
      </c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  <c r="BJ97" s="163"/>
      <c r="BK97" s="163"/>
      <c r="BL97" s="163"/>
      <c r="BM97" s="163"/>
      <c r="BN97" s="163"/>
      <c r="BO97" s="163"/>
      <c r="BP97" s="163"/>
      <c r="BQ97" s="163"/>
      <c r="BR97" s="163"/>
      <c r="BS97" s="163"/>
      <c r="BT97" s="163"/>
      <c r="BU97" s="163"/>
      <c r="BV97" s="163"/>
      <c r="BW97" s="163"/>
      <c r="BX97" s="163"/>
      <c r="BY97" s="163"/>
      <c r="BZ97" s="163"/>
      <c r="CA97" s="163"/>
      <c r="CB97" s="163"/>
      <c r="CC97" s="163"/>
      <c r="CD97" s="163"/>
      <c r="CE97" s="163"/>
      <c r="CF97" s="163"/>
      <c r="CG97" s="163"/>
      <c r="CH97" s="163"/>
    </row>
    <row r="98" customFormat="false" ht="15" hidden="false" customHeight="true" outlineLevel="0" collapsed="false">
      <c r="A98" s="163"/>
      <c r="C98" s="165" t="n">
        <v>1</v>
      </c>
      <c r="D98" s="165" t="n">
        <v>2</v>
      </c>
      <c r="E98" s="165" t="n">
        <v>3</v>
      </c>
      <c r="F98" s="165" t="n">
        <v>4</v>
      </c>
      <c r="G98" s="165" t="n">
        <v>5</v>
      </c>
      <c r="H98" s="165" t="n">
        <v>6</v>
      </c>
      <c r="I98" s="165" t="n">
        <v>7</v>
      </c>
      <c r="J98" s="165" t="n">
        <v>8</v>
      </c>
      <c r="K98" s="165" t="n">
        <v>9</v>
      </c>
      <c r="L98" s="165" t="n">
        <v>10</v>
      </c>
      <c r="M98" s="165" t="n">
        <v>11</v>
      </c>
      <c r="N98" s="165" t="n">
        <v>12</v>
      </c>
      <c r="O98" s="165" t="n">
        <v>13</v>
      </c>
      <c r="P98" s="165" t="n">
        <v>14</v>
      </c>
      <c r="Q98" s="165" t="n">
        <v>15</v>
      </c>
      <c r="R98" s="165" t="n">
        <v>16</v>
      </c>
      <c r="S98" s="165" t="n">
        <v>17</v>
      </c>
      <c r="T98" s="165" t="n">
        <v>18</v>
      </c>
      <c r="U98" s="165" t="n">
        <v>19</v>
      </c>
      <c r="V98" s="165" t="n">
        <v>20</v>
      </c>
      <c r="W98" s="165" t="n">
        <v>21</v>
      </c>
      <c r="X98" s="165" t="n">
        <v>22</v>
      </c>
      <c r="Y98" s="165" t="n">
        <v>23</v>
      </c>
      <c r="Z98" s="165" t="n">
        <v>24</v>
      </c>
      <c r="AA98" s="165" t="n">
        <v>25</v>
      </c>
      <c r="AB98" s="165" t="n">
        <v>26</v>
      </c>
      <c r="AC98" s="165" t="n">
        <v>27</v>
      </c>
      <c r="AD98" s="165" t="n">
        <v>28</v>
      </c>
      <c r="AE98" s="165" t="n">
        <v>29</v>
      </c>
      <c r="AF98" s="165" t="n">
        <v>30</v>
      </c>
      <c r="AG98" s="165" t="n">
        <v>31</v>
      </c>
      <c r="AH98" s="165" t="n">
        <v>32</v>
      </c>
      <c r="AI98" s="165" t="n">
        <v>33</v>
      </c>
      <c r="AJ98" s="165" t="n">
        <v>34</v>
      </c>
      <c r="AK98" s="165" t="n">
        <v>35</v>
      </c>
      <c r="AL98" s="165" t="n">
        <v>36</v>
      </c>
      <c r="AM98" s="165" t="n">
        <v>37</v>
      </c>
      <c r="AN98" s="165" t="n">
        <v>38</v>
      </c>
      <c r="AO98" s="165" t="n">
        <v>39</v>
      </c>
      <c r="AP98" s="165" t="n">
        <v>40</v>
      </c>
      <c r="AQ98" s="165" t="n">
        <v>41</v>
      </c>
      <c r="AR98" s="165" t="n">
        <v>42</v>
      </c>
      <c r="AS98" s="165" t="n">
        <v>43</v>
      </c>
      <c r="AT98" s="165" t="n">
        <v>44</v>
      </c>
      <c r="AU98" s="165" t="n">
        <v>45</v>
      </c>
      <c r="AV98" s="165" t="n">
        <v>46</v>
      </c>
      <c r="AW98" s="165" t="n">
        <v>47</v>
      </c>
      <c r="AX98" s="165" t="n">
        <v>48</v>
      </c>
      <c r="AY98" s="165" t="n">
        <v>49</v>
      </c>
      <c r="AZ98" s="165" t="n">
        <v>50</v>
      </c>
      <c r="BA98" s="165" t="n">
        <v>51</v>
      </c>
      <c r="BB98" s="165" t="n">
        <v>52</v>
      </c>
      <c r="BC98" s="165" t="n">
        <v>53</v>
      </c>
      <c r="BD98" s="165" t="n">
        <v>54</v>
      </c>
      <c r="BE98" s="165" t="n">
        <v>55</v>
      </c>
      <c r="BF98" s="165" t="n">
        <v>56</v>
      </c>
      <c r="BG98" s="165" t="n">
        <v>57</v>
      </c>
      <c r="BH98" s="165" t="n">
        <v>58</v>
      </c>
      <c r="BI98" s="165" t="n">
        <v>59</v>
      </c>
      <c r="BJ98" s="165" t="n">
        <v>60</v>
      </c>
      <c r="BK98" s="165" t="n">
        <v>61</v>
      </c>
      <c r="BL98" s="165" t="n">
        <v>62</v>
      </c>
      <c r="BM98" s="165" t="n">
        <v>63</v>
      </c>
      <c r="BN98" s="165" t="n">
        <v>64</v>
      </c>
      <c r="BO98" s="165" t="n">
        <v>65</v>
      </c>
      <c r="BP98" s="165" t="n">
        <v>66</v>
      </c>
      <c r="BQ98" s="165" t="n">
        <v>67</v>
      </c>
      <c r="BR98" s="165" t="n">
        <v>68</v>
      </c>
      <c r="BS98" s="165" t="n">
        <v>69</v>
      </c>
      <c r="BT98" s="165" t="n">
        <v>70</v>
      </c>
      <c r="BU98" s="165" t="n">
        <v>71</v>
      </c>
      <c r="BV98" s="165" t="n">
        <v>72</v>
      </c>
      <c r="BW98" s="165" t="n">
        <v>73</v>
      </c>
      <c r="BX98" s="165" t="n">
        <v>74</v>
      </c>
      <c r="BY98" s="165" t="n">
        <v>75</v>
      </c>
      <c r="BZ98" s="165" t="n">
        <v>76</v>
      </c>
      <c r="CA98" s="165" t="n">
        <v>77</v>
      </c>
      <c r="CB98" s="165" t="n">
        <v>78</v>
      </c>
      <c r="CC98" s="165" t="n">
        <v>79</v>
      </c>
      <c r="CD98" s="165" t="n">
        <v>80</v>
      </c>
      <c r="CE98" s="165" t="n">
        <v>81</v>
      </c>
      <c r="CF98" s="165" t="n">
        <v>82</v>
      </c>
      <c r="CG98" s="165" t="n">
        <v>83</v>
      </c>
      <c r="CH98" s="165" t="n">
        <v>84</v>
      </c>
    </row>
    <row r="99" customFormat="false" ht="15" hidden="false" customHeight="true" outlineLevel="0" collapsed="false">
      <c r="A99" s="165" t="s">
        <v>469</v>
      </c>
      <c r="B99" s="166" t="n">
        <f aca="false">SUM(C99:CH99)</f>
        <v>9009665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7" t="n">
        <v>45050.36</v>
      </c>
      <c r="M99" s="167" t="n">
        <v>45050.36</v>
      </c>
      <c r="N99" s="167" t="n">
        <v>45050.36</v>
      </c>
      <c r="O99" s="167" t="n">
        <v>45050.36</v>
      </c>
      <c r="P99" s="167" t="n">
        <v>45050.36</v>
      </c>
      <c r="Q99" s="167" t="n">
        <v>45050.36</v>
      </c>
      <c r="R99" s="167" t="n">
        <v>70944.52</v>
      </c>
      <c r="S99" s="167" t="n">
        <v>96838.68</v>
      </c>
      <c r="T99" s="167" t="n">
        <v>122732.84</v>
      </c>
      <c r="U99" s="167" t="n">
        <v>148626.99</v>
      </c>
      <c r="V99" s="167" t="n">
        <v>174521.16</v>
      </c>
      <c r="W99" s="167" t="n">
        <v>200415.31</v>
      </c>
      <c r="X99" s="167" t="n">
        <v>226309.46</v>
      </c>
      <c r="Y99" s="167" t="n">
        <v>252203.62</v>
      </c>
      <c r="Z99" s="167" t="n">
        <v>278097.79</v>
      </c>
      <c r="AA99" s="167" t="n">
        <v>303991.94</v>
      </c>
      <c r="AB99" s="167" t="n">
        <v>329886.11</v>
      </c>
      <c r="AC99" s="167" t="n">
        <v>400830.61</v>
      </c>
      <c r="AD99" s="167" t="n">
        <v>311512.01</v>
      </c>
      <c r="AE99" s="167" t="n">
        <v>312294.13</v>
      </c>
      <c r="AF99" s="167" t="n">
        <v>313076.23</v>
      </c>
      <c r="AG99" s="167" t="n">
        <v>313858.34</v>
      </c>
      <c r="AH99" s="167" t="n">
        <v>314640.44</v>
      </c>
      <c r="AI99" s="167" t="n">
        <v>341316.71</v>
      </c>
      <c r="AJ99" s="167" t="n">
        <v>316204.67</v>
      </c>
      <c r="AK99" s="167" t="n">
        <v>291092.62</v>
      </c>
      <c r="AL99" s="167" t="n">
        <v>265980.57</v>
      </c>
      <c r="AM99" s="167" t="n">
        <v>240868.51</v>
      </c>
      <c r="AN99" s="167" t="n">
        <v>215756.47</v>
      </c>
      <c r="AO99" s="167" t="n">
        <v>190644.42</v>
      </c>
      <c r="AP99" s="167" t="n">
        <v>165532.36</v>
      </c>
      <c r="AQ99" s="167" t="n">
        <v>140420.32</v>
      </c>
      <c r="AR99" s="167" t="n">
        <v>115308.27</v>
      </c>
      <c r="AS99" s="167" t="n">
        <v>196095.1</v>
      </c>
      <c r="AT99" s="167" t="n">
        <v>170200.95</v>
      </c>
      <c r="AU99" s="167" t="n">
        <v>119194.75</v>
      </c>
      <c r="AV99" s="167" t="n">
        <v>118412.64</v>
      </c>
      <c r="AW99" s="167" t="n">
        <v>117630.52</v>
      </c>
      <c r="AX99" s="167" t="n">
        <v>116848.42</v>
      </c>
      <c r="AY99" s="167" t="n">
        <v>116066.31</v>
      </c>
      <c r="AZ99" s="167" t="n">
        <v>115284.2</v>
      </c>
      <c r="BA99" s="167" t="n">
        <v>114502.09</v>
      </c>
      <c r="BB99" s="167" t="n">
        <v>113719.98</v>
      </c>
      <c r="BC99" s="167" t="n">
        <v>112937.87</v>
      </c>
      <c r="BD99" s="167" t="n">
        <v>112155.76</v>
      </c>
      <c r="BE99" s="167" t="n">
        <v>111373.65</v>
      </c>
      <c r="BF99" s="167" t="n">
        <v>110591.54</v>
      </c>
      <c r="BG99" s="167" t="n">
        <v>109809.44</v>
      </c>
      <c r="BH99" s="167" t="n">
        <v>109027.32</v>
      </c>
      <c r="BI99" s="167" t="n">
        <v>108245.21</v>
      </c>
      <c r="BJ99" s="167" t="n">
        <v>213361.99</v>
      </c>
      <c r="BK99" s="163"/>
      <c r="BL99" s="163"/>
      <c r="BM99" s="163"/>
      <c r="BN99" s="163"/>
      <c r="BO99" s="163"/>
      <c r="BP99" s="163"/>
      <c r="BQ99" s="163"/>
      <c r="BR99" s="163"/>
      <c r="BS99" s="163"/>
      <c r="BT99" s="163"/>
      <c r="BU99" s="163"/>
      <c r="BV99" s="163"/>
      <c r="BW99" s="163"/>
      <c r="BX99" s="163"/>
      <c r="BY99" s="163"/>
      <c r="BZ99" s="163"/>
      <c r="CA99" s="163"/>
      <c r="CB99" s="163"/>
      <c r="CC99" s="163"/>
      <c r="CD99" s="163"/>
      <c r="CE99" s="163"/>
      <c r="CF99" s="163"/>
      <c r="CG99" s="163"/>
      <c r="CH99" s="163"/>
    </row>
    <row r="100" customFormat="false" ht="15" hidden="false" customHeight="true" outlineLevel="0" collapsed="false">
      <c r="A100" s="165" t="s">
        <v>575</v>
      </c>
      <c r="B100" s="166">
        <f>SUM(C100:CH100)</f>
        <v>-1500039</v>
      </c>
      <c r="C100" s="163">
        <v>0</v>
      </c>
      <c r="D100" s="163">
        <v>0</v>
      </c>
      <c r="E100" s="163">
        <v>0</v>
      </c>
      <c r="F100" s="163">
        <v>0</v>
      </c>
      <c r="G100" s="163">
        <v>0</v>
      </c>
      <c r="H100" s="163">
        <v>0</v>
      </c>
      <c r="I100" s="163">
        <v>0</v>
      </c>
      <c r="J100" s="163">
        <v>0</v>
      </c>
      <c r="K100" s="163">
        <v>0</v>
      </c>
      <c r="L100" s="167">
        <v>0</v>
      </c>
      <c r="M100" s="167">
        <v>-10417</v>
      </c>
      <c r="N100" s="167">
        <v>-10417</v>
      </c>
      <c r="O100" s="167">
        <v>-10417</v>
      </c>
      <c r="P100" s="167">
        <v>-17917</v>
      </c>
      <c r="Q100" s="167">
        <v>-17917</v>
      </c>
      <c r="R100" s="167">
        <v>-17917</v>
      </c>
      <c r="S100" s="167">
        <v>-17917</v>
      </c>
      <c r="T100" s="167">
        <v>-17917</v>
      </c>
      <c r="U100" s="167">
        <v>-27084</v>
      </c>
      <c r="V100" s="167">
        <v>-27084</v>
      </c>
      <c r="W100" s="167">
        <v>-27084</v>
      </c>
      <c r="X100" s="167">
        <v>-27084</v>
      </c>
      <c r="Y100" s="167">
        <v>-27084</v>
      </c>
      <c r="Z100" s="167">
        <v>-27084</v>
      </c>
      <c r="AA100" s="167">
        <v>-27084</v>
      </c>
      <c r="AB100" s="167">
        <v>-27084</v>
      </c>
      <c r="AC100" s="167" t="n">
        <v>-37501</v>
      </c>
      <c r="AD100" s="167" t="n">
        <v>-37501</v>
      </c>
      <c r="AE100" s="167" t="n">
        <v>-37501</v>
      </c>
      <c r="AF100" s="167" t="n">
        <v>-37501</v>
      </c>
      <c r="AG100" s="167" t="n">
        <v>-37501</v>
      </c>
      <c r="AH100" s="167" t="n">
        <v>-37501</v>
      </c>
      <c r="AI100" s="167" t="n">
        <v>-37501</v>
      </c>
      <c r="AJ100" s="167" t="n">
        <v>-37501</v>
      </c>
      <c r="AK100" s="167" t="n">
        <v>-37501</v>
      </c>
      <c r="AL100" s="167" t="n">
        <v>-37501</v>
      </c>
      <c r="AM100" s="167" t="n">
        <v>-37501</v>
      </c>
      <c r="AN100" s="167" t="n">
        <v>-37501</v>
      </c>
      <c r="AO100" s="167" t="n">
        <v>-37501</v>
      </c>
      <c r="AP100" s="167" t="n">
        <v>-37501</v>
      </c>
      <c r="AQ100" s="167" t="n">
        <v>-37501</v>
      </c>
      <c r="AR100" s="167" t="n">
        <v>-37501</v>
      </c>
      <c r="AS100" s="167" t="n">
        <v>-37501</v>
      </c>
      <c r="AT100" s="167" t="n">
        <v>-37501</v>
      </c>
      <c r="AU100" s="167" t="n">
        <v>-37501</v>
      </c>
      <c r="AV100" s="167" t="n">
        <v>-37501</v>
      </c>
      <c r="AW100" s="167" t="n">
        <v>-37501</v>
      </c>
      <c r="AX100" s="167" t="n">
        <v>-37501</v>
      </c>
      <c r="AY100" s="167" t="n">
        <v>-37501</v>
      </c>
      <c r="AZ100" s="167" t="n">
        <v>-37501</v>
      </c>
      <c r="BA100" s="167" t="n">
        <v>-37501</v>
      </c>
      <c r="BB100" s="167" t="n">
        <v>-37501</v>
      </c>
      <c r="BC100" s="167" t="n">
        <v>-37501</v>
      </c>
      <c r="BD100" s="167" t="n">
        <v>-37501</v>
      </c>
      <c r="BE100" s="167" t="n">
        <v>-37501</v>
      </c>
      <c r="BF100" s="167" t="n">
        <v>-37501</v>
      </c>
      <c r="BG100" s="167" t="n">
        <v>-37501</v>
      </c>
      <c r="BH100" s="163">
        <v>0</v>
      </c>
      <c r="BI100" s="163">
        <v>0</v>
      </c>
      <c r="BJ100" s="163">
        <v>0</v>
      </c>
      <c r="BK100" s="163">
        <v>0</v>
      </c>
      <c r="BL100" s="163">
        <v>0</v>
      </c>
      <c r="BM100" s="163">
        <v>0</v>
      </c>
      <c r="BN100" s="163">
        <v>0</v>
      </c>
      <c r="BO100" s="163">
        <v>0</v>
      </c>
      <c r="BP100" s="163">
        <v>0</v>
      </c>
      <c r="BQ100" s="163">
        <v>0</v>
      </c>
      <c r="BR100" s="163">
        <v>0</v>
      </c>
      <c r="BS100" s="163">
        <v>0</v>
      </c>
      <c r="BT100" s="163">
        <v>0</v>
      </c>
      <c r="BU100" s="163">
        <v>0</v>
      </c>
      <c r="BV100" s="163">
        <v>0</v>
      </c>
      <c r="BW100" s="163">
        <v>0</v>
      </c>
      <c r="BX100" s="163">
        <v>0</v>
      </c>
      <c r="BY100" s="163">
        <v>0</v>
      </c>
      <c r="BZ100" s="163">
        <v>0</v>
      </c>
      <c r="CA100" s="163">
        <v>0</v>
      </c>
      <c r="CB100" s="163">
        <v>0</v>
      </c>
      <c r="CC100" s="163">
        <v>0</v>
      </c>
      <c r="CD100" s="163">
        <v>0</v>
      </c>
      <c r="CE100" s="163">
        <v>0</v>
      </c>
      <c r="CF100" s="163">
        <v>0</v>
      </c>
      <c r="CG100" s="163">
        <v>0</v>
      </c>
      <c r="CH100" s="163"/>
    </row>
    <row r="101" customFormat="false" ht="15" hidden="false" customHeight="true" outlineLevel="0" collapsed="false">
      <c r="A101" s="165" t="s">
        <v>576</v>
      </c>
      <c r="B101" s="166">
        <f>SUM(C101:CH101)</f>
        <v>-456000</v>
      </c>
      <c r="C101" s="163"/>
      <c r="D101" s="163"/>
      <c r="E101" s="163"/>
      <c r="F101" s="163"/>
      <c r="G101" s="163"/>
      <c r="H101" s="163"/>
      <c r="I101" s="163"/>
      <c r="J101" s="163"/>
      <c r="K101" s="163"/>
      <c r="L101" s="167">
        <v>-9500</v>
      </c>
      <c r="M101" s="167">
        <v>-9500</v>
      </c>
      <c r="N101" s="167">
        <v>-9500</v>
      </c>
      <c r="O101" s="167">
        <v>-9500</v>
      </c>
      <c r="P101" s="167">
        <v>-9500</v>
      </c>
      <c r="Q101" s="167">
        <v>-9500</v>
      </c>
      <c r="R101" s="167">
        <v>-9500</v>
      </c>
      <c r="S101" s="167">
        <v>-9500</v>
      </c>
      <c r="T101" s="167">
        <v>-9500</v>
      </c>
      <c r="U101" s="167">
        <v>-9500</v>
      </c>
      <c r="V101" s="167">
        <v>-9500</v>
      </c>
      <c r="W101" s="167">
        <v>-9500</v>
      </c>
      <c r="X101" s="167">
        <v>-9500</v>
      </c>
      <c r="Y101" s="167">
        <v>-9500</v>
      </c>
      <c r="Z101" s="167">
        <v>-9500</v>
      </c>
      <c r="AA101" s="167">
        <v>-9500</v>
      </c>
      <c r="AB101" s="167">
        <v>-9500</v>
      </c>
      <c r="AC101" s="167">
        <v>-9500</v>
      </c>
      <c r="AD101" s="167">
        <v>-9500</v>
      </c>
      <c r="AE101" s="167">
        <v>-9500</v>
      </c>
      <c r="AF101" s="167">
        <v>-9500</v>
      </c>
      <c r="AG101" s="167">
        <v>-9500</v>
      </c>
      <c r="AH101" s="167">
        <v>-9500</v>
      </c>
      <c r="AI101" s="167">
        <v>-9500</v>
      </c>
      <c r="AJ101" s="167">
        <v>-9500</v>
      </c>
      <c r="AK101" s="167">
        <v>-9500</v>
      </c>
      <c r="AL101" s="167">
        <v>-9500</v>
      </c>
      <c r="AM101" s="167">
        <v>-9500</v>
      </c>
      <c r="AN101" s="167">
        <v>-9500</v>
      </c>
      <c r="AO101" s="167">
        <v>-9500</v>
      </c>
      <c r="AP101" s="167">
        <v>-9500</v>
      </c>
      <c r="AQ101" s="167">
        <v>-9500</v>
      </c>
      <c r="AR101" s="167">
        <v>-9500</v>
      </c>
      <c r="AS101" s="167">
        <v>-9500</v>
      </c>
      <c r="AT101" s="167">
        <v>-9500</v>
      </c>
      <c r="AU101" s="167">
        <v>-9500</v>
      </c>
      <c r="AV101" s="167">
        <v>-9500</v>
      </c>
      <c r="AW101" s="167">
        <v>-9500</v>
      </c>
      <c r="AX101" s="167">
        <v>-9500</v>
      </c>
      <c r="AY101" s="167">
        <v>-9500</v>
      </c>
      <c r="AZ101" s="167">
        <v>-9500</v>
      </c>
      <c r="BA101" s="167">
        <v>-9500</v>
      </c>
      <c r="BB101" s="167">
        <v>-9500</v>
      </c>
      <c r="BC101" s="167">
        <v>-9500</v>
      </c>
      <c r="BD101" s="167">
        <v>-9500</v>
      </c>
      <c r="BE101" s="167">
        <v>-9500</v>
      </c>
      <c r="BF101" s="167">
        <v>-9500</v>
      </c>
      <c r="BG101" s="167">
        <v>-9500</v>
      </c>
      <c r="BH101" s="163"/>
      <c r="BI101" s="163"/>
      <c r="BJ101" s="163"/>
      <c r="BK101" s="163"/>
      <c r="BL101" s="163"/>
      <c r="BM101" s="163"/>
      <c r="BN101" s="163"/>
      <c r="BO101" s="163"/>
      <c r="BP101" s="163"/>
      <c r="BQ101" s="163"/>
      <c r="BR101" s="163"/>
      <c r="BS101" s="163"/>
      <c r="BT101" s="163"/>
      <c r="BU101" s="163"/>
      <c r="BV101" s="163"/>
      <c r="BW101" s="163"/>
      <c r="BX101" s="163"/>
      <c r="BY101" s="163"/>
      <c r="BZ101" s="163"/>
      <c r="CA101" s="163"/>
      <c r="CB101" s="163"/>
      <c r="CC101" s="163"/>
      <c r="CD101" s="163"/>
      <c r="CE101" s="163"/>
      <c r="CF101" s="163"/>
      <c r="CG101" s="163"/>
      <c r="CH101" s="163"/>
    </row>
    <row r="102" customFormat="false" ht="15" hidden="false" customHeight="true" outlineLevel="0" collapsed="false">
      <c r="A102" s="165" t="s">
        <v>577</v>
      </c>
      <c r="B102" s="166">
        <f>SUM(C102:CH102)</f>
        <v>7053625.999999999</v>
      </c>
      <c r="C102" s="168" t="n">
        <f aca="false">C99+C100+C101</f>
        <v>0</v>
      </c>
      <c r="D102" s="168" t="n">
        <f aca="false">D99+D100+D101</f>
        <v>0</v>
      </c>
      <c r="E102" s="168" t="n">
        <f aca="false">E99+E100+E101</f>
        <v>0</v>
      </c>
      <c r="F102" s="168" t="n">
        <f aca="false">F99+F100+F101</f>
        <v>0</v>
      </c>
      <c r="G102" s="168" t="n">
        <f aca="false">G99+G100+G101</f>
        <v>0</v>
      </c>
      <c r="H102" s="168" t="n">
        <f aca="false">H99+H100+H101</f>
        <v>0</v>
      </c>
      <c r="I102" s="168" t="n">
        <f aca="false">I99+I100+I101</f>
        <v>0</v>
      </c>
      <c r="J102" s="168" t="n">
        <f aca="false">J99+J100+J101</f>
        <v>0</v>
      </c>
      <c r="K102" s="168" t="n">
        <f aca="false">K99+K100+K101</f>
        <v>0</v>
      </c>
      <c r="L102" s="168">
        <f>L99+L100+L101</f>
        <v>35550.36</v>
      </c>
      <c r="M102" s="168">
        <f>M99+M100+M101</f>
        <v>25133.36</v>
      </c>
      <c r="N102" s="168">
        <f>N99+N100+N101</f>
        <v>25133.36</v>
      </c>
      <c r="O102" s="168">
        <f>O99+O100+O101</f>
        <v>25133.36</v>
      </c>
      <c r="P102" s="168">
        <f>P99+P100+P101</f>
        <v>17633.36</v>
      </c>
      <c r="Q102" s="168">
        <f>Q99+Q100+Q101</f>
        <v>17633.36</v>
      </c>
      <c r="R102" s="168">
        <f>R99+R100+R101</f>
        <v>43527.520000000004</v>
      </c>
      <c r="S102" s="168">
        <f>S99+S100+S101</f>
        <v>69421.68</v>
      </c>
      <c r="T102" s="168">
        <f>T99+T100+T101</f>
        <v>95315.84</v>
      </c>
      <c r="U102" s="168">
        <f>U99+U100+U101</f>
        <v>112042.98999999999</v>
      </c>
      <c r="V102" s="168">
        <f>V99+V100+V101</f>
        <v>137937.16</v>
      </c>
      <c r="W102" s="168">
        <f>W99+W100+W101</f>
        <v>163831.31</v>
      </c>
      <c r="X102" s="168">
        <f>X99+X100+X101</f>
        <v>189725.46</v>
      </c>
      <c r="Y102" s="168">
        <f>Y99+Y100+Y101</f>
        <v>215619.62</v>
      </c>
      <c r="Z102" s="168">
        <f>Z99+Z100+Z101</f>
        <v>241513.78999999998</v>
      </c>
      <c r="AA102" s="168">
        <f>AA99+AA100+AA101</f>
        <v>267407.94</v>
      </c>
      <c r="AB102" s="168">
        <f>AB99+AB100+AB101</f>
        <v>293302.11</v>
      </c>
      <c r="AC102" s="168">
        <f>AC99+AC100+AC101</f>
        <v>353829.61</v>
      </c>
      <c r="AD102" s="168">
        <f>AD99+AD100+AD101</f>
        <v>264511.01</v>
      </c>
      <c r="AE102" s="168">
        <f>AE99+AE100+AE101</f>
        <v>265293.13</v>
      </c>
      <c r="AF102" s="168">
        <f>AF99+AF100+AF101</f>
        <v>266075.23</v>
      </c>
      <c r="AG102" s="168">
        <f>AG99+AG100+AG101</f>
        <v>266857.34</v>
      </c>
      <c r="AH102" s="168">
        <f>AH99+AH100+AH101</f>
        <v>267639.44</v>
      </c>
      <c r="AI102" s="168">
        <f>AI99+AI100+AI101</f>
        <v>294315.71</v>
      </c>
      <c r="AJ102" s="168">
        <f>AJ99+AJ100+AJ101</f>
        <v>269203.67</v>
      </c>
      <c r="AK102" s="168">
        <f>AK99+AK100+AK101</f>
        <v>244091.62</v>
      </c>
      <c r="AL102" s="168">
        <f>AL99+AL100+AL101</f>
        <v>218979.57</v>
      </c>
      <c r="AM102" s="168">
        <f>AM99+AM100+AM101</f>
        <v>193867.51</v>
      </c>
      <c r="AN102" s="168">
        <f>AN99+AN100+AN101</f>
        <v>168755.47</v>
      </c>
      <c r="AO102" s="168">
        <f>AO99+AO100+AO101</f>
        <v>143643.42</v>
      </c>
      <c r="AP102" s="168">
        <f>AP99+AP100+AP101</f>
        <v>118531.35999999999</v>
      </c>
      <c r="AQ102" s="168">
        <f>AQ99+AQ100+AQ101</f>
        <v>93419.32</v>
      </c>
      <c r="AR102" s="168">
        <f>AR99+AR100+AR101</f>
        <v>68307.27</v>
      </c>
      <c r="AS102" s="168">
        <f>AS99+AS100+AS101</f>
        <v>149094.1</v>
      </c>
      <c r="AT102" s="168">
        <f>AT99+AT100+AT101</f>
        <v>123199.95000000001</v>
      </c>
      <c r="AU102" s="168">
        <f>AU99+AU100+AU101</f>
        <v>72193.75</v>
      </c>
      <c r="AV102" s="168">
        <f>AV99+AV100+AV101</f>
        <v>71411.64</v>
      </c>
      <c r="AW102" s="168">
        <f>AW99+AW100+AW101</f>
        <v>70629.52</v>
      </c>
      <c r="AX102" s="168">
        <f>AX99+AX100+AX101</f>
        <v>69847.42</v>
      </c>
      <c r="AY102" s="168">
        <f>AY99+AY100+AY101</f>
        <v>69065.31</v>
      </c>
      <c r="AZ102" s="168">
        <f>AZ99+AZ100+AZ101</f>
        <v>68283.2</v>
      </c>
      <c r="BA102" s="168">
        <f>BA99+BA100+BA101</f>
        <v>67501.09</v>
      </c>
      <c r="BB102" s="168">
        <f>BB99+BB100+BB101</f>
        <v>66718.98</v>
      </c>
      <c r="BC102" s="168">
        <f>BC99+BC100+BC101</f>
        <v>65936.87</v>
      </c>
      <c r="BD102" s="168">
        <f>BD99+BD100+BD101</f>
        <v>65154.759999999995</v>
      </c>
      <c r="BE102" s="168">
        <f>BE99+BE100+BE101</f>
        <v>64372.649999999994</v>
      </c>
      <c r="BF102" s="168">
        <f>BF99+BF100+BF101</f>
        <v>63590.53999999999</v>
      </c>
      <c r="BG102" s="168">
        <f>BG99+BG100+BG101</f>
        <v>62808.44</v>
      </c>
      <c r="BH102" s="168" t="n">
        <f aca="false">BH99+BH100+BH101</f>
        <v>109027.32</v>
      </c>
      <c r="BI102" s="168" t="n">
        <f aca="false">BI99+BI100+BI101</f>
        <v>108245.21</v>
      </c>
      <c r="BJ102" s="168" t="n">
        <f aca="false">BJ99+BJ100+BJ101</f>
        <v>213361.99</v>
      </c>
      <c r="BK102" s="168" t="n">
        <f aca="false">BK99+BK100+BK101</f>
        <v>0</v>
      </c>
      <c r="BL102" s="168" t="n">
        <f aca="false">BL99+BL100+BL101</f>
        <v>0</v>
      </c>
      <c r="BM102" s="168" t="n">
        <f aca="false">BM99+BM100+BM101</f>
        <v>0</v>
      </c>
      <c r="BN102" s="168" t="n">
        <f aca="false">BN99+BN100+BN101</f>
        <v>0</v>
      </c>
      <c r="BO102" s="168" t="n">
        <f aca="false">BO99+BO100+BO101</f>
        <v>0</v>
      </c>
      <c r="BP102" s="168" t="n">
        <f aca="false">BP99+BP100+BP101</f>
        <v>0</v>
      </c>
      <c r="BQ102" s="168" t="n">
        <f aca="false">BQ99+BQ100+BQ101</f>
        <v>0</v>
      </c>
      <c r="BR102" s="168" t="n">
        <f aca="false">BR99+BR100+BR101</f>
        <v>0</v>
      </c>
      <c r="BS102" s="168" t="n">
        <f aca="false">BS99+BS100+BS101</f>
        <v>0</v>
      </c>
      <c r="BT102" s="168" t="n">
        <f aca="false">BT99+BT100+BT101</f>
        <v>0</v>
      </c>
      <c r="BU102" s="168" t="n">
        <f aca="false">BU99+BU100+BU101</f>
        <v>0</v>
      </c>
      <c r="BV102" s="168" t="n">
        <f aca="false">BV99+BV100+BV101</f>
        <v>0</v>
      </c>
      <c r="BW102" s="168" t="n">
        <f aca="false">BW99+BW100+BW101</f>
        <v>0</v>
      </c>
      <c r="BX102" s="168" t="n">
        <f aca="false">BX99+BX100+BX101</f>
        <v>0</v>
      </c>
      <c r="BY102" s="168" t="n">
        <f aca="false">BY99+BY100+BY101</f>
        <v>0</v>
      </c>
      <c r="BZ102" s="168" t="n">
        <f aca="false">BZ99+BZ100+BZ101</f>
        <v>0</v>
      </c>
      <c r="CA102" s="168" t="n">
        <f aca="false">CA99+CA100+CA101</f>
        <v>0</v>
      </c>
      <c r="CB102" s="168" t="n">
        <f aca="false">CB99+CB100+CB101</f>
        <v>0</v>
      </c>
      <c r="CC102" s="168" t="n">
        <f aca="false">CC99+CC100+CC101</f>
        <v>0</v>
      </c>
      <c r="CD102" s="168" t="n">
        <f aca="false">CD99+CD100+CD101</f>
        <v>0</v>
      </c>
      <c r="CE102" s="168" t="n">
        <f aca="false">CE99+CE100+CE101</f>
        <v>0</v>
      </c>
      <c r="CF102" s="168" t="n">
        <f aca="false">CF99+CF100+CF101</f>
        <v>0</v>
      </c>
      <c r="CG102" s="168" t="n">
        <f aca="false">CG99+CG100+CG101</f>
        <v>0</v>
      </c>
      <c r="CH102" s="168" t="n">
        <f aca="false">CH99+CH100+CH101</f>
        <v>0</v>
      </c>
    </row>
    <row r="103" customFormat="false" ht="15" hidden="false" customHeight="true" outlineLevel="0" collapsed="false">
      <c r="A103" s="165" t="s">
        <v>578</v>
      </c>
      <c r="B103" s="166">
        <f>SUM(C103:CH103)</f>
        <v>563192.6169999999</v>
      </c>
      <c r="C103" s="168" t="n">
        <f aca="false">C99*$B$94</f>
        <v>0</v>
      </c>
      <c r="D103" s="168" t="n">
        <f aca="false">D99*$B$94</f>
        <v>0</v>
      </c>
      <c r="E103" s="168" t="n">
        <f aca="false">E99*$B$94</f>
        <v>0</v>
      </c>
      <c r="F103" s="168" t="n">
        <f aca="false">F99*$B$94</f>
        <v>0</v>
      </c>
      <c r="G103" s="168" t="n">
        <f aca="false">G99*$B$94</f>
        <v>0</v>
      </c>
      <c r="H103" s="168" t="n">
        <f aca="false">H99*$B$94</f>
        <v>0</v>
      </c>
      <c r="I103" s="168" t="n">
        <f aca="false">I99*$B$94</f>
        <v>0</v>
      </c>
      <c r="J103" s="168" t="n">
        <f aca="false">J99*$B$94</f>
        <v>0</v>
      </c>
      <c r="K103" s="168" t="n">
        <f aca="false">K99*$B$94</f>
        <v>0</v>
      </c>
      <c r="L103" s="168">
        <f>MIN(L99*$B$94,12500)</f>
        <v>4505.036</v>
      </c>
      <c r="M103" s="168">
        <f>MIN(M99*$B$94,12500)</f>
        <v>4505.036</v>
      </c>
      <c r="N103" s="168">
        <f>MIN(N99*$B$94,12500)</f>
        <v>4505.036</v>
      </c>
      <c r="O103" s="168">
        <f>MIN(O99*$B$94,12500)</f>
        <v>4505.036</v>
      </c>
      <c r="P103" s="168">
        <f>MIN(P99*$B$94,12500)</f>
        <v>4505.036</v>
      </c>
      <c r="Q103" s="168">
        <f>MIN(Q99*$B$94,12500)</f>
        <v>4505.036</v>
      </c>
      <c r="R103" s="168">
        <f>MIN(R99*$B$94,12500)</f>
        <v>7094.452000000001</v>
      </c>
      <c r="S103" s="168">
        <f>MIN(S99*$B$94,12500)</f>
        <v>9683.868</v>
      </c>
      <c r="T103" s="168">
        <f>MIN(T99*$B$94,12500)</f>
        <v>12273.284</v>
      </c>
      <c r="U103" s="168">
        <f>MIN(U99*$B$94,12500)</f>
        <v>12500</v>
      </c>
      <c r="V103" s="168">
        <f>MIN(V99*$B$94,12500)</f>
        <v>12500</v>
      </c>
      <c r="W103" s="168">
        <f>MIN(W99*$B$94,12500)</f>
        <v>12500</v>
      </c>
      <c r="X103" s="168">
        <f>MIN(X99*$B$94,12500)</f>
        <v>12500</v>
      </c>
      <c r="Y103" s="168">
        <f>MIN(Y99*$B$94,12500)</f>
        <v>12500</v>
      </c>
      <c r="Z103" s="168">
        <f>MIN(Z99*$B$94,12500)</f>
        <v>12500</v>
      </c>
      <c r="AA103" s="168">
        <f>MIN(AA99*$B$94,12500)</f>
        <v>12500</v>
      </c>
      <c r="AB103" s="168">
        <f>MIN(AB99*$B$94,12500)</f>
        <v>12500</v>
      </c>
      <c r="AC103" s="168">
        <f>MIN(AC99*$B$94,12500)</f>
        <v>12500</v>
      </c>
      <c r="AD103" s="168">
        <f>MIN(AD99*$B$94,12500)</f>
        <v>12500</v>
      </c>
      <c r="AE103" s="168">
        <f>MIN(AE99*$B$94,12500)</f>
        <v>12500</v>
      </c>
      <c r="AF103" s="168">
        <f>MIN(AF99*$B$94,12500)</f>
        <v>12500</v>
      </c>
      <c r="AG103" s="168">
        <f>MIN(AG99*$B$94,12500)</f>
        <v>12500</v>
      </c>
      <c r="AH103" s="168">
        <f>MIN(AH99*$B$94,12500)</f>
        <v>12500</v>
      </c>
      <c r="AI103" s="168">
        <f>MIN(AI99*$B$94,12500)</f>
        <v>12500</v>
      </c>
      <c r="AJ103" s="168">
        <f>MIN(AJ99*$B$94,12500)</f>
        <v>12500</v>
      </c>
      <c r="AK103" s="168">
        <f>MIN(AK99*$B$94,12500)</f>
        <v>12500</v>
      </c>
      <c r="AL103" s="168">
        <f>MIN(AL99*$B$94,12500)</f>
        <v>12500</v>
      </c>
      <c r="AM103" s="168">
        <f>MIN(AM99*$B$94,12500)</f>
        <v>12500</v>
      </c>
      <c r="AN103" s="168">
        <f>MIN(AN99*$B$94,12500)</f>
        <v>12500</v>
      </c>
      <c r="AO103" s="168">
        <f>MIN(AO99*$B$94,12500)</f>
        <v>12500</v>
      </c>
      <c r="AP103" s="168">
        <f>MIN(AP99*$B$94,12500)</f>
        <v>12500</v>
      </c>
      <c r="AQ103" s="168">
        <f>MIN(AQ99*$B$94,12500)</f>
        <v>12500</v>
      </c>
      <c r="AR103" s="168">
        <f>MIN(AR99*$B$94,12500)</f>
        <v>11530.827000000001</v>
      </c>
      <c r="AS103" s="168">
        <f>MIN(AS99*$B$94,12500)</f>
        <v>12500</v>
      </c>
      <c r="AT103" s="168">
        <f>MIN(AT99*$B$94,12500)</f>
        <v>12500</v>
      </c>
      <c r="AU103" s="168">
        <f>MIN(AU99*$B$94,12500)</f>
        <v>11919.475</v>
      </c>
      <c r="AV103" s="168">
        <f>MIN(AV99*$B$94,12500)</f>
        <v>11841.264000000001</v>
      </c>
      <c r="AW103" s="168">
        <f>MIN(AW99*$B$94,12500)</f>
        <v>11763.052000000001</v>
      </c>
      <c r="AX103" s="168">
        <f>MIN(AX99*$B$94,12500)</f>
        <v>11684.842</v>
      </c>
      <c r="AY103" s="168">
        <f>MIN(AY99*$B$94,12500)</f>
        <v>11606.631000000001</v>
      </c>
      <c r="AZ103" s="168">
        <f>MIN(AZ99*$B$94,12500)</f>
        <v>11528.42</v>
      </c>
      <c r="BA103" s="168">
        <f>MIN(BA99*$B$94,12500)</f>
        <v>11450.209</v>
      </c>
      <c r="BB103" s="168">
        <f>MIN(BB99*$B$94,12500)</f>
        <v>11371.998</v>
      </c>
      <c r="BC103" s="168">
        <f>MIN(BC99*$B$94,12500)</f>
        <v>11293.787</v>
      </c>
      <c r="BD103" s="168">
        <f>MIN(BD99*$B$94,12500)</f>
        <v>11215.576000000001</v>
      </c>
      <c r="BE103" s="168">
        <f>MIN(BE99*$B$94,12500)</f>
        <v>11137.365</v>
      </c>
      <c r="BF103" s="168">
        <f>MIN(BF99*$B$94,12500)</f>
        <v>11059.154</v>
      </c>
      <c r="BG103" s="168">
        <f>MIN(BG99*$B$94,12500)</f>
        <v>10980.944000000001</v>
      </c>
      <c r="BH103" s="168">
        <f>MIN(BH99*$B$94,12500)</f>
        <v>10902.732000000002</v>
      </c>
      <c r="BI103" s="168">
        <f>MIN(BI99*$B$94,12500)</f>
        <v>10824.521</v>
      </c>
      <c r="BJ103" s="168">
        <f>MIN(BJ99*$B$94,12500)</f>
        <v>12500</v>
      </c>
      <c r="BK103" s="168">
        <f>MIN(BK99*$B$94,12500)</f>
        <v>0</v>
      </c>
      <c r="BL103" s="168">
        <f>MIN(BL99*$B$94,12500)</f>
        <v>0</v>
      </c>
      <c r="BM103" s="168">
        <f>MIN(BM99*$B$94,12500)</f>
        <v>0</v>
      </c>
      <c r="BN103" s="168">
        <f>MIN(BN99*$B$94,12500)</f>
        <v>0</v>
      </c>
      <c r="BO103" s="168">
        <f>MIN(BO99*$B$94,12500)</f>
        <v>0</v>
      </c>
      <c r="BP103" s="168">
        <f>MIN(BP99*$B$94,12500)</f>
        <v>0</v>
      </c>
      <c r="BQ103" s="168">
        <f>MIN(BQ99*$B$94,12500)</f>
        <v>0</v>
      </c>
      <c r="BR103" s="168">
        <f>MIN(BR99*$B$94,12500)</f>
        <v>0</v>
      </c>
      <c r="BS103" s="168">
        <f>MIN(BS99*$B$94,12500)</f>
        <v>0</v>
      </c>
      <c r="BT103" s="168">
        <f>MIN(BT99*$B$94,12500)</f>
        <v>0</v>
      </c>
      <c r="BU103" s="168">
        <f>MIN(BU99*$B$94,12500)</f>
        <v>0</v>
      </c>
      <c r="BV103" s="168">
        <f>MIN(BV99*$B$94,12500)</f>
        <v>0</v>
      </c>
      <c r="BW103" s="168">
        <f>MIN(BW99*$B$94,12500)</f>
        <v>0</v>
      </c>
      <c r="BX103" s="168">
        <f>MIN(BX99*$B$94,12500)</f>
        <v>0</v>
      </c>
      <c r="BY103" s="168">
        <f>MIN(BY99*$B$94,12500)</f>
        <v>0</v>
      </c>
      <c r="BZ103" s="168">
        <f>MIN(BZ99*$B$94,12500)</f>
        <v>0</v>
      </c>
      <c r="CA103" s="168">
        <f>MIN(CA99*$B$94,12500)</f>
        <v>0</v>
      </c>
      <c r="CB103" s="168">
        <f>MIN(CB99*$B$94,12500)</f>
        <v>0</v>
      </c>
      <c r="CC103" s="168">
        <f>MIN(CC99*$B$94,12500)</f>
        <v>0</v>
      </c>
      <c r="CD103" s="168">
        <f>MIN(CD99*$B$94,12500)</f>
        <v>0</v>
      </c>
      <c r="CE103" s="168">
        <f>MIN(CE99*$B$94,12500)</f>
        <v>0</v>
      </c>
      <c r="CF103" s="168">
        <f>MIN(CF99*$B$94,12500)</f>
        <v>0</v>
      </c>
      <c r="CG103" s="168">
        <f>MIN(CG99*$B$94,12500)</f>
        <v>0</v>
      </c>
      <c r="CH103" s="168" t="n">
        <f aca="false">CH99*$B$94</f>
        <v>0</v>
      </c>
    </row>
    <row r="104" customFormat="false" ht="15" hidden="false" customHeight="true" outlineLevel="0" collapsed="false">
      <c r="A104" s="165" t="s">
        <v>579</v>
      </c>
      <c r="B104" s="166">
        <f>SUM(C104:CH104)</f>
        <v>6490433.383000001</v>
      </c>
      <c r="C104" s="168" t="n">
        <f aca="false">C102-C103</f>
        <v>0</v>
      </c>
      <c r="D104" s="168" t="n">
        <f aca="false">D102-D103</f>
        <v>0</v>
      </c>
      <c r="E104" s="168" t="n">
        <f aca="false">E102-E103</f>
        <v>0</v>
      </c>
      <c r="F104" s="168" t="n">
        <f aca="false">F102-F103</f>
        <v>0</v>
      </c>
      <c r="G104" s="168" t="n">
        <f aca="false">G102-G103</f>
        <v>0</v>
      </c>
      <c r="H104" s="168" t="n">
        <f aca="false">H102-H103</f>
        <v>0</v>
      </c>
      <c r="I104" s="168" t="n">
        <f aca="false">I102-I103</f>
        <v>0</v>
      </c>
      <c r="J104" s="168" t="n">
        <f aca="false">J102-J103</f>
        <v>0</v>
      </c>
      <c r="K104" s="168" t="n">
        <f aca="false">K102-K103</f>
        <v>0</v>
      </c>
      <c r="L104" s="168">
        <f>L102-L103</f>
        <v>31045.324</v>
      </c>
      <c r="M104" s="168">
        <f>M102-M103</f>
        <v>20628.324</v>
      </c>
      <c r="N104" s="168">
        <f>N102-N103</f>
        <v>20628.324</v>
      </c>
      <c r="O104" s="168">
        <f>O102-O103</f>
        <v>20628.324</v>
      </c>
      <c r="P104" s="168">
        <f>P102-P103</f>
        <v>13128.324</v>
      </c>
      <c r="Q104" s="168">
        <f>Q102-Q103</f>
        <v>13128.324</v>
      </c>
      <c r="R104" s="168">
        <f>R102-R103</f>
        <v>36433.068</v>
      </c>
      <c r="S104" s="168">
        <f>S102-S103</f>
        <v>59737.81199999999</v>
      </c>
      <c r="T104" s="168">
        <f>T102-T103</f>
        <v>83042.556</v>
      </c>
      <c r="U104" s="168">
        <f>U102-U103</f>
        <v>99542.98999999999</v>
      </c>
      <c r="V104" s="168">
        <f>V102-V103</f>
        <v>125437.16</v>
      </c>
      <c r="W104" s="168">
        <f>W102-W103</f>
        <v>151331.31</v>
      </c>
      <c r="X104" s="168">
        <f>X102-X103</f>
        <v>177225.46</v>
      </c>
      <c r="Y104" s="168">
        <f>Y102-Y103</f>
        <v>203119.62</v>
      </c>
      <c r="Z104" s="168">
        <f>Z102-Z103</f>
        <v>229013.78999999998</v>
      </c>
      <c r="AA104" s="168">
        <f>AA102-AA103</f>
        <v>254907.94</v>
      </c>
      <c r="AB104" s="168">
        <f>AB102-AB103</f>
        <v>280802.11</v>
      </c>
      <c r="AC104" s="168">
        <f>AC102-AC103</f>
        <v>341329.61</v>
      </c>
      <c r="AD104" s="168">
        <f>AD102-AD103</f>
        <v>252011.01</v>
      </c>
      <c r="AE104" s="168">
        <f>AE102-AE103</f>
        <v>252793.13</v>
      </c>
      <c r="AF104" s="168">
        <f>AF102-AF103</f>
        <v>253575.22999999998</v>
      </c>
      <c r="AG104" s="168">
        <f>AG102-AG103</f>
        <v>254357.34000000003</v>
      </c>
      <c r="AH104" s="168">
        <f>AH102-AH103</f>
        <v>255139.44</v>
      </c>
      <c r="AI104" s="168">
        <f>AI102-AI103</f>
        <v>281815.71</v>
      </c>
      <c r="AJ104" s="168">
        <f>AJ102-AJ103</f>
        <v>256703.66999999998</v>
      </c>
      <c r="AK104" s="168">
        <f>AK102-AK103</f>
        <v>231591.62</v>
      </c>
      <c r="AL104" s="168">
        <f>AL102-AL103</f>
        <v>206479.57</v>
      </c>
      <c r="AM104" s="168">
        <f>AM102-AM103</f>
        <v>181367.51</v>
      </c>
      <c r="AN104" s="168">
        <f>AN102-AN103</f>
        <v>156255.47</v>
      </c>
      <c r="AO104" s="168">
        <f>AO102-AO103</f>
        <v>131143.42</v>
      </c>
      <c r="AP104" s="168">
        <f>AP102-AP103</f>
        <v>106031.35999999999</v>
      </c>
      <c r="AQ104" s="168">
        <f>AQ102-AQ103</f>
        <v>80919.32</v>
      </c>
      <c r="AR104" s="168">
        <f>AR102-AR103</f>
        <v>56776.443</v>
      </c>
      <c r="AS104" s="168">
        <f>AS102-AS103</f>
        <v>136594.1</v>
      </c>
      <c r="AT104" s="168">
        <f>AT102-AT103</f>
        <v>110699.95000000001</v>
      </c>
      <c r="AU104" s="168">
        <f>AU102-AU103</f>
        <v>60274.275</v>
      </c>
      <c r="AV104" s="168">
        <f>AV102-AV103</f>
        <v>59570.376</v>
      </c>
      <c r="AW104" s="168">
        <f>AW102-AW103</f>
        <v>58866.468</v>
      </c>
      <c r="AX104" s="168">
        <f>AX102-AX103</f>
        <v>58162.577999999994</v>
      </c>
      <c r="AY104" s="168">
        <f>AY102-AY103</f>
        <v>57458.679</v>
      </c>
      <c r="AZ104" s="168">
        <f>AZ102-AZ103</f>
        <v>56754.78</v>
      </c>
      <c r="BA104" s="168">
        <f>BA102-BA103</f>
        <v>56050.880999999994</v>
      </c>
      <c r="BB104" s="168">
        <f>BB102-BB103</f>
        <v>55346.981999999996</v>
      </c>
      <c r="BC104" s="168">
        <f>BC102-BC103</f>
        <v>54643.083</v>
      </c>
      <c r="BD104" s="168">
        <f>BD102-BD103</f>
        <v>53939.183999999994</v>
      </c>
      <c r="BE104" s="168">
        <f>BE102-BE103</f>
        <v>53235.284999999996</v>
      </c>
      <c r="BF104" s="168">
        <f>BF102-BF103</f>
        <v>52531.38599999999</v>
      </c>
      <c r="BG104" s="168">
        <f>BG102-BG103</f>
        <v>51827.496</v>
      </c>
      <c r="BH104" s="168" t="n">
        <f aca="false">BH102-BH103</f>
        <v>98124.588</v>
      </c>
      <c r="BI104" s="168" t="n">
        <f aca="false">BI102-BI103</f>
        <v>97420.689</v>
      </c>
      <c r="BJ104" s="168">
        <f>BJ102-BJ103</f>
        <v>200861.99</v>
      </c>
      <c r="BK104" s="168" t="n">
        <f aca="false">BK102-BK103</f>
        <v>0</v>
      </c>
      <c r="BL104" s="168" t="n">
        <f aca="false">BL102-BL103</f>
        <v>0</v>
      </c>
      <c r="BM104" s="168" t="n">
        <f aca="false">BM102-BM103</f>
        <v>0</v>
      </c>
      <c r="BN104" s="168" t="n">
        <f aca="false">BN102-BN103</f>
        <v>0</v>
      </c>
      <c r="BO104" s="168" t="n">
        <f aca="false">BO102-BO103</f>
        <v>0</v>
      </c>
      <c r="BP104" s="168" t="n">
        <f aca="false">BP102-BP103</f>
        <v>0</v>
      </c>
      <c r="BQ104" s="168" t="n">
        <f aca="false">BQ102-BQ103</f>
        <v>0</v>
      </c>
      <c r="BR104" s="168" t="n">
        <f aca="false">BR102-BR103</f>
        <v>0</v>
      </c>
      <c r="BS104" s="168" t="n">
        <f aca="false">BS102-BS103</f>
        <v>0</v>
      </c>
      <c r="BT104" s="168" t="n">
        <f aca="false">BT102-BT103</f>
        <v>0</v>
      </c>
      <c r="BU104" s="168" t="n">
        <f aca="false">BU102-BU103</f>
        <v>0</v>
      </c>
      <c r="BV104" s="168" t="n">
        <f aca="false">BV102-BV103</f>
        <v>0</v>
      </c>
      <c r="BW104" s="168" t="n">
        <f aca="false">BW102-BW103</f>
        <v>0</v>
      </c>
      <c r="BX104" s="168" t="n">
        <f aca="false">BX102-BX103</f>
        <v>0</v>
      </c>
      <c r="BY104" s="168" t="n">
        <f aca="false">BY102-BY103</f>
        <v>0</v>
      </c>
      <c r="BZ104" s="168" t="n">
        <f aca="false">BZ102-BZ103</f>
        <v>0</v>
      </c>
      <c r="CA104" s="168" t="n">
        <f aca="false">CA102-CA103</f>
        <v>0</v>
      </c>
      <c r="CB104" s="168" t="n">
        <f aca="false">CB102-CB103</f>
        <v>0</v>
      </c>
      <c r="CC104" s="168" t="n">
        <f aca="false">CC102-CC103</f>
        <v>0</v>
      </c>
      <c r="CD104" s="168" t="n">
        <f aca="false">CD102-CD103</f>
        <v>0</v>
      </c>
      <c r="CE104" s="168" t="n">
        <f aca="false">CE102-CE103</f>
        <v>0</v>
      </c>
      <c r="CF104" s="168" t="n">
        <f aca="false">CF102-CF103</f>
        <v>0</v>
      </c>
      <c r="CG104" s="168" t="n">
        <f aca="false">CG102-CG103</f>
        <v>0</v>
      </c>
      <c r="CH104" s="168" t="n">
        <f aca="false">CH102-CH103</f>
        <v>0</v>
      </c>
    </row>
    <row r="105" customFormat="false" ht="15" hidden="false" customHeight="true" outlineLevel="0" collapsed="false">
      <c r="A105" s="165" t="inlineStr">
        <is>
          <t>Schuyler Bonus (40/45/50%)</t>
        </is>
      </c>
      <c r="B105" s="166">
        <f>SUM(C105:CH105)</f>
        <v>2951665.926000001</v>
      </c>
      <c r="C105" s="168">
        <v>0</v>
      </c>
      <c r="D105" s="168">
        <v>0</v>
      </c>
      <c r="E105" s="168">
        <v>0</v>
      </c>
      <c r="F105" s="168">
        <v>0</v>
      </c>
      <c r="G105" s="168">
        <v>0</v>
      </c>
      <c r="H105" s="168">
        <v>0</v>
      </c>
      <c r="I105" s="168">
        <v>0</v>
      </c>
      <c r="J105" s="168">
        <v>0</v>
      </c>
      <c r="K105" s="168">
        <v>0</v>
      </c>
      <c r="L105" s="168">
        <f>MAX(0,L104)*0.4</f>
        <v>12418.1296</v>
      </c>
      <c r="M105" s="168">
        <f>MAX(0,M104)*0.4</f>
        <v>8251.329600000001</v>
      </c>
      <c r="N105" s="168">
        <f>MAX(0,N104)*0.4</f>
        <v>8251.329600000001</v>
      </c>
      <c r="O105" s="168">
        <f>MAX(0,O104)*0.4</f>
        <v>8251.329600000001</v>
      </c>
      <c r="P105" s="168">
        <f>MAX(0,P104)*0.4</f>
        <v>5251.329600000001</v>
      </c>
      <c r="Q105" s="168">
        <f>MAX(0,Q104)*0.4</f>
        <v>5251.329600000001</v>
      </c>
      <c r="R105" s="168">
        <f>MAX(0,R104)*0.4</f>
        <v>14573.227200000001</v>
      </c>
      <c r="S105" s="168">
        <f>MAX(0,S104)*0.4</f>
        <v>23895.124799999998</v>
      </c>
      <c r="T105" s="168">
        <f>MAX(0,T104)*0.4</f>
        <v>33217.0224</v>
      </c>
      <c r="U105" s="168">
        <f>MAX(0,U104)*0.4</f>
        <v>39817.195999999996</v>
      </c>
      <c r="V105" s="168">
        <f>MAX(0,V104)*0.4</f>
        <v>50174.864</v>
      </c>
      <c r="W105" s="168">
        <f>MAX(0,W104)*0.4</f>
        <v>60532.524000000005</v>
      </c>
      <c r="X105" s="168">
        <f>MAX(0,X104)*0.4</f>
        <v>70890.184</v>
      </c>
      <c r="Y105" s="168">
        <f>MAX(0,Y104)*0.4</f>
        <v>81247.848</v>
      </c>
      <c r="Z105" s="168">
        <f>MAX(0,Z104)*0.4</f>
        <v>91605.516</v>
      </c>
      <c r="AA105" s="168">
        <f>MAX(0,AA104)*0.45</f>
        <v>114708.573</v>
      </c>
      <c r="AB105" s="168">
        <f>MAX(0,AB104)*0.45</f>
        <v>126360.9495</v>
      </c>
      <c r="AC105" s="168">
        <f>MAX(0,AC104)*0.45</f>
        <v>153598.3245</v>
      </c>
      <c r="AD105" s="168">
        <f>MAX(0,AD104)*0.45</f>
        <v>113404.9545</v>
      </c>
      <c r="AE105" s="168">
        <f>MAX(0,AE104)*0.45</f>
        <v>113756.9085</v>
      </c>
      <c r="AF105" s="168">
        <f>MAX(0,AF104)*0.45</f>
        <v>114108.8535</v>
      </c>
      <c r="AG105" s="168">
        <f>MAX(0,AG104)*0.45</f>
        <v>114460.80300000001</v>
      </c>
      <c r="AH105" s="168">
        <f>MAX(0,AH104)*0.45</f>
        <v>114812.748</v>
      </c>
      <c r="AI105" s="168">
        <f>MAX(0,AI104)*0.45</f>
        <v>126817.06950000001</v>
      </c>
      <c r="AJ105" s="168">
        <f>MAX(0,AJ104)*0.45</f>
        <v>115516.65149999999</v>
      </c>
      <c r="AK105" s="168">
        <f>MAX(0,AK104)*0.45</f>
        <v>104216.229</v>
      </c>
      <c r="AL105" s="168">
        <f>MAX(0,AL104)*0.45</f>
        <v>92915.8065</v>
      </c>
      <c r="AM105" s="168">
        <f>MAX(0,AM104)*0.45</f>
        <v>81615.37950000001</v>
      </c>
      <c r="AN105" s="168">
        <f>MAX(0,AN104)*0.5</f>
        <v>78127.735</v>
      </c>
      <c r="AO105" s="168">
        <f>MAX(0,AO104)*0.5</f>
        <v>65571.71</v>
      </c>
      <c r="AP105" s="168">
        <f>MAX(0,AP104)*0.5</f>
        <v>53015.67999999999</v>
      </c>
      <c r="AQ105" s="168">
        <f>MAX(0,AQ104)*0.5</f>
        <v>40459.66</v>
      </c>
      <c r="AR105" s="168">
        <f>MAX(0,AR104)*0.5</f>
        <v>28388.2215</v>
      </c>
      <c r="AS105" s="168">
        <f>MAX(0,AS104)*0.5</f>
        <v>68297.05</v>
      </c>
      <c r="AT105" s="168">
        <f>MAX(0,AT104)*0.5</f>
        <v>55349.975000000006</v>
      </c>
      <c r="AU105" s="168">
        <f>MAX(0,AU104)*0.5</f>
        <v>30137.1375</v>
      </c>
      <c r="AV105" s="168">
        <f>MAX(0,AV104)*0.5</f>
        <v>29785.188</v>
      </c>
      <c r="AW105" s="168">
        <f>MAX(0,AW104)*0.5</f>
        <v>29433.234</v>
      </c>
      <c r="AX105" s="168">
        <f>MAX(0,AX104)*0.5</f>
        <v>29081.288999999997</v>
      </c>
      <c r="AY105" s="168">
        <f>MAX(0,AY104)*0.5</f>
        <v>28729.3395</v>
      </c>
      <c r="AZ105" s="168">
        <f>MAX(0,AZ104)*0.5</f>
        <v>28377.39</v>
      </c>
      <c r="BA105" s="168">
        <f>MAX(0,BA104)*0.5</f>
        <v>28025.440499999997</v>
      </c>
      <c r="BB105" s="168">
        <f>MAX(0,BB104)*0.5</f>
        <v>27673.490999999998</v>
      </c>
      <c r="BC105" s="168">
        <f>MAX(0,BC104)*0.5</f>
        <v>27321.5415</v>
      </c>
      <c r="BD105" s="168">
        <f>MAX(0,BD104)*0.5</f>
        <v>26969.591999999997</v>
      </c>
      <c r="BE105" s="168">
        <f>MAX(0,BE104)*0.5</f>
        <v>26617.642499999998</v>
      </c>
      <c r="BF105" s="168">
        <f>MAX(0,BF104)*0.5</f>
        <v>26265.692999999996</v>
      </c>
      <c r="BG105" s="168">
        <f>MAX(0,BG104)*0.5</f>
        <v>25913.748</v>
      </c>
      <c r="BH105" s="168">
        <f>MAX(0,BH104)*0.5</f>
        <v>49062.294</v>
      </c>
      <c r="BI105" s="168">
        <f>MAX(0,BI104)*0.5</f>
        <v>48710.34450000001</v>
      </c>
      <c r="BJ105" s="168">
        <f>MAX(0,BJ104)*0.5</f>
        <v>100430.995</v>
      </c>
      <c r="BK105" s="168">
        <f>MAX(0,BK104)*0.5</f>
        <v>0</v>
      </c>
      <c r="BL105" s="168">
        <f>MAX(0,BL104)*0.5</f>
        <v>0</v>
      </c>
      <c r="BM105" s="168">
        <f>MAX(0,BM104)*0.5</f>
        <v>0</v>
      </c>
      <c r="BN105" s="168">
        <f>MAX(0,BN104)*0.5</f>
        <v>0</v>
      </c>
      <c r="BO105" s="168">
        <f>MAX(0,BO104)*0.5</f>
        <v>0</v>
      </c>
      <c r="BP105" s="168">
        <f>MAX(0,BP104)*0.5</f>
        <v>0</v>
      </c>
      <c r="BQ105" s="168">
        <f>MAX(0,BQ104)*0.5</f>
        <v>0</v>
      </c>
      <c r="BR105" s="168">
        <f>MAX(0,BR104)*0.5</f>
        <v>0</v>
      </c>
      <c r="BS105" s="168">
        <f>MAX(0,BS104)*0.5</f>
        <v>0</v>
      </c>
      <c r="BT105" s="168">
        <f>MAX(0,BT104)*0.5</f>
        <v>0</v>
      </c>
      <c r="BU105" s="168">
        <f>MAX(0,BU104)*0.5</f>
        <v>0</v>
      </c>
      <c r="BV105" s="168">
        <f>MAX(0,BV104)*0.5</f>
        <v>0</v>
      </c>
      <c r="BW105" s="168">
        <f>MAX(0,BW104)*0.5</f>
        <v>0</v>
      </c>
      <c r="BX105" s="168">
        <f>MAX(0,BX104)*0.5</f>
        <v>0</v>
      </c>
      <c r="BY105" s="168">
        <f>MAX(0,BY104)*0.5</f>
        <v>0</v>
      </c>
      <c r="BZ105" s="168">
        <f>MAX(0,BZ104)*0.5</f>
        <v>0</v>
      </c>
      <c r="CA105" s="168">
        <f>MAX(0,CA104)*0.5</f>
        <v>0</v>
      </c>
      <c r="CB105" s="168">
        <f>MAX(0,CB104)*0.5</f>
        <v>0</v>
      </c>
      <c r="CC105" s="168">
        <f>MAX(0,CC104)*0.5</f>
        <v>0</v>
      </c>
      <c r="CD105" s="168">
        <f>MAX(0,CD104)*0.5</f>
        <v>0</v>
      </c>
      <c r="CE105" s="168">
        <f>MAX(0,CE104)*0.5</f>
        <v>0</v>
      </c>
      <c r="CF105" s="168">
        <f>MAX(0,CF104)*0.5</f>
        <v>0</v>
      </c>
      <c r="CG105" s="168">
        <f>MAX(0,CG104)*0.5</f>
        <v>0</v>
      </c>
      <c r="CH105" s="168" t="n">
        <f aca="false">MAX(0,CH104)*$B$95</f>
        <v>0</v>
      </c>
    </row>
    <row r="106" customFormat="false" ht="15" hidden="false" customHeight="true" outlineLevel="0" collapsed="false">
      <c r="A106" s="165" t="s">
        <v>581</v>
      </c>
      <c r="B106" s="166">
        <f>B104-B105</f>
        <v>3538767.4570000004</v>
      </c>
      <c r="C106" s="168" t="n">
        <f aca="false">C104-C105</f>
        <v>0</v>
      </c>
      <c r="D106" s="168" t="n">
        <f aca="false">D104-D105</f>
        <v>0</v>
      </c>
      <c r="E106" s="168" t="n">
        <f aca="false">E104-E105</f>
        <v>0</v>
      </c>
      <c r="F106" s="168" t="n">
        <f aca="false">F104-F105</f>
        <v>0</v>
      </c>
      <c r="G106" s="168" t="n">
        <f aca="false">G104-G105</f>
        <v>0</v>
      </c>
      <c r="H106" s="168" t="n">
        <f aca="false">H104-H105</f>
        <v>0</v>
      </c>
      <c r="I106" s="168" t="n">
        <f aca="false">I104-I105</f>
        <v>0</v>
      </c>
      <c r="J106" s="168" t="n">
        <f aca="false">J104-J105</f>
        <v>0</v>
      </c>
      <c r="K106" s="168" t="n">
        <f aca="false">K104-K105</f>
        <v>0</v>
      </c>
      <c r="L106" s="168">
        <f>L104-L105</f>
        <v>18627.1944</v>
      </c>
      <c r="M106" s="168">
        <f>M104-M105</f>
        <v>12376.9944</v>
      </c>
      <c r="N106" s="168">
        <f>N104-N105</f>
        <v>12376.9944</v>
      </c>
      <c r="O106" s="168">
        <f>O104-O105</f>
        <v>12376.9944</v>
      </c>
      <c r="P106" s="168">
        <f>P104-P105</f>
        <v>7876.9944</v>
      </c>
      <c r="Q106" s="168">
        <f>Q104-Q105</f>
        <v>7876.9944</v>
      </c>
      <c r="R106" s="168">
        <f>R104-R105</f>
        <v>21859.840799999998</v>
      </c>
      <c r="S106" s="168">
        <f>S104-S105</f>
        <v>35842.68719999999</v>
      </c>
      <c r="T106" s="168">
        <f>T104-T105</f>
        <v>49825.533599999995</v>
      </c>
      <c r="U106" s="168">
        <f>U104-U105</f>
        <v>59725.793999999994</v>
      </c>
      <c r="V106" s="168">
        <f>V104-V105</f>
        <v>75262.296</v>
      </c>
      <c r="W106" s="168">
        <f>W104-W105</f>
        <v>90798.786</v>
      </c>
      <c r="X106" s="168">
        <f>X104-X105</f>
        <v>106335.276</v>
      </c>
      <c r="Y106" s="168">
        <f>Y104-Y105</f>
        <v>121871.772</v>
      </c>
      <c r="Z106" s="168">
        <f>Z104-Z105</f>
        <v>137408.27399999998</v>
      </c>
      <c r="AA106" s="168">
        <f>AA104-AA105</f>
        <v>140199.367</v>
      </c>
      <c r="AB106" s="168">
        <f>AB104-AB105</f>
        <v>154441.1605</v>
      </c>
      <c r="AC106" s="168">
        <f>AC104-AC105</f>
        <v>187731.2855</v>
      </c>
      <c r="AD106" s="168">
        <f>AD104-AD105</f>
        <v>138606.05550000002</v>
      </c>
      <c r="AE106" s="168">
        <f>AE104-AE105</f>
        <v>139036.22149999999</v>
      </c>
      <c r="AF106" s="168">
        <f>AF104-AF105</f>
        <v>139466.37649999998</v>
      </c>
      <c r="AG106" s="168">
        <f>AG104-AG105</f>
        <v>139896.537</v>
      </c>
      <c r="AH106" s="168">
        <f>AH104-AH105</f>
        <v>140326.69199999998</v>
      </c>
      <c r="AI106" s="168">
        <f>AI104-AI105</f>
        <v>154998.6405</v>
      </c>
      <c r="AJ106" s="168">
        <f>AJ104-AJ105</f>
        <v>141187.0185</v>
      </c>
      <c r="AK106" s="168">
        <f>AK104-AK105</f>
        <v>127375.39099999999</v>
      </c>
      <c r="AL106" s="168">
        <f>AL104-AL105</f>
        <v>113563.7635</v>
      </c>
      <c r="AM106" s="168">
        <f>AM104-AM105</f>
        <v>99752.1305</v>
      </c>
      <c r="AN106" s="168">
        <f>AN104-AN105</f>
        <v>78127.735</v>
      </c>
      <c r="AO106" s="168">
        <f>AO104-AO105</f>
        <v>65571.71</v>
      </c>
      <c r="AP106" s="168">
        <f>AP104-AP105</f>
        <v>53015.67999999999</v>
      </c>
      <c r="AQ106" s="168">
        <f>AQ104-AQ105</f>
        <v>40459.66</v>
      </c>
      <c r="AR106" s="168">
        <f>AR104-AR105</f>
        <v>28388.2215</v>
      </c>
      <c r="AS106" s="168">
        <f>AS104-AS105</f>
        <v>68297.05</v>
      </c>
      <c r="AT106" s="168">
        <f>AT104-AT105</f>
        <v>55349.975000000006</v>
      </c>
      <c r="AU106" s="168">
        <f>AU104-AU105</f>
        <v>30137.1375</v>
      </c>
      <c r="AV106" s="168">
        <f>AV104-AV105</f>
        <v>29785.188</v>
      </c>
      <c r="AW106" s="168">
        <f>AW104-AW105</f>
        <v>29433.234</v>
      </c>
      <c r="AX106" s="168">
        <f>AX104-AX105</f>
        <v>29081.288999999997</v>
      </c>
      <c r="AY106" s="168">
        <f>AY104-AY105</f>
        <v>28729.3395</v>
      </c>
      <c r="AZ106" s="168">
        <f>AZ104-AZ105</f>
        <v>28377.39</v>
      </c>
      <c r="BA106" s="168">
        <f>BA104-BA105</f>
        <v>28025.440499999997</v>
      </c>
      <c r="BB106" s="168">
        <f>BB104-BB105</f>
        <v>27673.490999999998</v>
      </c>
      <c r="BC106" s="168">
        <f>BC104-BC105</f>
        <v>27321.5415</v>
      </c>
      <c r="BD106" s="168">
        <f>BD104-BD105</f>
        <v>26969.591999999997</v>
      </c>
      <c r="BE106" s="168">
        <f>BE104-BE105</f>
        <v>26617.642499999998</v>
      </c>
      <c r="BF106" s="168">
        <f>BF104-BF105</f>
        <v>26265.692999999996</v>
      </c>
      <c r="BG106" s="168">
        <f>BG104-BG105</f>
        <v>25913.748</v>
      </c>
      <c r="BH106" s="168">
        <f>BH104-BH105</f>
        <v>49062.294</v>
      </c>
      <c r="BI106" s="168">
        <f>BI104-BI105</f>
        <v>48710.34450000001</v>
      </c>
      <c r="BJ106" s="168">
        <f>BJ104-BJ105</f>
        <v>100430.995</v>
      </c>
      <c r="BK106" s="168" t="n">
        <f aca="false">BK104-BK105</f>
        <v>0</v>
      </c>
      <c r="BL106" s="168" t="n">
        <f aca="false">BL104-BL105</f>
        <v>0</v>
      </c>
      <c r="BM106" s="168" t="n">
        <f aca="false">BM104-BM105</f>
        <v>0</v>
      </c>
      <c r="BN106" s="168" t="n">
        <f aca="false">BN104-BN105</f>
        <v>0</v>
      </c>
      <c r="BO106" s="168" t="n">
        <f aca="false">BO104-BO105</f>
        <v>0</v>
      </c>
      <c r="BP106" s="168" t="n">
        <f aca="false">BP104-BP105</f>
        <v>0</v>
      </c>
      <c r="BQ106" s="168" t="n">
        <f aca="false">BQ104-BQ105</f>
        <v>0</v>
      </c>
      <c r="BR106" s="168" t="n">
        <f aca="false">BR104-BR105</f>
        <v>0</v>
      </c>
      <c r="BS106" s="168" t="n">
        <f aca="false">BS104-BS105</f>
        <v>0</v>
      </c>
      <c r="BT106" s="168" t="n">
        <f aca="false">BT104-BT105</f>
        <v>0</v>
      </c>
      <c r="BU106" s="168" t="n">
        <f aca="false">BU104-BU105</f>
        <v>0</v>
      </c>
      <c r="BV106" s="168" t="n">
        <f aca="false">BV104-BV105</f>
        <v>0</v>
      </c>
      <c r="BW106" s="168" t="n">
        <f aca="false">BW104-BW105</f>
        <v>0</v>
      </c>
      <c r="BX106" s="168" t="n">
        <f aca="false">BX104-BX105</f>
        <v>0</v>
      </c>
      <c r="BY106" s="168" t="n">
        <f aca="false">BY104-BY105</f>
        <v>0</v>
      </c>
      <c r="BZ106" s="168" t="n">
        <f aca="false">BZ104-BZ105</f>
        <v>0</v>
      </c>
      <c r="CA106" s="168" t="n">
        <f aca="false">CA104-CA105</f>
        <v>0</v>
      </c>
      <c r="CB106" s="168" t="n">
        <f aca="false">CB104-CB105</f>
        <v>0</v>
      </c>
      <c r="CC106" s="168" t="n">
        <f aca="false">CC104-CC105</f>
        <v>0</v>
      </c>
      <c r="CD106" s="168" t="n">
        <f aca="false">CD104-CD105</f>
        <v>0</v>
      </c>
      <c r="CE106" s="168" t="n">
        <f aca="false">CE104-CE105</f>
        <v>0</v>
      </c>
      <c r="CF106" s="168" t="n">
        <f aca="false">CF104-CF105</f>
        <v>0</v>
      </c>
      <c r="CG106" s="168" t="n">
        <f aca="false">CG104-CG105</f>
        <v>0</v>
      </c>
      <c r="CH106" s="168" t="n">
        <f aca="false">CH104-CH105</f>
        <v>0</v>
      </c>
    </row>
    <row r="107" customFormat="false" ht="15" hidden="false" customHeight="true" outlineLevel="0" collapsed="false">
      <c r="A107" s="165" t="s">
        <v>582</v>
      </c>
      <c r="B107" s="166">
        <f>B103+B106</f>
        <v>4101960.074</v>
      </c>
      <c r="C107" s="168" t="n">
        <f aca="false">C103+C106</f>
        <v>0</v>
      </c>
      <c r="D107" s="168" t="n">
        <f aca="false">D103+D106</f>
        <v>0</v>
      </c>
      <c r="E107" s="168" t="n">
        <f aca="false">E103+E106</f>
        <v>0</v>
      </c>
      <c r="F107" s="168" t="n">
        <f aca="false">F103+F106</f>
        <v>0</v>
      </c>
      <c r="G107" s="168" t="n">
        <f aca="false">G103+G106</f>
        <v>0</v>
      </c>
      <c r="H107" s="168" t="n">
        <f aca="false">H103+H106</f>
        <v>0</v>
      </c>
      <c r="I107" s="168" t="n">
        <f aca="false">I103+I106</f>
        <v>0</v>
      </c>
      <c r="J107" s="168" t="n">
        <f aca="false">J103+J106</f>
        <v>0</v>
      </c>
      <c r="K107" s="168" t="n">
        <f aca="false">K103+K106</f>
        <v>0</v>
      </c>
      <c r="L107" s="168">
        <f>L103+L106</f>
        <v>23132.2304</v>
      </c>
      <c r="M107" s="168">
        <f>M103+M106</f>
        <v>16882.0304</v>
      </c>
      <c r="N107" s="168">
        <f>N103+N106</f>
        <v>16882.0304</v>
      </c>
      <c r="O107" s="168">
        <f>O103+O106</f>
        <v>16882.0304</v>
      </c>
      <c r="P107" s="168">
        <f>P103+P106</f>
        <v>12382.0304</v>
      </c>
      <c r="Q107" s="168">
        <f>Q103+Q106</f>
        <v>12382.0304</v>
      </c>
      <c r="R107" s="168">
        <f>R103+R106</f>
        <v>28954.2928</v>
      </c>
      <c r="S107" s="168">
        <f>S103+S106</f>
        <v>45526.555199999995</v>
      </c>
      <c r="T107" s="168">
        <f>T103+T106</f>
        <v>62098.817599999995</v>
      </c>
      <c r="U107" s="168">
        <f>U103+U106</f>
        <v>72225.794</v>
      </c>
      <c r="V107" s="168">
        <f>V103+V106</f>
        <v>87762.296</v>
      </c>
      <c r="W107" s="168">
        <f>W103+W106</f>
        <v>103298.786</v>
      </c>
      <c r="X107" s="168">
        <f>X103+X106</f>
        <v>118835.276</v>
      </c>
      <c r="Y107" s="168">
        <f>Y103+Y106</f>
        <v>134371.772</v>
      </c>
      <c r="Z107" s="168">
        <f>Z103+Z106</f>
        <v>149908.27399999998</v>
      </c>
      <c r="AA107" s="168">
        <f>AA103+AA106</f>
        <v>152699.367</v>
      </c>
      <c r="AB107" s="168">
        <f>AB103+AB106</f>
        <v>166941.1605</v>
      </c>
      <c r="AC107" s="168">
        <f>AC103+AC106</f>
        <v>200231.2855</v>
      </c>
      <c r="AD107" s="168">
        <f>AD103+AD106</f>
        <v>151106.05550000002</v>
      </c>
      <c r="AE107" s="168">
        <f>AE103+AE106</f>
        <v>151536.22149999999</v>
      </c>
      <c r="AF107" s="168">
        <f>AF103+AF106</f>
        <v>151966.37649999998</v>
      </c>
      <c r="AG107" s="168">
        <f>AG103+AG106</f>
        <v>152396.537</v>
      </c>
      <c r="AH107" s="168">
        <f>AH103+AH106</f>
        <v>152826.69199999998</v>
      </c>
      <c r="AI107" s="168">
        <f>AI103+AI106</f>
        <v>167498.6405</v>
      </c>
      <c r="AJ107" s="168">
        <f>AJ103+AJ106</f>
        <v>153687.0185</v>
      </c>
      <c r="AK107" s="168">
        <f>AK103+AK106</f>
        <v>139875.391</v>
      </c>
      <c r="AL107" s="168">
        <f>AL103+AL106</f>
        <v>126063.7635</v>
      </c>
      <c r="AM107" s="168">
        <f>AM103+AM106</f>
        <v>112252.1305</v>
      </c>
      <c r="AN107" s="168">
        <f>AN103+AN106</f>
        <v>90627.735</v>
      </c>
      <c r="AO107" s="168">
        <f>AO103+AO106</f>
        <v>78071.71</v>
      </c>
      <c r="AP107" s="168">
        <f>AP103+AP106</f>
        <v>65515.67999999999</v>
      </c>
      <c r="AQ107" s="168">
        <f>AQ103+AQ106</f>
        <v>52959.66</v>
      </c>
      <c r="AR107" s="168">
        <f>AR103+AR106</f>
        <v>39919.048500000004</v>
      </c>
      <c r="AS107" s="168">
        <f>AS103+AS106</f>
        <v>80797.05</v>
      </c>
      <c r="AT107" s="168">
        <f>AT103+AT106</f>
        <v>67849.975</v>
      </c>
      <c r="AU107" s="168">
        <f>AU103+AU106</f>
        <v>42056.6125</v>
      </c>
      <c r="AV107" s="168">
        <f>AV103+AV106</f>
        <v>41626.452</v>
      </c>
      <c r="AW107" s="168">
        <f>AW103+AW106</f>
        <v>41196.286</v>
      </c>
      <c r="AX107" s="168">
        <f>AX103+AX106</f>
        <v>40766.130999999994</v>
      </c>
      <c r="AY107" s="168">
        <f>AY103+AY106</f>
        <v>40335.970499999996</v>
      </c>
      <c r="AZ107" s="168">
        <f>AZ103+AZ106</f>
        <v>39905.81</v>
      </c>
      <c r="BA107" s="168">
        <f>BA103+BA106</f>
        <v>39475.6495</v>
      </c>
      <c r="BB107" s="168">
        <f>BB103+BB106</f>
        <v>39045.489</v>
      </c>
      <c r="BC107" s="168">
        <f>BC103+BC106</f>
        <v>38615.3285</v>
      </c>
      <c r="BD107" s="168">
        <f>BD103+BD106</f>
        <v>38185.168</v>
      </c>
      <c r="BE107" s="168">
        <f>BE103+BE106</f>
        <v>37755.0075</v>
      </c>
      <c r="BF107" s="168">
        <f>BF103+BF106</f>
        <v>37324.846999999994</v>
      </c>
      <c r="BG107" s="168">
        <f>BG103+BG106</f>
        <v>36894.692</v>
      </c>
      <c r="BH107" s="168">
        <f>BH103+BH106</f>
        <v>59965.026000000005</v>
      </c>
      <c r="BI107" s="168">
        <f>BI103+BI106</f>
        <v>59534.86550000001</v>
      </c>
      <c r="BJ107" s="168">
        <f>BJ103+BJ106</f>
        <v>112930.995</v>
      </c>
      <c r="BK107" s="168" t="n">
        <f aca="false">BK103+BK106</f>
        <v>0</v>
      </c>
      <c r="BL107" s="168" t="n">
        <f aca="false">BL103+BL106</f>
        <v>0</v>
      </c>
      <c r="BM107" s="168" t="n">
        <f aca="false">BM103+BM106</f>
        <v>0</v>
      </c>
      <c r="BN107" s="168" t="n">
        <f aca="false">BN103+BN106</f>
        <v>0</v>
      </c>
      <c r="BO107" s="168" t="n">
        <f aca="false">BO103+BO106</f>
        <v>0</v>
      </c>
      <c r="BP107" s="168" t="n">
        <f aca="false">BP103+BP106</f>
        <v>0</v>
      </c>
      <c r="BQ107" s="168" t="n">
        <f aca="false">BQ103+BQ106</f>
        <v>0</v>
      </c>
      <c r="BR107" s="168" t="n">
        <f aca="false">BR103+BR106</f>
        <v>0</v>
      </c>
      <c r="BS107" s="168" t="n">
        <f aca="false">BS103+BS106</f>
        <v>0</v>
      </c>
      <c r="BT107" s="168" t="n">
        <f aca="false">BT103+BT106</f>
        <v>0</v>
      </c>
      <c r="BU107" s="168" t="n">
        <f aca="false">BU103+BU106</f>
        <v>0</v>
      </c>
      <c r="BV107" s="168" t="n">
        <f aca="false">BV103+BV106</f>
        <v>0</v>
      </c>
      <c r="BW107" s="168" t="n">
        <f aca="false">BW103+BW106</f>
        <v>0</v>
      </c>
      <c r="BX107" s="168" t="n">
        <f aca="false">BX103+BX106</f>
        <v>0</v>
      </c>
      <c r="BY107" s="168" t="n">
        <f aca="false">BY103+BY106</f>
        <v>0</v>
      </c>
      <c r="BZ107" s="168" t="n">
        <f aca="false">BZ103+BZ106</f>
        <v>0</v>
      </c>
      <c r="CA107" s="168" t="n">
        <f aca="false">CA103+CA106</f>
        <v>0</v>
      </c>
      <c r="CB107" s="168" t="n">
        <f aca="false">CB103+CB106</f>
        <v>0</v>
      </c>
      <c r="CC107" s="168" t="n">
        <f aca="false">CC103+CC106</f>
        <v>0</v>
      </c>
      <c r="CD107" s="168" t="n">
        <f aca="false">CD103+CD106</f>
        <v>0</v>
      </c>
      <c r="CE107" s="168" t="n">
        <f aca="false">CE103+CE106</f>
        <v>0</v>
      </c>
      <c r="CF107" s="168" t="n">
        <f aca="false">CF103+CF106</f>
        <v>0</v>
      </c>
      <c r="CG107" s="168" t="n">
        <f aca="false">CG103+CG106</f>
        <v>0</v>
      </c>
      <c r="CH107" s="168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9" t="s">
        <v>686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  <c r="CC1" s="109"/>
      <c r="CD1" s="109"/>
      <c r="CE1" s="109"/>
      <c r="CF1" s="109"/>
      <c r="CG1" s="109"/>
      <c r="CH1" s="109"/>
    </row>
    <row r="2" customFormat="false" ht="15" hidden="false" customHeight="true" outlineLevel="0" collapsed="false">
      <c r="A2" s="109"/>
      <c r="B2" s="109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0"/>
      <c r="AX2" s="170"/>
      <c r="AY2" s="170"/>
      <c r="AZ2" s="170"/>
      <c r="BA2" s="170"/>
      <c r="BB2" s="170"/>
      <c r="BC2" s="170"/>
      <c r="BD2" s="170"/>
      <c r="BE2" s="170"/>
      <c r="BF2" s="170"/>
      <c r="BG2" s="170"/>
      <c r="BH2" s="170"/>
      <c r="BI2" s="170"/>
      <c r="BJ2" s="170"/>
      <c r="BK2" s="170"/>
      <c r="BL2" s="170"/>
      <c r="BM2" s="170"/>
      <c r="BN2" s="170"/>
      <c r="BO2" s="170"/>
      <c r="BP2" s="170"/>
      <c r="BQ2" s="170"/>
      <c r="BR2" s="170"/>
      <c r="BS2" s="170"/>
      <c r="BT2" s="170"/>
      <c r="BU2" s="170"/>
      <c r="BV2" s="170"/>
      <c r="BW2" s="170"/>
      <c r="BX2" s="170"/>
      <c r="BY2" s="170"/>
      <c r="BZ2" s="170"/>
      <c r="CA2" s="170"/>
      <c r="CB2" s="170"/>
      <c r="CC2" s="170"/>
      <c r="CD2" s="170"/>
      <c r="CE2" s="170"/>
      <c r="CF2" s="170"/>
      <c r="CG2" s="170"/>
      <c r="CH2" s="170"/>
    </row>
    <row r="3" customFormat="false" ht="15" hidden="false" customHeight="true" outlineLevel="0" collapsed="false">
      <c r="A3" s="171"/>
      <c r="B3" s="172" t="s">
        <v>687</v>
      </c>
      <c r="C3" s="172" t="s">
        <v>688</v>
      </c>
      <c r="D3" s="172" t="s">
        <v>689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09"/>
      <c r="BF3" s="109"/>
      <c r="BG3" s="109"/>
      <c r="BH3" s="109"/>
      <c r="BI3" s="109"/>
      <c r="BJ3" s="109"/>
      <c r="BK3" s="109"/>
      <c r="BL3" s="109"/>
      <c r="BM3" s="109"/>
      <c r="BN3" s="109"/>
      <c r="BO3" s="109"/>
      <c r="BP3" s="109"/>
      <c r="BQ3" s="109"/>
      <c r="BR3" s="109"/>
      <c r="BS3" s="109"/>
      <c r="BT3" s="109"/>
      <c r="BU3" s="109"/>
      <c r="BV3" s="109"/>
      <c r="BW3" s="109"/>
      <c r="BX3" s="109"/>
      <c r="BY3" s="109"/>
      <c r="BZ3" s="109"/>
      <c r="CA3" s="109"/>
      <c r="CB3" s="109"/>
      <c r="CC3" s="109"/>
      <c r="CD3" s="109"/>
      <c r="CE3" s="109"/>
      <c r="CF3" s="109"/>
      <c r="CG3" s="109"/>
      <c r="CH3" s="109"/>
    </row>
    <row r="4" customFormat="false" ht="15" hidden="false" customHeight="true" outlineLevel="0" collapsed="false">
      <c r="A4" s="109"/>
      <c r="B4" s="64"/>
      <c r="C4" s="64"/>
      <c r="D4" s="64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09"/>
      <c r="BL4" s="109"/>
      <c r="BM4" s="109"/>
      <c r="BN4" s="109"/>
      <c r="BO4" s="109"/>
      <c r="BP4" s="109"/>
      <c r="BQ4" s="109"/>
      <c r="BR4" s="109"/>
      <c r="BS4" s="109"/>
      <c r="BT4" s="109"/>
      <c r="BU4" s="109"/>
      <c r="BV4" s="109"/>
      <c r="BW4" s="109"/>
      <c r="BX4" s="109"/>
      <c r="BY4" s="109"/>
      <c r="BZ4" s="109"/>
      <c r="CA4" s="109"/>
      <c r="CB4" s="109"/>
      <c r="CC4" s="109"/>
      <c r="CD4" s="109"/>
      <c r="CE4" s="109"/>
      <c r="CF4" s="109"/>
      <c r="CG4" s="109"/>
      <c r="CH4" s="109"/>
    </row>
    <row r="5" customFormat="false" ht="15" hidden="false" customHeight="true" outlineLevel="0" collapsed="false">
      <c r="A5" s="173" t="s">
        <v>49</v>
      </c>
      <c r="B5" s="174"/>
      <c r="C5" s="174"/>
      <c r="D5" s="17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</row>
    <row r="6" customFormat="false" ht="15" hidden="false" customHeight="true" outlineLevel="0" collapsed="false">
      <c r="A6" s="175" t="s">
        <v>690</v>
      </c>
      <c r="B6" s="176" t="n">
        <f aca="false">SUM(Model!C60:CH60)</f>
        <v>1063981</v>
      </c>
      <c r="C6" s="176" t="n">
        <f aca="false">Helpers!B47</f>
        <v>1912475</v>
      </c>
      <c r="D6" s="176" t="n">
        <f aca="false">B6+C6</f>
        <v>2976456</v>
      </c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</row>
    <row r="7" customFormat="false" ht="15" hidden="false" customHeight="true" outlineLevel="0" collapsed="false">
      <c r="A7" s="109" t="s">
        <v>691</v>
      </c>
      <c r="B7" s="64" t="n">
        <f aca="false">-Projects!$B$7*Assumptions!$B$47</f>
        <v>-429684.48</v>
      </c>
      <c r="C7" s="64" t="n">
        <v>0</v>
      </c>
      <c r="D7" s="64" t="n">
        <f aca="false">B7+C7</f>
        <v>-429684.48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</row>
    <row r="8" customFormat="false" ht="15" hidden="false" customHeight="true" outlineLevel="0" collapsed="false">
      <c r="A8" s="175" t="s">
        <v>692</v>
      </c>
      <c r="B8" s="176" t="n">
        <f aca="false">-Assumptions!$B$53*Assumptions!$B$48</f>
        <v>-150000</v>
      </c>
      <c r="C8" s="176" t="n">
        <v>0</v>
      </c>
      <c r="D8" s="176" t="n">
        <f aca="false">B8+C8</f>
        <v>-150000</v>
      </c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09"/>
      <c r="BM8" s="109"/>
      <c r="BN8" s="109"/>
      <c r="BO8" s="109"/>
      <c r="BP8" s="109"/>
      <c r="BQ8" s="109"/>
      <c r="BR8" s="109"/>
      <c r="BS8" s="109"/>
      <c r="BT8" s="109"/>
      <c r="BU8" s="109"/>
      <c r="BV8" s="109"/>
      <c r="BW8" s="109"/>
      <c r="BX8" s="109"/>
      <c r="BY8" s="109"/>
      <c r="BZ8" s="109"/>
      <c r="CA8" s="109"/>
      <c r="CB8" s="109"/>
      <c r="CC8" s="109"/>
      <c r="CD8" s="109"/>
      <c r="CE8" s="109"/>
      <c r="CF8" s="109"/>
      <c r="CG8" s="109"/>
      <c r="CH8" s="109"/>
    </row>
    <row r="9" customFormat="false" ht="15" hidden="false" customHeight="true" outlineLevel="0" collapsed="false">
      <c r="A9" s="109" t="s">
        <v>560</v>
      </c>
      <c r="B9" s="64" t="n">
        <v>0</v>
      </c>
      <c r="C9" s="64" t="n">
        <v>0</v>
      </c>
      <c r="D9" s="64" t="n">
        <f aca="false">B9+C9</f>
        <v>0</v>
      </c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09"/>
      <c r="BV9" s="109"/>
      <c r="BW9" s="109"/>
      <c r="BX9" s="109"/>
      <c r="BY9" s="109"/>
      <c r="BZ9" s="109"/>
      <c r="CA9" s="109"/>
      <c r="CB9" s="109"/>
      <c r="CC9" s="109"/>
      <c r="CD9" s="109"/>
      <c r="CE9" s="109"/>
      <c r="CF9" s="109"/>
      <c r="CG9" s="109"/>
      <c r="CH9" s="109"/>
    </row>
    <row r="10" customFormat="false" ht="15" hidden="false" customHeight="true" outlineLevel="0" collapsed="false">
      <c r="A10" s="143" t="s">
        <v>693</v>
      </c>
      <c r="B10" s="146" t="n">
        <f aca="false">SUM(B6:B9)</f>
        <v>484296.52</v>
      </c>
      <c r="C10" s="146" t="n">
        <f aca="false">SUM(C6:C9)</f>
        <v>1912475</v>
      </c>
      <c r="D10" s="146" t="n">
        <f aca="false">SUM(D6:D9)</f>
        <v>2396771.52</v>
      </c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</row>
    <row r="11" customFormat="false" ht="15" hidden="false" customHeight="true" outlineLevel="0" collapsed="false">
      <c r="A11" s="177"/>
      <c r="B11" s="178"/>
      <c r="C11" s="178"/>
      <c r="D11" s="178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  <c r="CA11" s="64"/>
      <c r="CB11" s="64"/>
      <c r="CC11" s="64"/>
      <c r="CD11" s="64"/>
      <c r="CE11" s="64"/>
      <c r="CF11" s="64"/>
      <c r="CG11" s="64"/>
      <c r="CH11" s="64"/>
    </row>
    <row r="12" customFormat="false" ht="15" hidden="false" customHeight="true" outlineLevel="0" collapsed="false">
      <c r="A12" s="111" t="s">
        <v>694</v>
      </c>
      <c r="B12" s="111"/>
      <c r="C12" s="179"/>
      <c r="D12" s="179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</row>
    <row r="13" customFormat="false" ht="15" hidden="false" customHeight="true" outlineLevel="0" collapsed="false">
      <c r="A13" s="175" t="s">
        <v>690</v>
      </c>
      <c r="B13" s="176" t="n">
        <f aca="false">SUM(Model!C62:CH62)</f>
        <v>292621</v>
      </c>
      <c r="C13" s="176" t="n">
        <f aca="false">Helpers!B48</f>
        <v>2633580</v>
      </c>
      <c r="D13" s="176" t="n">
        <f aca="false">B13+C13</f>
        <v>2926201</v>
      </c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</row>
    <row r="14" customFormat="false" ht="15" hidden="false" customHeight="true" outlineLevel="0" collapsed="false">
      <c r="A14" s="180" t="s">
        <v>691</v>
      </c>
      <c r="B14" s="181" t="n">
        <f aca="false">-Projects!$B$14*Assumptions!$B$47</f>
        <v>-413546.32</v>
      </c>
      <c r="C14" s="181" t="n">
        <v>0</v>
      </c>
      <c r="D14" s="181" t="n">
        <f aca="false">B14+C14</f>
        <v>-413546.32</v>
      </c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</row>
    <row r="15" customFormat="false" ht="15" hidden="false" customHeight="true" outlineLevel="0" collapsed="false">
      <c r="A15" s="175" t="s">
        <v>692</v>
      </c>
      <c r="B15" s="176" t="n">
        <f aca="false">-Assumptions!$B$55*Assumptions!$B$48</f>
        <v>-150000</v>
      </c>
      <c r="C15" s="176" t="n">
        <v>0</v>
      </c>
      <c r="D15" s="176" t="n">
        <f aca="false">B15+C15</f>
        <v>-150000</v>
      </c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</row>
    <row r="16" customFormat="false" ht="15" hidden="false" customHeight="true" outlineLevel="0" collapsed="false">
      <c r="A16" s="180" t="s">
        <v>560</v>
      </c>
      <c r="B16" s="181" t="n">
        <f aca="false">-SUM(Model!C122:CH122)</f>
        <v>-603840.547005172</v>
      </c>
      <c r="C16" s="181" t="n">
        <f aca="false">-Helpers!F93</f>
        <v>-240125.881206445</v>
      </c>
      <c r="D16" s="181" t="n">
        <f aca="false">B16+C16</f>
        <v>-843966.428211617</v>
      </c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09"/>
      <c r="BJ16" s="109"/>
      <c r="BK16" s="109"/>
      <c r="BL16" s="109"/>
      <c r="BM16" s="109"/>
      <c r="BN16" s="109"/>
      <c r="BO16" s="109"/>
      <c r="BP16" s="109"/>
      <c r="BQ16" s="109"/>
      <c r="BR16" s="109"/>
      <c r="BS16" s="109"/>
      <c r="BT16" s="109"/>
      <c r="BU16" s="109"/>
      <c r="BV16" s="109"/>
      <c r="BW16" s="109"/>
      <c r="BX16" s="109"/>
      <c r="BY16" s="109"/>
      <c r="BZ16" s="109"/>
      <c r="CA16" s="109"/>
      <c r="CB16" s="109"/>
      <c r="CC16" s="109"/>
      <c r="CD16" s="109"/>
      <c r="CE16" s="109"/>
      <c r="CF16" s="109"/>
      <c r="CG16" s="109"/>
      <c r="CH16" s="109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</row>
    <row r="18" customFormat="false" ht="15" hidden="false" customHeight="true" outlineLevel="0" collapsed="false">
      <c r="A18" s="182"/>
      <c r="B18" s="183"/>
      <c r="C18" s="183"/>
      <c r="D18" s="183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</row>
    <row r="19" customFormat="false" ht="15" hidden="false" customHeight="true" outlineLevel="0" collapsed="false">
      <c r="A19" s="184" t="s">
        <v>54</v>
      </c>
      <c r="B19" s="185"/>
      <c r="C19" s="185"/>
      <c r="D19" s="185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</row>
    <row r="20" customFormat="false" ht="15" hidden="false" customHeight="true" outlineLevel="0" collapsed="false">
      <c r="A20" s="186" t="s">
        <v>690</v>
      </c>
      <c r="B20" s="187" t="n">
        <f aca="false">SUM(Model!C61:CH61)</f>
        <v>1681289</v>
      </c>
      <c r="C20" s="187" t="n">
        <f aca="false">Helpers!B49</f>
        <v>2278136</v>
      </c>
      <c r="D20" s="187" t="n">
        <f aca="false">B20+C20</f>
        <v>3959425</v>
      </c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09"/>
      <c r="BO20" s="109"/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</row>
    <row r="21" customFormat="false" ht="15" hidden="false" customHeight="true" outlineLevel="0" collapsed="false">
      <c r="A21" s="188" t="s">
        <v>691</v>
      </c>
      <c r="B21" s="189" t="n">
        <f aca="false">-Projects!$B$13*Assumptions!$B$47</f>
        <v>-452667.7</v>
      </c>
      <c r="C21" s="189" t="n">
        <v>0</v>
      </c>
      <c r="D21" s="189" t="n">
        <f aca="false">B21+C21</f>
        <v>-452667.7</v>
      </c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09"/>
      <c r="BP21" s="109"/>
      <c r="BQ21" s="109"/>
      <c r="BR21" s="109"/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</row>
    <row r="22" customFormat="false" ht="15" hidden="false" customHeight="true" outlineLevel="0" collapsed="false">
      <c r="A22" s="186" t="s">
        <v>692</v>
      </c>
      <c r="B22" s="187" t="n">
        <f aca="false">-Assumptions!$B$54*Assumptions!$B$48</f>
        <v>-150000</v>
      </c>
      <c r="C22" s="187" t="n">
        <v>0</v>
      </c>
      <c r="D22" s="187" t="n">
        <f aca="false">B22+C22</f>
        <v>-150000</v>
      </c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</row>
    <row r="23" customFormat="false" ht="15" hidden="false" customHeight="true" outlineLevel="0" collapsed="false">
      <c r="A23" s="109" t="s">
        <v>560</v>
      </c>
      <c r="B23" s="64" t="n">
        <f aca="false">-SUM(Model!C127:CH127)</f>
        <v>-738013.273393521</v>
      </c>
      <c r="C23" s="64" t="n">
        <v>0</v>
      </c>
      <c r="D23" s="64" t="n">
        <f aca="false">B23+C23</f>
        <v>-738013.273393521</v>
      </c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</row>
    <row r="24" customFormat="false" ht="15" hidden="false" customHeight="true" outlineLevel="0" collapsed="false">
      <c r="A24" s="148" t="s">
        <v>693</v>
      </c>
      <c r="B24" s="150" t="n">
        <f aca="false">SUM(B20:B23)</f>
        <v>340608.026606479</v>
      </c>
      <c r="C24" s="150" t="n">
        <f aca="false">SUM(C20:C23)</f>
        <v>2278136</v>
      </c>
      <c r="D24" s="150" t="n">
        <f aca="false">SUM(D20:D23)</f>
        <v>2618744.02660648</v>
      </c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  <c r="CA24" s="64"/>
      <c r="CB24" s="64"/>
      <c r="CC24" s="64"/>
      <c r="CD24" s="64"/>
      <c r="CE24" s="64"/>
      <c r="CF24" s="64"/>
      <c r="CG24" s="64"/>
      <c r="CH24" s="64"/>
    </row>
    <row r="25" customFormat="false" ht="15" hidden="false" customHeight="true" outlineLevel="0" collapsed="false">
      <c r="A25" s="131"/>
      <c r="B25" s="190"/>
      <c r="C25" s="190"/>
      <c r="D25" s="190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64"/>
      <c r="BS25" s="64"/>
      <c r="BT25" s="64"/>
      <c r="BU25" s="64"/>
      <c r="BV25" s="64"/>
      <c r="BW25" s="64"/>
      <c r="BX25" s="64"/>
      <c r="BY25" s="64"/>
      <c r="BZ25" s="64"/>
      <c r="CA25" s="64"/>
      <c r="CB25" s="64"/>
      <c r="CC25" s="64"/>
      <c r="CD25" s="64"/>
      <c r="CE25" s="64"/>
      <c r="CF25" s="64"/>
      <c r="CG25" s="64"/>
      <c r="CH25" s="64"/>
    </row>
    <row r="26" customFormat="false" ht="15" hidden="false" customHeight="true" outlineLevel="0" collapsed="false">
      <c r="A26" s="191" t="s">
        <v>695</v>
      </c>
      <c r="B26" s="192"/>
      <c r="C26" s="192"/>
      <c r="D26" s="192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  <c r="BN26" s="64"/>
      <c r="BO26" s="64"/>
      <c r="BP26" s="64"/>
      <c r="BQ26" s="64"/>
      <c r="BR26" s="64"/>
      <c r="BS26" s="64"/>
      <c r="BT26" s="64"/>
      <c r="BU26" s="64"/>
      <c r="BV26" s="64"/>
      <c r="BW26" s="64"/>
      <c r="BX26" s="64"/>
      <c r="BY26" s="64"/>
      <c r="BZ26" s="64"/>
      <c r="CA26" s="64"/>
      <c r="CB26" s="64"/>
      <c r="CC26" s="64"/>
      <c r="CD26" s="64"/>
      <c r="CE26" s="64"/>
      <c r="CF26" s="64"/>
      <c r="CG26" s="64"/>
      <c r="CH26" s="64"/>
    </row>
    <row r="27" customFormat="false" ht="15" hidden="false" customHeight="true" outlineLevel="0" collapsed="false">
      <c r="A27" s="193" t="s">
        <v>696</v>
      </c>
      <c r="B27" s="194" t="n">
        <f aca="false">B6+B13+B20</f>
        <v>3037891</v>
      </c>
      <c r="C27" s="194" t="n">
        <f aca="false">C6+C13+C20</f>
        <v>6824191</v>
      </c>
      <c r="D27" s="194" t="n">
        <f aca="false">D6+D13+D20</f>
        <v>9862082</v>
      </c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09"/>
      <c r="BF27" s="109"/>
      <c r="BG27" s="109"/>
      <c r="BH27" s="109"/>
      <c r="BI27" s="109"/>
      <c r="BJ27" s="109"/>
      <c r="BK27" s="109"/>
      <c r="BL27" s="109"/>
      <c r="BM27" s="109"/>
      <c r="BN27" s="109"/>
      <c r="BO27" s="109"/>
      <c r="BP27" s="109"/>
      <c r="BQ27" s="109"/>
      <c r="BR27" s="109"/>
      <c r="BS27" s="109"/>
      <c r="BT27" s="109"/>
      <c r="BU27" s="109"/>
      <c r="BV27" s="109"/>
      <c r="BW27" s="109"/>
      <c r="BX27" s="109"/>
      <c r="BY27" s="109"/>
      <c r="BZ27" s="109"/>
      <c r="CA27" s="109"/>
      <c r="CB27" s="109"/>
      <c r="CC27" s="109"/>
      <c r="CD27" s="109"/>
      <c r="CE27" s="109"/>
      <c r="CF27" s="109"/>
      <c r="CG27" s="109"/>
      <c r="CH27" s="109"/>
    </row>
    <row r="28" customFormat="false" ht="15" hidden="false" customHeight="true" outlineLevel="0" collapsed="false">
      <c r="A28" s="109" t="s">
        <v>697</v>
      </c>
      <c r="B28" s="64" t="n">
        <f aca="false">B7+B14+B21</f>
        <v>-1295898.5</v>
      </c>
      <c r="C28" s="64" t="n">
        <f aca="false">C7+C14+C21</f>
        <v>0</v>
      </c>
      <c r="D28" s="64" t="n">
        <f aca="false">D7+D14+D21</f>
        <v>-1295898.5</v>
      </c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09"/>
      <c r="BO28" s="109"/>
      <c r="BP28" s="109"/>
      <c r="BQ28" s="109"/>
      <c r="BR28" s="109"/>
      <c r="BS28" s="109"/>
      <c r="BT28" s="109"/>
      <c r="BU28" s="109"/>
      <c r="BV28" s="109"/>
      <c r="BW28" s="109"/>
      <c r="BX28" s="109"/>
      <c r="BY28" s="109"/>
      <c r="BZ28" s="109"/>
      <c r="CA28" s="109"/>
      <c r="CB28" s="109"/>
      <c r="CC28" s="109"/>
      <c r="CD28" s="109"/>
      <c r="CE28" s="109"/>
      <c r="CF28" s="109"/>
      <c r="CG28" s="109"/>
      <c r="CH28" s="109"/>
    </row>
    <row r="29" customFormat="false" ht="15" hidden="false" customHeight="true" outlineLevel="0" collapsed="false">
      <c r="A29" s="195" t="s">
        <v>698</v>
      </c>
      <c r="B29" s="196" t="n">
        <f aca="false">B8+B15+B22</f>
        <v>-450000</v>
      </c>
      <c r="C29" s="196" t="n">
        <f aca="false">C8+C15+C22</f>
        <v>0</v>
      </c>
      <c r="D29" s="196" t="n">
        <f aca="false">D8+D15+D22</f>
        <v>-450000</v>
      </c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</row>
    <row r="30" customFormat="false" ht="15" hidden="false" customHeight="true" outlineLevel="0" collapsed="false">
      <c r="A30" s="197" t="s">
        <v>699</v>
      </c>
      <c r="B30" s="198" t="n">
        <f aca="false">B9+B16+B23</f>
        <v>-1341853.82039869</v>
      </c>
      <c r="C30" s="198" t="n">
        <f aca="false">C9+C16+C23</f>
        <v>-240125.881206445</v>
      </c>
      <c r="D30" s="198" t="n">
        <f aca="false">D9+D16+D23</f>
        <v>-1581979.70160514</v>
      </c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  <c r="CA31" s="64"/>
      <c r="CB31" s="64"/>
      <c r="CC31" s="64"/>
      <c r="CD31" s="64"/>
      <c r="CE31" s="64"/>
      <c r="CF31" s="64"/>
      <c r="CG31" s="64"/>
      <c r="CH31" s="64"/>
    </row>
    <row r="32" customFormat="false" ht="15" hidden="false" customHeight="true" outlineLevel="0" collapsed="false">
      <c r="A32" s="199"/>
      <c r="B32" s="200"/>
      <c r="C32" s="200"/>
      <c r="D32" s="200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09"/>
      <c r="BS32" s="109"/>
      <c r="BT32" s="109"/>
      <c r="BU32" s="109"/>
      <c r="BV32" s="109"/>
      <c r="BW32" s="109"/>
      <c r="BX32" s="109"/>
      <c r="BY32" s="109"/>
      <c r="BZ32" s="109"/>
      <c r="CA32" s="109"/>
      <c r="CB32" s="109"/>
      <c r="CC32" s="109"/>
      <c r="CD32" s="109"/>
      <c r="CE32" s="109"/>
      <c r="CF32" s="109"/>
      <c r="CG32" s="109"/>
      <c r="CH32" s="109"/>
    </row>
    <row r="33" customFormat="false" ht="15" hidden="false" customHeight="true" outlineLevel="0" collapsed="false">
      <c r="A33" s="131"/>
      <c r="B33" s="190"/>
      <c r="C33" s="190"/>
      <c r="D33" s="190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</row>
    <row r="34" customFormat="false" ht="15" hidden="false" customHeight="true" outlineLevel="0" collapsed="false">
      <c r="A34" s="199"/>
      <c r="B34" s="200"/>
      <c r="C34" s="200"/>
      <c r="D34" s="200"/>
    </row>
    <row r="35" customFormat="false" ht="15" hidden="false" customHeight="true" outlineLevel="0" collapsed="false">
      <c r="A35" s="177"/>
      <c r="B35" s="178"/>
      <c r="C35" s="178"/>
      <c r="D35" s="178"/>
    </row>
    <row r="37" customFormat="false" ht="15" hidden="false" customHeight="true" outlineLevel="0" collapsed="false">
      <c r="A37" s="201"/>
    </row>
    <row r="38" customFormat="false" ht="15" hidden="false" customHeight="true" outlineLevel="0" collapsed="false">
      <c r="A38" s="202"/>
    </row>
    <row r="39" customFormat="false" ht="15" hidden="false" customHeight="true" outlineLevel="0" collapsed="false">
      <c r="A39" s="202"/>
    </row>
    <row r="40" customFormat="false" ht="15" hidden="false" customHeight="true" outlineLevel="0" collapsed="false">
      <c r="A40" s="202" t="s">
        <v>701</v>
      </c>
    </row>
    <row r="41" customFormat="false" ht="15" hidden="false" customHeight="true" outlineLevel="0" collapsed="false">
      <c r="A41" s="202" t="s">
        <v>702</v>
      </c>
    </row>
    <row r="42" customFormat="false" ht="15" hidden="false" customHeight="true" outlineLevel="0" collapsed="false">
      <c r="A42" s="202" t="s">
        <v>703</v>
      </c>
    </row>
    <row r="43" customFormat="false" ht="15" hidden="false" customHeight="true" outlineLevel="0" collapsed="false">
      <c r="A43" s="202" t="s">
        <v>704</v>
      </c>
    </row>
    <row r="44" customFormat="false" ht="15" hidden="false" customHeight="true" outlineLevel="0" collapsed="false">
      <c r="A44" s="202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