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<sst xmlns="http://schemas.openxmlformats.org/spreadsheetml/2006/main" count="1173" uniqueCount="696">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</sst>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105447082.911511</v>
      </c>
      <c r="D3" s="7" t="n">
        <f aca="false">Model!X7+Model!Y7+Model!Z7+Model!AA7+Model!AB7+Model!AC7+Model!AD7+Model!AE7+Model!AF7+Model!AG7+Model!AH7+Model!AI7</f>
        <v>75328092.06152</v>
      </c>
      <c r="E3" s="7" t="n">
        <f aca="false">Model!AJ7+Model!AK7+Model!AL7+Model!AM7+Model!AN7+Model!AO7+Model!AP7+Model!AQ7+Model!AR7+Model!AS7+Model!AT7+Model!AU7</f>
        <v>35500058.29045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4628533.57215482</v>
      </c>
      <c r="D5" s="10" t="n">
        <f aca="false">Model!X8+Model!Y8+Model!Z8+Model!AA8+Model!AB8+Model!AC8+Model!AD8+Model!AE8+Model!AF8+Model!AG8+Model!AH8+Model!AI8</f>
        <v>4109607.27456425</v>
      </c>
      <c r="E5" s="10" t="n">
        <f aca="false">Model!AJ8+Model!AK8+Model!AL8+Model!AM8+Model!AN8+Model!AO8+Model!AP8+Model!AQ8+Model!AR8+Model!AS8+Model!AT8+Model!AU8</f>
        <v>1738689.8066473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4700886.41426008</v>
      </c>
      <c r="D6" s="10" t="n">
        <f aca="false">Model!X9+Model!Y9+Model!Z9+Model!AA9+Model!AB9+Model!AC9+Model!AD9+Model!AE9+Model!AF9+Model!AG9+Model!AH9+Model!AI9</f>
        <v>4109607.27456425</v>
      </c>
      <c r="E6" s="10" t="n">
        <f aca="false">Model!AJ9+Model!AK9+Model!AL9+Model!AM9+Model!AN9+Model!AO9+Model!AP9+Model!AQ9+Model!AR9+Model!AS9+Model!AT9+Model!AU9</f>
        <v>1738689.8066473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1447626.17207792</v>
      </c>
      <c r="D7" s="10" t="n">
        <f aca="false">Model!X10+Model!Y10+Model!Z10+Model!AA10+Model!AB10+Model!AC10+Model!AD10+Model!AE10+Model!AF10+Model!AG10+Model!AH10+Model!AI10</f>
        <v>1369869.09152142</v>
      </c>
      <c r="E7" s="10" t="n">
        <f aca="false">Model!AJ10+Model!AK10+Model!AL10+Model!AM10+Model!AN10+Model!AO10+Model!AP10+Model!AQ10+Model!AR10+Model!AS10+Model!AT10+Model!AU10</f>
        <v>579563.268882433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1134400.23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11911446.3884928</v>
      </c>
      <c r="D9" s="12" t="n">
        <f aca="false">Model!X12+Model!Y12+Model!Z12+Model!AA12+Model!AB12+Model!AC12+Model!AD12+Model!AE12+Model!AF12+Model!AG12+Model!AH12+Model!AI12</f>
        <v>10209403.1206499</v>
      </c>
      <c r="E9" s="12" t="n">
        <f aca="false">Model!AJ12+Model!AK12+Model!AL12+Model!AM12+Model!AN12+Model!AO12+Model!AP12+Model!AQ12+Model!AR12+Model!AS12+Model!AT12+Model!AU12</f>
        <v>4056942.88217703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-2457867.165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-7885027.9313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4026418.45719282</v>
      </c>
      <c r="D16" s="16" t="n">
        <f aca="false">Model!X40+Model!Y40+Model!Z40+Model!AA40+Model!AB40+Model!AC40+Model!AD40+Model!AE40+Model!AF40+Model!AG40+Model!AH40+Model!AI40</f>
        <v>3329673.59902392</v>
      </c>
      <c r="E16" s="16" t="n">
        <f aca="false">Model!AJ40+Model!AK40+Model!AL40+Model!AM40+Model!AN40+Model!AO40+Model!AP40+Model!AQ40+Model!AR40+Model!AS40+Model!AT40+Model!AU40</f>
        <v>-1589475.17908149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0.33802934806327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0.326137929874588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-0.39179136242326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599023.02</v>
      </c>
      <c r="D19" s="19" t="n">
        <f aca="false">Model!X63+Model!Y63+Model!Z63+Model!AA63+Model!AB63+Model!AC63+Model!AD63+Model!AE63+Model!AF63+Model!AG63+Model!AH63+Model!AI63</f>
        <v>258671.05</v>
      </c>
      <c r="E19" s="19" t="n">
        <f aca="false">Model!AJ63+Model!AK63+Model!AL63+Model!AM63+Model!AN63+Model!AO63+Model!AP63+Model!AQ63+Model!AR63+Model!AS63+Model!AT63+Model!AU63</f>
        <v>163365</v>
      </c>
      <c r="F19" s="19" t="n">
        <f aca="false">Model!AV63+Model!AW63+Model!AX63+Model!AY63+Model!AZ63+Model!BA63+Model!BB63+Model!BC63+Model!BD63+Model!BE63+Model!BF63+Model!BG63</f>
        <v>1276957</v>
      </c>
      <c r="G19" s="19" t="n">
        <f aca="false">Model!BH63+Model!BI63+Model!BJ63+Model!BK63+Model!BL63+Model!BM63+Model!BN63+Model!BO63+Model!BP63+Model!BQ63+Model!BR63+Model!BS63</f>
        <v>546560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-902153.605</v>
      </c>
      <c r="D21" s="16" t="n">
        <f aca="false">Model!X86+Model!Y86+Model!Z86+Model!AA86+Model!AB86+Model!AC86+Model!AD86+Model!AE86+Model!AF86+Model!AG86+Model!AH86+Model!AI86</f>
        <v>-1272529.1075</v>
      </c>
      <c r="E21" s="16" t="n">
        <f aca="false">Model!AJ86+Model!AK86+Model!AL86+Model!AM86+Model!AN86+Model!AO86+Model!AP86+Model!AQ86+Model!AR86+Model!AS86+Model!AT86+Model!AU86</f>
        <v>-1561824.16065</v>
      </c>
      <c r="F21" s="16" t="n">
        <f aca="false">Model!AV86+Model!AW86+Model!AX86+Model!AY86+Model!AZ86+Model!BA86+Model!BB86+Model!BC86+Model!BD86+Model!BE86+Model!BF86+Model!BG86</f>
        <v>-1593060.643863</v>
      </c>
      <c r="G21" s="16" t="n">
        <f aca="false">Model!BH86+Model!BI86+Model!BJ86+Model!BK86+Model!BL86+Model!BM86+Model!BN86+Model!BO86+Model!BP86+Model!BQ86+Model!BR86+Model!BS86</f>
        <v>-1505646.33674026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3124264.85219282</v>
      </c>
      <c r="D23" s="16" t="n">
        <f aca="false">Model!X95+Model!Y95+Model!Z95+Model!AA95+Model!AB95+Model!AC95+Model!AD95+Model!AE95+Model!AF95+Model!AG95+Model!AH95+Model!AI95</f>
        <v>2057144.49152392</v>
      </c>
      <c r="E23" s="16" t="n">
        <f aca="false">Model!AJ95+Model!AK95+Model!AL95+Model!AM95+Model!AN95+Model!AO95+Model!AP95+Model!AQ95+Model!AR95+Model!AS95+Model!AT95+Model!AU95</f>
        <v>-3151299.33973149</v>
      </c>
      <c r="F23" s="16" t="n">
        <f aca="false">Model!AV95+Model!AW95+Model!AX95+Model!AY95+Model!AZ95+Model!BA95+Model!BB95+Model!BC95+Model!BD95+Model!BE95+Model!BF95+Model!BG95</f>
        <v>-5629297.39968002</v>
      </c>
      <c r="G23" s="16" t="n">
        <f aca="false">Model!BH95+Model!BI95+Model!BJ95+Model!BK95+Model!BL95+Model!BM95+Model!BN95+Model!BO95+Model!BP95+Model!BQ95+Model!BR95+Model!BS95</f>
        <v>-7380179.68767362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8274078.18894577</v>
      </c>
      <c r="D42" s="21" t="n">
        <f aca="false">Model!AI147</f>
        <v>11603751.7879697</v>
      </c>
      <c r="E42" s="21" t="n">
        <f aca="false">Model!AU147</f>
        <v>10014276.6088882</v>
      </c>
      <c r="F42" s="21" t="n">
        <f aca="false">Model!BG147</f>
        <v>5978039.85307118</v>
      </c>
      <c r="G42" s="21" t="n">
        <f aca="false">Model!BS147</f>
        <v>103506.502137813</v>
      </c>
      <c r="H42" s="21" t="n">
        <f aca="false">Model!CE147</f>
        <v>-5888517.51581422</v>
      </c>
      <c r="I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-3084254.73828545</v>
      </c>
      <c r="D43" s="21" t="n">
        <f aca="false">Model!AI155</f>
        <v>-4606783.84578545</v>
      </c>
      <c r="E43" s="21" t="n">
        <f aca="false">Model!AU155</f>
        <v>-6418608.00643545</v>
      </c>
      <c r="F43" s="21" t="n">
        <f aca="false">Model!BG155</f>
        <v>-8011668.65029845</v>
      </c>
      <c r="G43" s="21" t="n">
        <f aca="false">Model!BS155</f>
        <v>-9517314.9870387</v>
      </c>
      <c r="H43" s="21" t="n">
        <f aca="false">Model!CE155</f>
        <v>-10886213.2809138</v>
      </c>
      <c r="I43" s="21" t="n">
        <f aca="false">Model!CH155</f>
        <v>-11207053.6755822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-937279.455657847</v>
      </c>
      <c r="E44" s="21" t="n">
        <f aca="false">Model!AJ159+Model!AK159+Model!AL159+Model!AM159+Model!AN159+Model!AO159+Model!AP159+Model!AQ159+Model!AR159+Model!AS159+Model!AT159+Model!AU159</f>
        <v>-617143.347457176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5189823.45066033</v>
      </c>
      <c r="D45" s="23" t="n">
        <f aca="false">Model!AI160</f>
        <v>6996967.94218425</v>
      </c>
      <c r="E45" s="23" t="n">
        <f aca="false">Model!AU160</f>
        <v>3595668.60245276</v>
      </c>
      <c r="F45" s="23" t="n">
        <f aca="false">Model!BG160</f>
        <v>-2033628.79722727</v>
      </c>
      <c r="G45" s="23" t="n">
        <f aca="false">Model!BS160</f>
        <v>-9413808.48490089</v>
      </c>
      <c r="H45" s="23" t="n">
        <f aca="false">Model!CE160</f>
        <v>-16774730.796728</v>
      </c>
      <c r="I45" s="23" t="n">
        <f aca="false">Model!CH160</f>
        <v>-18600956.535808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9046566.02707998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8611260.223896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8626282.705095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8932949.763498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8747617.070646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8589371.648088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8363128.161607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8080608.411817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7551706.483186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7073914.137236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6466763.935056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6392386.61868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5525502.443855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5475342.946834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5367788.190784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5212062.392123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5019014.573595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4799873.766747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4565383.481339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4007107.137234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3841163.012343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3450195.72653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398232.228148496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342728.040648496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342728.040648496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381637.702302632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368742.965460526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368742.965460526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368742.965460526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368742.965460526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344194.668297163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324854.605925325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289928.669493336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357062.812350478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357062.812350478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357062.812350478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357062.812350478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357062.812350478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313914.669087491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313914.669087491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244160.695061517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205251.033407382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205251.033407382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179528.820745044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406633.912359023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347241.724859023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347241.724859023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386151.386513158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368742.965460526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368742.965460526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368742.965460526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368742.965460526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344194.668297163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324854.605925325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289928.669493336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357062.812350478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357062.812350478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357062.812350478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357062.812350478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357062.812350478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313914.669087491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313914.669087491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244160.695061517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205251.033407382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205251.033407382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179528.820745044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120983.55960213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109944.43460213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109944.43460213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122914.321820175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122914.321820175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122914.321820175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122914.321820175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122914.321820175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114731.556099054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108284.868641775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96642.8898311119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119020.93745016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119020.93745016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119020.93745016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119020.93745016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119020.93745016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104638.223029164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104638.223029164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81386.8983538392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68417.011135794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68417.011135794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59842.9402483482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227699.34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227699.34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1153549.04010965</v>
      </c>
      <c r="S12" s="12" t="n">
        <f aca="false">S8+S9+S10+S11</f>
        <v>799914.200109649</v>
      </c>
      <c r="T12" s="12" t="n">
        <f aca="false">T8+T9+T10+T11</f>
        <v>799914.200109649</v>
      </c>
      <c r="U12" s="12" t="n">
        <f aca="false">U8+U9+U10+U11</f>
        <v>1118402.75063597</v>
      </c>
      <c r="V12" s="12" t="n">
        <f aca="false">V8+V9+V10+V11</f>
        <v>860400.252741228</v>
      </c>
      <c r="W12" s="12" t="n">
        <f aca="false">W8+W9+W10+W11</f>
        <v>860400.252741228</v>
      </c>
      <c r="X12" s="12" t="n">
        <f aca="false">X8+X9+X10+X11</f>
        <v>860400.252741228</v>
      </c>
      <c r="Y12" s="12" t="n">
        <f aca="false">Y8+Y9+Y10+Y11</f>
        <v>860400.252741228</v>
      </c>
      <c r="Z12" s="12" t="n">
        <f aca="false">Z8+Z9+Z10+Z11</f>
        <v>803120.892693381</v>
      </c>
      <c r="AA12" s="12" t="n">
        <f aca="false">AA8+AA9+AA10+AA11</f>
        <v>757994.080492424</v>
      </c>
      <c r="AB12" s="12" t="n">
        <f aca="false">AB8+AB9+AB10+AB11</f>
        <v>676500.228817783</v>
      </c>
      <c r="AC12" s="12" t="n">
        <f aca="false">AC8+AC9+AC10+AC11</f>
        <v>1453466.04215112</v>
      </c>
      <c r="AD12" s="12" t="n">
        <f aca="false">AD8+AD9+AD10+AD11</f>
        <v>833146.562151116</v>
      </c>
      <c r="AE12" s="12" t="n">
        <f aca="false">AE8+AE9+AE10+AE11</f>
        <v>833146.562151116</v>
      </c>
      <c r="AF12" s="12" t="n">
        <f aca="false">AF8+AF9+AF10+AF11</f>
        <v>833146.562151116</v>
      </c>
      <c r="AG12" s="12" t="n">
        <f aca="false">AG8+AG9+AG10+AG11</f>
        <v>833146.562151116</v>
      </c>
      <c r="AH12" s="12" t="n">
        <f aca="false">AH8+AH9+AH10+AH11</f>
        <v>732467.561204147</v>
      </c>
      <c r="AI12" s="12" t="n">
        <f aca="false">AI8+AI9+AI10+AI11</f>
        <v>732467.561204147</v>
      </c>
      <c r="AJ12" s="12" t="n">
        <f aca="false">AJ8+AJ9+AJ10+AJ11</f>
        <v>569708.288476874</v>
      </c>
      <c r="AK12" s="12" t="n">
        <f aca="false">AK8+AK9+AK10+AK11</f>
        <v>478919.077950558</v>
      </c>
      <c r="AL12" s="12" t="n">
        <f aca="false">AL8+AL9+AL10+AL11</f>
        <v>478919.077950558</v>
      </c>
      <c r="AM12" s="12" t="n">
        <f aca="false">AM8+AM9+AM10+AM11</f>
        <v>418900.581738437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-493348.57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-493348.57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-947839.8657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-947839.8657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205709.174409649</v>
      </c>
      <c r="S40" s="16" t="n">
        <f aca="false">S12+S38</f>
        <v>345422.904409649</v>
      </c>
      <c r="T40" s="16" t="n">
        <f aca="false">T12+T38</f>
        <v>345422.904409649</v>
      </c>
      <c r="U40" s="16" t="n">
        <f aca="false">U12+U38</f>
        <v>170562.884935965</v>
      </c>
      <c r="V40" s="16" t="n">
        <f aca="false">V12+V38</f>
        <v>405908.957041228</v>
      </c>
      <c r="W40" s="16" t="n">
        <f aca="false">W12+W38</f>
        <v>405908.957041228</v>
      </c>
      <c r="X40" s="16" t="n">
        <f aca="false">X12+X38</f>
        <v>405908.957041228</v>
      </c>
      <c r="Y40" s="16" t="n">
        <f aca="false">Y12+Y38</f>
        <v>405908.957041228</v>
      </c>
      <c r="Z40" s="16" t="n">
        <f aca="false">Z12+Z38</f>
        <v>348629.596993381</v>
      </c>
      <c r="AA40" s="16" t="n">
        <f aca="false">AA12+AA38</f>
        <v>294412.958878424</v>
      </c>
      <c r="AB40" s="16" t="n">
        <f aca="false">AB12+AB38</f>
        <v>212919.107203783</v>
      </c>
      <c r="AC40" s="16" t="n">
        <f aca="false">AC12+AC38</f>
        <v>-354140.619462884</v>
      </c>
      <c r="AD40" s="16" t="n">
        <f aca="false">AD12+AD38</f>
        <v>369565.440537116</v>
      </c>
      <c r="AE40" s="16" t="n">
        <f aca="false">AE12+AE38</f>
        <v>369565.440537116</v>
      </c>
      <c r="AF40" s="16" t="n">
        <f aca="false">AF12+AF38</f>
        <v>369565.440537116</v>
      </c>
      <c r="AG40" s="16" t="n">
        <f aca="false">AG12+AG38</f>
        <v>369565.440537116</v>
      </c>
      <c r="AH40" s="16" t="n">
        <f aca="false">AH12+AH38</f>
        <v>268886.439590147</v>
      </c>
      <c r="AI40" s="16" t="n">
        <f aca="false">AI12+AI38</f>
        <v>268886.439590147</v>
      </c>
      <c r="AJ40" s="16" t="n">
        <f aca="false">AJ12+AJ38</f>
        <v>106127.166862874</v>
      </c>
      <c r="AK40" s="16" t="n">
        <f aca="false">AK12+AK38</f>
        <v>15337.9563365583</v>
      </c>
      <c r="AL40" s="16" t="n">
        <f aca="false">AL12+AL38</f>
        <v>15337.9563365583</v>
      </c>
      <c r="AM40" s="16" t="n">
        <f aca="false">AM12+AM38</f>
        <v>-53952.1623078432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0.178327203488545</v>
      </c>
      <c r="S41" s="32" t="n">
        <f aca="false">IF(S12&lt;&gt;0,S40/S12,0)</f>
        <v>0.431824943678084</v>
      </c>
      <c r="T41" s="32" t="n">
        <f aca="false">IF(T12&lt;&gt;0,T40/T12,0)</f>
        <v>0.431824943678084</v>
      </c>
      <c r="U41" s="32" t="n">
        <f aca="false">IF(U12&lt;&gt;0,U40/U12,0)</f>
        <v>0.152505780980042</v>
      </c>
      <c r="V41" s="32" t="n">
        <f aca="false">IF(V12&lt;&gt;0,V40/V12,0)</f>
        <v>0.471767593916907</v>
      </c>
      <c r="W41" s="32" t="n">
        <f aca="false">IF(W12&lt;&gt;0,W40/W12,0)</f>
        <v>0.471767593916907</v>
      </c>
      <c r="X41" s="32" t="n">
        <f aca="false">IF(X12&lt;&gt;0,X40/X12,0)</f>
        <v>0.471767593916907</v>
      </c>
      <c r="Y41" s="32" t="n">
        <f aca="false">IF(Y12&lt;&gt;0,Y40/Y12,0)</f>
        <v>0.471767593916907</v>
      </c>
      <c r="Z41" s="32" t="n">
        <f aca="false">IF(Z12&lt;&gt;0,Z40/Z12,0)</f>
        <v>0.434093547017812</v>
      </c>
      <c r="AA41" s="32" t="n">
        <f aca="false">IF(AA12&lt;&gt;0,AA40/AA12,0)</f>
        <v>0.388410630709888</v>
      </c>
      <c r="AB41" s="32" t="n">
        <f aca="false">IF(AB12&lt;&gt;0,AB40/AB12,0)</f>
        <v>0.314736193919505</v>
      </c>
      <c r="AC41" s="32" t="n">
        <f aca="false">IF(AC12&lt;&gt;0,AC40/AC12,0)</f>
        <v>-0.243652489423667</v>
      </c>
      <c r="AD41" s="32" t="n">
        <f aca="false">IF(AD12&lt;&gt;0,AD40/AD12,0)</f>
        <v>0.443577945737337</v>
      </c>
      <c r="AE41" s="32" t="n">
        <f aca="false">IF(AE12&lt;&gt;0,AE40/AE12,0)</f>
        <v>0.443577945737337</v>
      </c>
      <c r="AF41" s="32" t="n">
        <f aca="false">IF(AF12&lt;&gt;0,AF40/AF12,0)</f>
        <v>0.443577945737337</v>
      </c>
      <c r="AG41" s="32" t="n">
        <f aca="false">IF(AG12&lt;&gt;0,AG40/AG12,0)</f>
        <v>0.443577945737337</v>
      </c>
      <c r="AH41" s="32" t="n">
        <f aca="false">IF(AH12&lt;&gt;0,AH40/AH12,0)</f>
        <v>0.367096720499278</v>
      </c>
      <c r="AI41" s="32" t="n">
        <f aca="false">IF(AI12&lt;&gt;0,AI40/AI12,0)</f>
        <v>0.367096720499278</v>
      </c>
      <c r="AJ41" s="32" t="n">
        <f aca="false">IF(AJ12&lt;&gt;0,AJ40/AJ12,0)</f>
        <v>0.18628334712596</v>
      </c>
      <c r="AK41" s="32" t="n">
        <f aca="false">IF(AK12&lt;&gt;0,AK40/AK12,0)</f>
        <v>0.0320261961628133</v>
      </c>
      <c r="AL41" s="32" t="n">
        <f aca="false">IF(AL12&lt;&gt;0,AL40/AL12,0)</f>
        <v>0.0320261961628133</v>
      </c>
      <c r="AM41" s="32" t="n">
        <f aca="false">IF(AM12&lt;&gt;0,AM40/AM12,0)</f>
        <v>-0.128794670286543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0</v>
      </c>
      <c r="M62" s="10" t="n">
        <f aca="false">IF(Uplifters!$B$2="Yes",Uplifters!M107,0)</f>
        <v>0</v>
      </c>
      <c r="N62" s="10" t="n">
        <f aca="false">IF(Uplifters!$B$2="Yes",Uplifters!N107,0)</f>
        <v>0</v>
      </c>
      <c r="O62" s="10" t="n">
        <f aca="false">IF(Uplifters!$B$2="Yes",Uplifters!O107,0)</f>
        <v>0</v>
      </c>
      <c r="P62" s="10" t="n">
        <f aca="false">IF(Uplifters!$B$2="Yes",Uplifters!P107,0)</f>
        <v>0</v>
      </c>
      <c r="Q62" s="10" t="n">
        <f aca="false">IF(Uplifters!$B$2="Yes",Uplifters!Q107,0)</f>
        <v>0</v>
      </c>
      <c r="R62" s="10" t="n">
        <f aca="false">IF(Uplifters!$B$2="Yes",Uplifters!R107,0)</f>
        <v>0</v>
      </c>
      <c r="S62" s="10" t="n">
        <f aca="false">IF(Uplifters!$B$2="Yes",Uplifters!S107,0)</f>
        <v>0</v>
      </c>
      <c r="T62" s="10" t="n">
        <f aca="false">IF(Uplifters!$B$2="Yes",Uplifters!T107,0)</f>
        <v>0</v>
      </c>
      <c r="U62" s="10" t="n">
        <f aca="false">IF(Uplifters!$B$2="Yes",Uplifters!U107,0)</f>
        <v>0</v>
      </c>
      <c r="V62" s="10" t="n">
        <f aca="false">IF(Uplifters!$B$2="Yes",Uplifters!V107,0)</f>
        <v>0</v>
      </c>
      <c r="W62" s="10" t="n">
        <f aca="false">IF(Uplifters!$B$2="Yes",Uplifters!W107,0)</f>
        <v>0</v>
      </c>
      <c r="X62" s="10" t="n">
        <f aca="false">IF(Uplifters!$B$2="Yes",Uplifters!X107,0)</f>
        <v>0</v>
      </c>
      <c r="Y62" s="10" t="n">
        <f aca="false">IF(Uplifters!$B$2="Yes",Uplifters!Y107,0)</f>
        <v>0</v>
      </c>
      <c r="Z62" s="10" t="n">
        <f aca="false">IF(Uplifters!$B$2="Yes",Uplifters!Z107,0)</f>
        <v>0</v>
      </c>
      <c r="AA62" s="10" t="n">
        <f aca="false">IF(Uplifters!$B$2="Yes",Uplifters!AA107,0)</f>
        <v>0</v>
      </c>
      <c r="AB62" s="10" t="n">
        <f aca="false">IF(Uplifters!$B$2="Yes",Uplifters!AB107,0)</f>
        <v>0</v>
      </c>
      <c r="AC62" s="10" t="n">
        <f aca="false">IF(Uplifters!$B$2="Yes",Uplifters!AC107,0)</f>
        <v>0</v>
      </c>
      <c r="AD62" s="10" t="n">
        <f aca="false">IF(Uplifters!$B$2="Yes",Uplifters!AD107,0)</f>
        <v>0</v>
      </c>
      <c r="AE62" s="10" t="n">
        <f aca="false">IF(Uplifters!$B$2="Yes",Uplifters!AE107,0)</f>
        <v>0</v>
      </c>
      <c r="AF62" s="10" t="n">
        <f aca="false">IF(Uplifters!$B$2="Yes",Uplifters!AF107,0)</f>
        <v>0</v>
      </c>
      <c r="AG62" s="10" t="n">
        <f aca="false">IF(Uplifters!$B$2="Yes",Uplifters!AG107,0)</f>
        <v>0</v>
      </c>
      <c r="AH62" s="10" t="n">
        <f aca="false">IF(Uplifters!$B$2="Yes",Uplifters!AH107,0)</f>
        <v>0</v>
      </c>
      <c r="AI62" s="10" t="n">
        <f aca="false">IF(Uplifters!$B$2="Yes",Uplifters!AI107,0)</f>
        <v>0</v>
      </c>
      <c r="AJ62" s="10" t="n">
        <f aca="false">IF(Uplifters!$B$2="Yes",Uplifters!AJ107,0)</f>
        <v>0</v>
      </c>
      <c r="AK62" s="10" t="n">
        <f aca="false">IF(Uplifters!$B$2="Yes",Uplifters!AK107,0)</f>
        <v>0</v>
      </c>
      <c r="AL62" s="10" t="n">
        <f aca="false">IF(Uplifters!$B$2="Yes",Uplifters!AL107,0)</f>
        <v>0</v>
      </c>
      <c r="AM62" s="10" t="n">
        <f aca="false">IF(Uplifters!$B$2="Yes",Uplifters!AM107,0)</f>
        <v>0</v>
      </c>
      <c r="AN62" s="10" t="n">
        <f aca="false">IF(Uplifters!$B$2="Yes",Uplifters!AN107,0)</f>
        <v>0</v>
      </c>
      <c r="AO62" s="10" t="n">
        <f aca="false">IF(Uplifters!$B$2="Yes",Uplifters!AO107,0)</f>
        <v>0</v>
      </c>
      <c r="AP62" s="10" t="n">
        <f aca="false">IF(Uplifters!$B$2="Yes",Uplifters!AP107,0)</f>
        <v>0</v>
      </c>
      <c r="AQ62" s="10" t="n">
        <f aca="false">IF(Uplifters!$B$2="Yes",Uplifters!AQ107,0)</f>
        <v>0</v>
      </c>
      <c r="AR62" s="10" t="n">
        <f aca="false">IF(Uplifters!$B$2="Yes",Uplifters!AR107,0)</f>
        <v>0</v>
      </c>
      <c r="AS62" s="10" t="n">
        <f aca="false">IF(Uplifters!$B$2="Yes",Uplifters!AS107,0)</f>
        <v>0</v>
      </c>
      <c r="AT62" s="10" t="n">
        <f aca="false">IF(Uplifters!$B$2="Yes",Uplifters!AT107,0)</f>
        <v>0</v>
      </c>
      <c r="AU62" s="10" t="n">
        <f aca="false">IF(Uplifters!$B$2="Yes",Uplifters!AU107,0)</f>
        <v>0</v>
      </c>
      <c r="AV62" s="10" t="n">
        <f aca="false">IF(Uplifters!$B$2="Yes",Uplifters!AV107,0)</f>
        <v>0</v>
      </c>
      <c r="AW62" s="10" t="n">
        <f aca="false">IF(Uplifters!$B$2="Yes",Uplifters!AW107,0)</f>
        <v>0</v>
      </c>
      <c r="AX62" s="10" t="n">
        <f aca="false">IF(Uplifters!$B$2="Yes",Uplifters!AX107,0)</f>
        <v>0</v>
      </c>
      <c r="AY62" s="10" t="n">
        <f aca="false">IF(Uplifters!$B$2="Yes",Uplifters!AY107,0)</f>
        <v>0</v>
      </c>
      <c r="AZ62" s="10" t="n">
        <f aca="false">IF(Uplifters!$B$2="Yes",Uplifters!AZ107,0)</f>
        <v>0</v>
      </c>
      <c r="BA62" s="10" t="n">
        <f aca="false">IF(Uplifters!$B$2="Yes",Uplifters!BA107,0)</f>
        <v>0</v>
      </c>
      <c r="BB62" s="10" t="n">
        <f aca="false">IF(Uplifters!$B$2="Yes",Uplifters!BB107,0)</f>
        <v>0</v>
      </c>
      <c r="BC62" s="10" t="n">
        <f aca="false">IF(Uplifters!$B$2="Yes",Uplifters!BC107,0)</f>
        <v>0</v>
      </c>
      <c r="BD62" s="10" t="n">
        <f aca="false">IF(Uplifters!$B$2="Yes",Uplifters!BD107,0)</f>
        <v>0</v>
      </c>
      <c r="BE62" s="10" t="n">
        <f aca="false">IF(Uplifters!$B$2="Yes",Uplifters!BE107,0)</f>
        <v>0</v>
      </c>
      <c r="BF62" s="10" t="n">
        <f aca="false">IF(Uplifters!$B$2="Yes",Uplifters!BF107,0)</f>
        <v>0</v>
      </c>
      <c r="BG62" s="10" t="n">
        <f aca="false">IF(Uplifters!$B$2="Yes",Uplifters!BG107,0)</f>
        <v>0</v>
      </c>
      <c r="BH62" s="10" t="n">
        <f aca="false">IF(Uplifters!$B$2="Yes",Uplifters!BH107,0)</f>
        <v>0</v>
      </c>
      <c r="BI62" s="10" t="n">
        <f aca="false">IF(Uplifters!$B$2="Yes",Uplifters!BI107,0)</f>
        <v>0</v>
      </c>
      <c r="BJ62" s="10" t="n">
        <f aca="false">IF(Uplifters!$B$2="Yes",Uplifters!BJ107,0)</f>
        <v>0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57090.46</v>
      </c>
      <c r="M63" s="34" t="n">
        <f aca="false">SUM(M46:M62)</f>
        <v>57090.46</v>
      </c>
      <c r="N63" s="34" t="n">
        <f aca="false">SUM(N46:N62)</f>
        <v>57090.46</v>
      </c>
      <c r="O63" s="34" t="n">
        <f aca="false">SUM(O46:O62)</f>
        <v>57090.46</v>
      </c>
      <c r="P63" s="34" t="n">
        <f aca="false">SUM(P46:P62)</f>
        <v>57090.46</v>
      </c>
      <c r="Q63" s="34" t="n">
        <f aca="false">SUM(Q46:Q62)</f>
        <v>57090.46</v>
      </c>
      <c r="R63" s="34" t="n">
        <f aca="false">SUM(R46:R62)</f>
        <v>33184.21</v>
      </c>
      <c r="S63" s="34" t="n">
        <f aca="false">SUM(S46:S62)</f>
        <v>33184.21</v>
      </c>
      <c r="T63" s="34" t="n">
        <f aca="false">SUM(T46:T62)</f>
        <v>33184.21</v>
      </c>
      <c r="U63" s="34" t="n">
        <f aca="false">SUM(U46:U62)</f>
        <v>33184.21</v>
      </c>
      <c r="V63" s="34" t="n">
        <f aca="false">SUM(V46:V62)</f>
        <v>33184.21</v>
      </c>
      <c r="W63" s="34" t="n">
        <f aca="false">SUM(W46:W62)</f>
        <v>90559.21</v>
      </c>
      <c r="X63" s="34" t="n">
        <f aca="false">SUM(X46:X62)</f>
        <v>33184.21</v>
      </c>
      <c r="Y63" s="34" t="n">
        <f aca="false">SUM(Y46:Y62)</f>
        <v>33184.21</v>
      </c>
      <c r="Z63" s="34" t="n">
        <f aca="false">SUM(Z46:Z62)</f>
        <v>77927.63</v>
      </c>
      <c r="AA63" s="34" t="n">
        <f aca="false">SUM(AA46:AA62)</f>
        <v>9500</v>
      </c>
      <c r="AB63" s="34" t="n">
        <f aca="false">SUM(AB46:AB62)</f>
        <v>9500</v>
      </c>
      <c r="AC63" s="34" t="n">
        <f aca="false">SUM(AC46:AC62)</f>
        <v>66875</v>
      </c>
      <c r="AD63" s="34" t="n">
        <f aca="false">SUM(AD46:AD62)</f>
        <v>9500</v>
      </c>
      <c r="AE63" s="34" t="n">
        <f aca="false">SUM(AE46:AE62)</f>
        <v>9500</v>
      </c>
      <c r="AF63" s="34" t="n">
        <f aca="false">SUM(AF46:AF62)</f>
        <v>9500</v>
      </c>
      <c r="AG63" s="34" t="n">
        <f aca="false">SUM(AG46:AG62)</f>
        <v>0</v>
      </c>
      <c r="AH63" s="34" t="n">
        <f aca="false">SUM(AH46:AH62)</f>
        <v>0</v>
      </c>
      <c r="AI63" s="34" t="n">
        <f aca="false">SUM(AI46:AI62)</f>
        <v>0</v>
      </c>
      <c r="AJ63" s="34" t="n">
        <f aca="false">SUM(AJ46:AJ62)</f>
        <v>0</v>
      </c>
      <c r="AK63" s="34" t="n">
        <f aca="false">SUM(AK46:AK62)</f>
        <v>0</v>
      </c>
      <c r="AL63" s="34" t="n">
        <f aca="false">SUM(AL46:AL62)</f>
        <v>0</v>
      </c>
      <c r="AM63" s="34" t="n">
        <f aca="false">SUM(AM46:AM62)</f>
        <v>0</v>
      </c>
      <c r="AN63" s="34" t="n">
        <f aca="false">SUM(AN46:AN62)</f>
        <v>0</v>
      </c>
      <c r="AO63" s="34" t="n">
        <f aca="false">SUM(AO46:AO62)</f>
        <v>0</v>
      </c>
      <c r="AP63" s="34" t="n">
        <f aca="false">SUM(AP46:AP62)</f>
        <v>0</v>
      </c>
      <c r="AQ63" s="34" t="n">
        <f aca="false">SUM(AQ46:AQ62)</f>
        <v>0</v>
      </c>
      <c r="AR63" s="34" t="n">
        <f aca="false">SUM(AR46:AR62)</f>
        <v>81683</v>
      </c>
      <c r="AS63" s="34" t="n">
        <f aca="false">SUM(AS46:AS62)</f>
        <v>0</v>
      </c>
      <c r="AT63" s="34" t="n">
        <f aca="false">SUM(AT46:AT62)</f>
        <v>0</v>
      </c>
      <c r="AU63" s="34" t="n">
        <f aca="false">SUM(AU46:AU62)</f>
        <v>81682</v>
      </c>
      <c r="AV63" s="34" t="n">
        <f aca="false">SUM(AV46:AV62)</f>
        <v>0</v>
      </c>
      <c r="AW63" s="34" t="n">
        <f aca="false">SUM(AW46:AW62)</f>
        <v>0</v>
      </c>
      <c r="AX63" s="34" t="n">
        <f aca="false">SUM(AX46:AX62)</f>
        <v>81682</v>
      </c>
      <c r="AY63" s="34" t="n">
        <f aca="false">SUM(AY46:AY62)</f>
        <v>0</v>
      </c>
      <c r="AZ63" s="34" t="n">
        <f aca="false">SUM(AZ46:AZ62)</f>
        <v>0</v>
      </c>
      <c r="BA63" s="34" t="n">
        <f aca="false">SUM(BA46:BA62)</f>
        <v>933521</v>
      </c>
      <c r="BB63" s="34" t="n">
        <f aca="false">SUM(BB46:BB62)</f>
        <v>0</v>
      </c>
      <c r="BC63" s="34" t="n">
        <f aca="false">SUM(BC46:BC62)</f>
        <v>0</v>
      </c>
      <c r="BD63" s="34" t="n">
        <f aca="false">SUM(BD46:BD62)</f>
        <v>130878</v>
      </c>
      <c r="BE63" s="34" t="n">
        <f aca="false">SUM(BE46:BE62)</f>
        <v>0</v>
      </c>
      <c r="BF63" s="34" t="n">
        <f aca="false">SUM(BF46:BF62)</f>
        <v>0</v>
      </c>
      <c r="BG63" s="34" t="n">
        <f aca="false">SUM(BG46:BG62)</f>
        <v>130876</v>
      </c>
      <c r="BH63" s="34" t="n">
        <f aca="false">SUM(BH46:BH62)</f>
        <v>0</v>
      </c>
      <c r="BI63" s="34" t="n">
        <f aca="false">SUM(BI46:BI62)</f>
        <v>0</v>
      </c>
      <c r="BJ63" s="34" t="n">
        <f aca="false">SUM(BJ46:BJ62)</f>
        <v>130876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-62474.1233333333</v>
      </c>
      <c r="M86" s="16" t="n">
        <f aca="false">M63+M84</f>
        <v>-62474.1233333333</v>
      </c>
      <c r="N86" s="16" t="n">
        <f aca="false">N63+N84</f>
        <v>-62474.1233333333</v>
      </c>
      <c r="O86" s="16" t="n">
        <f aca="false">O63+O84</f>
        <v>-64865.415</v>
      </c>
      <c r="P86" s="16" t="n">
        <f aca="false">P63+P84</f>
        <v>-64865.415</v>
      </c>
      <c r="Q86" s="16" t="n">
        <f aca="false">Q63+Q84</f>
        <v>-64865.415</v>
      </c>
      <c r="R86" s="16" t="n">
        <f aca="false">R63+R84</f>
        <v>-112231.665</v>
      </c>
      <c r="S86" s="16" t="n">
        <f aca="false">S63+S84</f>
        <v>-88771.665</v>
      </c>
      <c r="T86" s="16" t="n">
        <f aca="false">T63+T84</f>
        <v>-88771.665</v>
      </c>
      <c r="U86" s="16" t="n">
        <f aca="false">U63+U84</f>
        <v>-88771.665</v>
      </c>
      <c r="V86" s="16" t="n">
        <f aca="false">V63+V84</f>
        <v>-88771.665</v>
      </c>
      <c r="W86" s="16" t="n">
        <f aca="false">W63+W84</f>
        <v>-52816.665</v>
      </c>
      <c r="X86" s="16" t="n">
        <f aca="false">X63+X84</f>
        <v>-88771.665</v>
      </c>
      <c r="Y86" s="16" t="n">
        <f aca="false">Y63+Y84</f>
        <v>-88771.665</v>
      </c>
      <c r="Z86" s="16" t="n">
        <f aca="false">Z63+Z84</f>
        <v>-44028.245</v>
      </c>
      <c r="AA86" s="16" t="n">
        <f aca="false">AA63+AA84</f>
        <v>-114894.9925</v>
      </c>
      <c r="AB86" s="16" t="n">
        <f aca="false">AB63+AB84</f>
        <v>-114894.9925</v>
      </c>
      <c r="AC86" s="16" t="n">
        <f aca="false">AC63+AC84</f>
        <v>-57519.9925</v>
      </c>
      <c r="AD86" s="16" t="n">
        <f aca="false">AD63+AD84</f>
        <v>-138824.1925</v>
      </c>
      <c r="AE86" s="16" t="n">
        <f aca="false">AE63+AE84</f>
        <v>-114894.9925</v>
      </c>
      <c r="AF86" s="16" t="n">
        <f aca="false">AF63+AF84</f>
        <v>-114894.9925</v>
      </c>
      <c r="AG86" s="16" t="n">
        <f aca="false">AG63+AG84</f>
        <v>-124394.9925</v>
      </c>
      <c r="AH86" s="16" t="n">
        <f aca="false">AH63+AH84</f>
        <v>-124394.9925</v>
      </c>
      <c r="AI86" s="16" t="n">
        <f aca="false">AI63+AI84</f>
        <v>-146243.3925</v>
      </c>
      <c r="AJ86" s="16" t="n">
        <f aca="false">AJ63+AJ84</f>
        <v>-124394.9925</v>
      </c>
      <c r="AK86" s="16" t="n">
        <f aca="false">AK63+AK84</f>
        <v>-124394.9925</v>
      </c>
      <c r="AL86" s="16" t="n">
        <f aca="false">AL63+AL84</f>
        <v>-124394.9925</v>
      </c>
      <c r="AM86" s="16" t="n">
        <f aca="false">AM63+AM84</f>
        <v>-126882.89235</v>
      </c>
      <c r="AN86" s="16" t="n">
        <f aca="false">AN63+AN84</f>
        <v>-126882.89235</v>
      </c>
      <c r="AO86" s="16" t="n">
        <f aca="false">AO63+AO84</f>
        <v>-126882.89235</v>
      </c>
      <c r="AP86" s="16" t="n">
        <f aca="false">AP63+AP84</f>
        <v>-151290.67635</v>
      </c>
      <c r="AQ86" s="16" t="n">
        <f aca="false">AQ63+AQ84</f>
        <v>-126882.89235</v>
      </c>
      <c r="AR86" s="16" t="n">
        <f aca="false">AR63+AR84</f>
        <v>-126882.89235</v>
      </c>
      <c r="AS86" s="16" t="n">
        <f aca="false">AS63+AS84</f>
        <v>-126882.89235</v>
      </c>
      <c r="AT86" s="16" t="n">
        <f aca="false">AT63+AT84</f>
        <v>-126882.89235</v>
      </c>
      <c r="AU86" s="16" t="n">
        <f aca="false">AU63+AU84</f>
        <v>-149168.26035</v>
      </c>
      <c r="AV86" s="16" t="n">
        <f aca="false">AV63+AV84</f>
        <v>-126882.89235</v>
      </c>
      <c r="AW86" s="16" t="n">
        <f aca="false">AW63+AW84</f>
        <v>-126882.89235</v>
      </c>
      <c r="AX86" s="16" t="n">
        <f aca="false">AX63+AX84</f>
        <v>-126882.89235</v>
      </c>
      <c r="AY86" s="16" t="n">
        <f aca="false">AY63+AY84</f>
        <v>-129420.550197</v>
      </c>
      <c r="AZ86" s="16" t="n">
        <f aca="false">AZ63+AZ84</f>
        <v>-129420.550197</v>
      </c>
      <c r="BA86" s="16" t="n">
        <f aca="false">BA63+BA84</f>
        <v>-129420.550197</v>
      </c>
      <c r="BB86" s="16" t="n">
        <f aca="false">BB63+BB84</f>
        <v>-154316.489877</v>
      </c>
      <c r="BC86" s="16" t="n">
        <f aca="false">BC63+BC84</f>
        <v>-129420.550197</v>
      </c>
      <c r="BD86" s="16" t="n">
        <f aca="false">BD63+BD84</f>
        <v>-129420.550197</v>
      </c>
      <c r="BE86" s="16" t="n">
        <f aca="false">BE63+BE84</f>
        <v>-129420.550197</v>
      </c>
      <c r="BF86" s="16" t="n">
        <f aca="false">BF63+BF84</f>
        <v>-129420.550197</v>
      </c>
      <c r="BG86" s="16" t="n">
        <f aca="false">BG63+BG84</f>
        <v>-152151.625557</v>
      </c>
      <c r="BH86" s="16" t="n">
        <f aca="false">BH63+BH84</f>
        <v>-129420.550197</v>
      </c>
      <c r="BI86" s="16" t="n">
        <f aca="false">BI63+BI84</f>
        <v>-129420.550197</v>
      </c>
      <c r="BJ86" s="16" t="n">
        <f aca="false">BJ63+BJ84</f>
        <v>-129420.550197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1153549.04010965</v>
      </c>
      <c r="S89" s="10" t="n">
        <f aca="false">S12</f>
        <v>799914.200109649</v>
      </c>
      <c r="T89" s="10" t="n">
        <f aca="false">T12</f>
        <v>799914.200109649</v>
      </c>
      <c r="U89" s="10" t="n">
        <f aca="false">U12</f>
        <v>1118402.75063597</v>
      </c>
      <c r="V89" s="10" t="n">
        <f aca="false">V12</f>
        <v>860400.252741228</v>
      </c>
      <c r="W89" s="10" t="n">
        <f aca="false">W12</f>
        <v>860400.252741228</v>
      </c>
      <c r="X89" s="10" t="n">
        <f aca="false">X12</f>
        <v>860400.252741228</v>
      </c>
      <c r="Y89" s="10" t="n">
        <f aca="false">Y12</f>
        <v>860400.252741228</v>
      </c>
      <c r="Z89" s="10" t="n">
        <f aca="false">Z12</f>
        <v>803120.892693381</v>
      </c>
      <c r="AA89" s="10" t="n">
        <f aca="false">AA12</f>
        <v>757994.080492424</v>
      </c>
      <c r="AB89" s="10" t="n">
        <f aca="false">AB12</f>
        <v>676500.228817783</v>
      </c>
      <c r="AC89" s="10" t="n">
        <f aca="false">AC12</f>
        <v>1453466.04215112</v>
      </c>
      <c r="AD89" s="10" t="n">
        <f aca="false">AD12</f>
        <v>833146.562151116</v>
      </c>
      <c r="AE89" s="10" t="n">
        <f aca="false">AE12</f>
        <v>833146.562151116</v>
      </c>
      <c r="AF89" s="10" t="n">
        <f aca="false">AF12</f>
        <v>833146.562151116</v>
      </c>
      <c r="AG89" s="10" t="n">
        <f aca="false">AG12</f>
        <v>833146.562151116</v>
      </c>
      <c r="AH89" s="10" t="n">
        <f aca="false">AH12</f>
        <v>732467.561204147</v>
      </c>
      <c r="AI89" s="10" t="n">
        <f aca="false">AI12</f>
        <v>732467.561204147</v>
      </c>
      <c r="AJ89" s="10" t="n">
        <f aca="false">AJ12</f>
        <v>569708.288476874</v>
      </c>
      <c r="AK89" s="10" t="n">
        <f aca="false">AK12</f>
        <v>478919.077950558</v>
      </c>
      <c r="AL89" s="10" t="n">
        <f aca="false">AL12</f>
        <v>478919.077950558</v>
      </c>
      <c r="AM89" s="10" t="n">
        <f aca="false">AM12</f>
        <v>418900.581738437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57090.46</v>
      </c>
      <c r="M90" s="10" t="n">
        <f aca="false">M63</f>
        <v>57090.46</v>
      </c>
      <c r="N90" s="10" t="n">
        <f aca="false">N63</f>
        <v>57090.46</v>
      </c>
      <c r="O90" s="10" t="n">
        <f aca="false">O63</f>
        <v>57090.46</v>
      </c>
      <c r="P90" s="10" t="n">
        <f aca="false">P63</f>
        <v>57090.46</v>
      </c>
      <c r="Q90" s="10" t="n">
        <f aca="false">Q63</f>
        <v>57090.46</v>
      </c>
      <c r="R90" s="10" t="n">
        <f aca="false">R63</f>
        <v>33184.21</v>
      </c>
      <c r="S90" s="10" t="n">
        <f aca="false">S63</f>
        <v>33184.21</v>
      </c>
      <c r="T90" s="10" t="n">
        <f aca="false">T63</f>
        <v>33184.21</v>
      </c>
      <c r="U90" s="10" t="n">
        <f aca="false">U63</f>
        <v>33184.21</v>
      </c>
      <c r="V90" s="10" t="n">
        <f aca="false">V63</f>
        <v>33184.21</v>
      </c>
      <c r="W90" s="10" t="n">
        <f aca="false">W63</f>
        <v>90559.21</v>
      </c>
      <c r="X90" s="10" t="n">
        <f aca="false">X63</f>
        <v>33184.21</v>
      </c>
      <c r="Y90" s="10" t="n">
        <f aca="false">Y63</f>
        <v>33184.21</v>
      </c>
      <c r="Z90" s="10" t="n">
        <f aca="false">Z63</f>
        <v>77927.63</v>
      </c>
      <c r="AA90" s="10" t="n">
        <f aca="false">AA63</f>
        <v>9500</v>
      </c>
      <c r="AB90" s="10" t="n">
        <f aca="false">AB63</f>
        <v>9500</v>
      </c>
      <c r="AC90" s="10" t="n">
        <f aca="false">AC63</f>
        <v>66875</v>
      </c>
      <c r="AD90" s="10" t="n">
        <f aca="false">AD63</f>
        <v>9500</v>
      </c>
      <c r="AE90" s="10" t="n">
        <f aca="false">AE63</f>
        <v>9500</v>
      </c>
      <c r="AF90" s="10" t="n">
        <f aca="false">AF63</f>
        <v>9500</v>
      </c>
      <c r="AG90" s="10" t="n">
        <f aca="false">AG63</f>
        <v>0</v>
      </c>
      <c r="AH90" s="10" t="n">
        <f aca="false">AH63</f>
        <v>0</v>
      </c>
      <c r="AI90" s="10" t="n">
        <f aca="false">AI63</f>
        <v>0</v>
      </c>
      <c r="AJ90" s="10" t="n">
        <f aca="false">AJ63</f>
        <v>0</v>
      </c>
      <c r="AK90" s="10" t="n">
        <f aca="false">AK63</f>
        <v>0</v>
      </c>
      <c r="AL90" s="10" t="n">
        <f aca="false">AL63</f>
        <v>0</v>
      </c>
      <c r="AM90" s="10" t="n">
        <f aca="false">AM63</f>
        <v>0</v>
      </c>
      <c r="AN90" s="10" t="n">
        <f aca="false">AN63</f>
        <v>0</v>
      </c>
      <c r="AO90" s="10" t="n">
        <f aca="false">AO63</f>
        <v>0</v>
      </c>
      <c r="AP90" s="10" t="n">
        <f aca="false">AP63</f>
        <v>0</v>
      </c>
      <c r="AQ90" s="10" t="n">
        <f aca="false">AQ63</f>
        <v>0</v>
      </c>
      <c r="AR90" s="10" t="n">
        <f aca="false">AR63</f>
        <v>81683</v>
      </c>
      <c r="AS90" s="10" t="n">
        <f aca="false">AS63</f>
        <v>0</v>
      </c>
      <c r="AT90" s="10" t="n">
        <f aca="false">AT63</f>
        <v>0</v>
      </c>
      <c r="AU90" s="10" t="n">
        <f aca="false">AU63</f>
        <v>81682</v>
      </c>
      <c r="AV90" s="10" t="n">
        <f aca="false">AV63</f>
        <v>0</v>
      </c>
      <c r="AW90" s="10" t="n">
        <f aca="false">AW63</f>
        <v>0</v>
      </c>
      <c r="AX90" s="10" t="n">
        <f aca="false">AX63</f>
        <v>81682</v>
      </c>
      <c r="AY90" s="10" t="n">
        <f aca="false">AY63</f>
        <v>0</v>
      </c>
      <c r="AZ90" s="10" t="n">
        <f aca="false">AZ63</f>
        <v>0</v>
      </c>
      <c r="BA90" s="10" t="n">
        <f aca="false">BA63</f>
        <v>933521</v>
      </c>
      <c r="BB90" s="10" t="n">
        <f aca="false">BB63</f>
        <v>0</v>
      </c>
      <c r="BC90" s="10" t="n">
        <f aca="false">BC63</f>
        <v>0</v>
      </c>
      <c r="BD90" s="10" t="n">
        <f aca="false">BD63</f>
        <v>130878</v>
      </c>
      <c r="BE90" s="10" t="n">
        <f aca="false">BE63</f>
        <v>0</v>
      </c>
      <c r="BF90" s="10" t="n">
        <f aca="false">BF63</f>
        <v>0</v>
      </c>
      <c r="BG90" s="10" t="n">
        <f aca="false">BG63</f>
        <v>130876</v>
      </c>
      <c r="BH90" s="10" t="n">
        <f aca="false">BH63</f>
        <v>0</v>
      </c>
      <c r="BI90" s="10" t="n">
        <f aca="false">BI63</f>
        <v>0</v>
      </c>
      <c r="BJ90" s="10" t="n">
        <f aca="false">BJ63</f>
        <v>130876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911335.298068182</v>
      </c>
      <c r="M91" s="12" t="n">
        <f aca="false">M89+M90</f>
        <v>911335.298068182</v>
      </c>
      <c r="N91" s="12" t="n">
        <f aca="false">N89+N90</f>
        <v>911335.298068182</v>
      </c>
      <c r="O91" s="12" t="n">
        <f aca="false">O89+O90</f>
        <v>1761801.88594697</v>
      </c>
      <c r="P91" s="12" t="n">
        <f aca="false">P89+P90</f>
        <v>1082800.33594697</v>
      </c>
      <c r="Q91" s="12" t="n">
        <f aca="false">Q89+Q90</f>
        <v>1082800.33594697</v>
      </c>
      <c r="R91" s="12" t="n">
        <f aca="false">R89+R90</f>
        <v>1186733.25010965</v>
      </c>
      <c r="S91" s="12" t="n">
        <f aca="false">S89+S90</f>
        <v>833098.410109649</v>
      </c>
      <c r="T91" s="12" t="n">
        <f aca="false">T89+T90</f>
        <v>833098.410109649</v>
      </c>
      <c r="U91" s="12" t="n">
        <f aca="false">U89+U90</f>
        <v>1151586.96063597</v>
      </c>
      <c r="V91" s="12" t="n">
        <f aca="false">V89+V90</f>
        <v>893584.462741228</v>
      </c>
      <c r="W91" s="12" t="n">
        <f aca="false">W89+W90</f>
        <v>950959.462741228</v>
      </c>
      <c r="X91" s="12" t="n">
        <f aca="false">X89+X90</f>
        <v>893584.462741228</v>
      </c>
      <c r="Y91" s="12" t="n">
        <f aca="false">Y89+Y90</f>
        <v>893584.462741228</v>
      </c>
      <c r="Z91" s="12" t="n">
        <f aca="false">Z89+Z90</f>
        <v>881048.522693381</v>
      </c>
      <c r="AA91" s="12" t="n">
        <f aca="false">AA89+AA90</f>
        <v>767494.080492424</v>
      </c>
      <c r="AB91" s="12" t="n">
        <f aca="false">AB89+AB90</f>
        <v>686000.228817783</v>
      </c>
      <c r="AC91" s="12" t="n">
        <f aca="false">AC89+AC90</f>
        <v>1520341.04215112</v>
      </c>
      <c r="AD91" s="12" t="n">
        <f aca="false">AD89+AD90</f>
        <v>842646.562151116</v>
      </c>
      <c r="AE91" s="12" t="n">
        <f aca="false">AE89+AE90</f>
        <v>842646.562151116</v>
      </c>
      <c r="AF91" s="12" t="n">
        <f aca="false">AF89+AF90</f>
        <v>842646.562151116</v>
      </c>
      <c r="AG91" s="12" t="n">
        <f aca="false">AG89+AG90</f>
        <v>833146.562151116</v>
      </c>
      <c r="AH91" s="12" t="n">
        <f aca="false">AH89+AH90</f>
        <v>732467.561204147</v>
      </c>
      <c r="AI91" s="12" t="n">
        <f aca="false">AI89+AI90</f>
        <v>732467.561204147</v>
      </c>
      <c r="AJ91" s="12" t="n">
        <f aca="false">AJ89+AJ90</f>
        <v>569708.288476874</v>
      </c>
      <c r="AK91" s="12" t="n">
        <f aca="false">AK89+AK90</f>
        <v>478919.077950558</v>
      </c>
      <c r="AL91" s="12" t="n">
        <f aca="false">AL89+AL90</f>
        <v>478919.077950558</v>
      </c>
      <c r="AM91" s="12" t="n">
        <f aca="false">AM89+AM90</f>
        <v>418900.581738437</v>
      </c>
      <c r="AN91" s="12" t="n">
        <f aca="false">AN89+AN90</f>
        <v>328111.371212121</v>
      </c>
      <c r="AO91" s="12" t="n">
        <f aca="false">AO89+AO90</f>
        <v>328111.371212121</v>
      </c>
      <c r="AP91" s="12" t="n">
        <f aca="false">AP89+AP90</f>
        <v>328111.371212121</v>
      </c>
      <c r="AQ91" s="12" t="n">
        <f aca="false">AQ89+AQ90</f>
        <v>328111.371212121</v>
      </c>
      <c r="AR91" s="12" t="n">
        <f aca="false">AR89+AR90</f>
        <v>409794.371212121</v>
      </c>
      <c r="AS91" s="12" t="n">
        <f aca="false">AS89+AS90</f>
        <v>156646.333333333</v>
      </c>
      <c r="AT91" s="12" t="n">
        <f aca="false">AT89+AT90</f>
        <v>156646.333333333</v>
      </c>
      <c r="AU91" s="12" t="n">
        <f aca="false">AU89+AU90</f>
        <v>238328.333333333</v>
      </c>
      <c r="AV91" s="12" t="n">
        <f aca="false">AV89+AV90</f>
        <v>156646.333333333</v>
      </c>
      <c r="AW91" s="12" t="n">
        <f aca="false">AW89+AW90</f>
        <v>156646.333333333</v>
      </c>
      <c r="AX91" s="12" t="n">
        <f aca="false">AX89+AX90</f>
        <v>238328.333333333</v>
      </c>
      <c r="AY91" s="12" t="n">
        <f aca="false">AY89+AY90</f>
        <v>156646.333333333</v>
      </c>
      <c r="AZ91" s="12" t="n">
        <f aca="false">AZ89+AZ90</f>
        <v>156646.333333333</v>
      </c>
      <c r="BA91" s="12" t="n">
        <f aca="false">BA89+BA90</f>
        <v>1090167.33333333</v>
      </c>
      <c r="BB91" s="12" t="n">
        <f aca="false">BB89+BB90</f>
        <v>156646.333333333</v>
      </c>
      <c r="BC91" s="12" t="n">
        <f aca="false">BC89+BC90</f>
        <v>156646.333333333</v>
      </c>
      <c r="BD91" s="12" t="n">
        <f aca="false">BD89+BD90</f>
        <v>287524.333333333</v>
      </c>
      <c r="BE91" s="12" t="n">
        <f aca="false">BE89+BE90</f>
        <v>156646.333333333</v>
      </c>
      <c r="BF91" s="12" t="n">
        <f aca="false">BF89+BF90</f>
        <v>156646.333333333</v>
      </c>
      <c r="BG91" s="12" t="n">
        <f aca="false">BG89+BG90</f>
        <v>130876</v>
      </c>
      <c r="BH91" s="12" t="n">
        <f aca="false">BH89+BH90</f>
        <v>0</v>
      </c>
      <c r="BI91" s="12" t="n">
        <f aca="false">BI89+BI90</f>
        <v>0</v>
      </c>
      <c r="BJ91" s="12" t="n">
        <f aca="false">BJ89+BJ90</f>
        <v>130876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-947839.8657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-947839.8657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-1093255.7407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-1069795.7407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346191.013068182</v>
      </c>
      <c r="M95" s="16" t="n">
        <f aca="false">M91+M94</f>
        <v>346191.013068182</v>
      </c>
      <c r="N95" s="16" t="n">
        <f aca="false">N91+N94</f>
        <v>346191.013068182</v>
      </c>
      <c r="O95" s="16" t="n">
        <f aca="false">O91+O94</f>
        <v>-285815.309753031</v>
      </c>
      <c r="P95" s="16" t="n">
        <f aca="false">P91+P94</f>
        <v>506353.16524697</v>
      </c>
      <c r="Q95" s="16" t="n">
        <f aca="false">Q91+Q94</f>
        <v>506353.16524697</v>
      </c>
      <c r="R95" s="16" t="n">
        <f aca="false">R91+R94</f>
        <v>93477.5094096491</v>
      </c>
      <c r="S95" s="16" t="n">
        <f aca="false">S91+S94</f>
        <v>256651.239409649</v>
      </c>
      <c r="T95" s="16" t="n">
        <f aca="false">T91+T94</f>
        <v>256651.239409649</v>
      </c>
      <c r="U95" s="16" t="n">
        <f aca="false">U91+U94</f>
        <v>81791.219935965</v>
      </c>
      <c r="V95" s="16" t="n">
        <f aca="false">V91+V94</f>
        <v>317137.292041228</v>
      </c>
      <c r="W95" s="16" t="n">
        <f aca="false">W91+W94</f>
        <v>353092.292041228</v>
      </c>
      <c r="X95" s="16" t="n">
        <f aca="false">X91+X94</f>
        <v>317137.292041228</v>
      </c>
      <c r="Y95" s="16" t="n">
        <f aca="false">Y91+Y94</f>
        <v>317137.292041228</v>
      </c>
      <c r="Z95" s="16" t="n">
        <f aca="false">Z91+Z94</f>
        <v>304601.351993381</v>
      </c>
      <c r="AA95" s="16" t="n">
        <f aca="false">AA91+AA94</f>
        <v>179517.966378424</v>
      </c>
      <c r="AB95" s="16" t="n">
        <f aca="false">AB91+AB94</f>
        <v>98024.1147037831</v>
      </c>
      <c r="AC95" s="16" t="n">
        <f aca="false">AC91+AC94</f>
        <v>-411660.611962884</v>
      </c>
      <c r="AD95" s="16" t="n">
        <f aca="false">AD91+AD94</f>
        <v>230741.248037116</v>
      </c>
      <c r="AE95" s="16" t="n">
        <f aca="false">AE91+AE94</f>
        <v>254670.448037116</v>
      </c>
      <c r="AF95" s="16" t="n">
        <f aca="false">AF91+AF94</f>
        <v>254670.448037116</v>
      </c>
      <c r="AG95" s="16" t="n">
        <f aca="false">AG91+AG94</f>
        <v>245170.448037116</v>
      </c>
      <c r="AH95" s="16" t="n">
        <f aca="false">AH91+AH94</f>
        <v>144491.447090147</v>
      </c>
      <c r="AI95" s="16" t="n">
        <f aca="false">AI91+AI94</f>
        <v>122643.047090147</v>
      </c>
      <c r="AJ95" s="16" t="n">
        <f aca="false">AJ91+AJ94</f>
        <v>-18267.825637126</v>
      </c>
      <c r="AK95" s="16" t="n">
        <f aca="false">AK91+AK94</f>
        <v>-109057.036163442</v>
      </c>
      <c r="AL95" s="16" t="n">
        <f aca="false">AL91+AL94</f>
        <v>-109057.036163442</v>
      </c>
      <c r="AM95" s="16" t="n">
        <f aca="false">AM91+AM94</f>
        <v>-180835.054657843</v>
      </c>
      <c r="AN95" s="16" t="n">
        <f aca="false">AN91+AN94</f>
        <v>-271624.265184159</v>
      </c>
      <c r="AO95" s="16" t="n">
        <f aca="false">AO91+AO94</f>
        <v>-271624.265184159</v>
      </c>
      <c r="AP95" s="16" t="n">
        <f aca="false">AP91+AP94</f>
        <v>-296032.049184159</v>
      </c>
      <c r="AQ95" s="16" t="n">
        <f aca="false">AQ91+AQ94</f>
        <v>-271624.265184159</v>
      </c>
      <c r="AR95" s="16" t="n">
        <f aca="false">AR91+AR94</f>
        <v>-271624.265184159</v>
      </c>
      <c r="AS95" s="16" t="n">
        <f aca="false">AS91+AS94</f>
        <v>-443089.303062947</v>
      </c>
      <c r="AT95" s="16" t="n">
        <f aca="false">AT91+AT94</f>
        <v>-443089.303062947</v>
      </c>
      <c r="AU95" s="16" t="n">
        <f aca="false">AU91+AU94</f>
        <v>-465374.671062947</v>
      </c>
      <c r="AV95" s="16" t="n">
        <f aca="false">AV91+AV94</f>
        <v>-443089.303062947</v>
      </c>
      <c r="AW95" s="16" t="n">
        <f aca="false">AW91+AW94</f>
        <v>-443089.303062947</v>
      </c>
      <c r="AX95" s="16" t="n">
        <f aca="false">AX91+AX94</f>
        <v>-443089.303062947</v>
      </c>
      <c r="AY95" s="16" t="n">
        <f aca="false">AY91+AY94</f>
        <v>-455084.015790872</v>
      </c>
      <c r="AZ95" s="16" t="n">
        <f aca="false">AZ91+AZ94</f>
        <v>-455084.015790872</v>
      </c>
      <c r="BA95" s="16" t="n">
        <f aca="false">BA91+BA94</f>
        <v>-455084.015790872</v>
      </c>
      <c r="BB95" s="16" t="n">
        <f aca="false">BB91+BB94</f>
        <v>-479979.955470872</v>
      </c>
      <c r="BC95" s="16" t="n">
        <f aca="false">BC91+BC94</f>
        <v>-455084.015790872</v>
      </c>
      <c r="BD95" s="16" t="n">
        <f aca="false">BD91+BD94</f>
        <v>-455084.015790872</v>
      </c>
      <c r="BE95" s="16" t="n">
        <f aca="false">BE91+BE94</f>
        <v>-455084.015790872</v>
      </c>
      <c r="BF95" s="16" t="n">
        <f aca="false">BF91+BF94</f>
        <v>-455084.015790872</v>
      </c>
      <c r="BG95" s="16" t="n">
        <f aca="false">BG91+BG94</f>
        <v>-634461.424484206</v>
      </c>
      <c r="BH95" s="16" t="n">
        <f aca="false">BH91+BH94</f>
        <v>-611730.349124206</v>
      </c>
      <c r="BI95" s="16" t="n">
        <f aca="false">BI91+BI94</f>
        <v>-611730.349124206</v>
      </c>
      <c r="BJ95" s="16" t="n">
        <f aca="false">BJ91+BJ94</f>
        <v>-611730.349124206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6600851.58110806</v>
      </c>
      <c r="T145" s="10" t="n">
        <f aca="false">S147</f>
        <v>6946274.4855177</v>
      </c>
      <c r="U145" s="10" t="n">
        <f aca="false">T147</f>
        <v>7291697.38992735</v>
      </c>
      <c r="V145" s="10" t="n">
        <f aca="false">U147</f>
        <v>7462260.27486332</v>
      </c>
      <c r="W145" s="10" t="n">
        <f aca="false">V147</f>
        <v>7868169.23190455</v>
      </c>
      <c r="X145" s="10" t="n">
        <f aca="false">W147</f>
        <v>8274078.18894577</v>
      </c>
      <c r="Y145" s="10" t="n">
        <f aca="false">X147</f>
        <v>8679987.145987</v>
      </c>
      <c r="Z145" s="10" t="n">
        <f aca="false">Y147</f>
        <v>9085896.10302823</v>
      </c>
      <c r="AA145" s="10" t="n">
        <f aca="false">Z147</f>
        <v>9434525.70002161</v>
      </c>
      <c r="AB145" s="10" t="n">
        <f aca="false">AA147</f>
        <v>9728938.65890004</v>
      </c>
      <c r="AC145" s="10" t="n">
        <f aca="false">AB147</f>
        <v>9941857.76610382</v>
      </c>
      <c r="AD145" s="10" t="n">
        <f aca="false">AC147</f>
        <v>9587717.14664094</v>
      </c>
      <c r="AE145" s="10" t="n">
        <f aca="false">AD147</f>
        <v>9957282.58717805</v>
      </c>
      <c r="AF145" s="10" t="n">
        <f aca="false">AE147</f>
        <v>10326848.0277152</v>
      </c>
      <c r="AG145" s="10" t="n">
        <f aca="false">AF147</f>
        <v>10696413.4682523</v>
      </c>
      <c r="AH145" s="10" t="n">
        <f aca="false">AG147</f>
        <v>11065978.9087894</v>
      </c>
      <c r="AI145" s="10" t="n">
        <f aca="false">AH147</f>
        <v>11334865.3483795</v>
      </c>
      <c r="AJ145" s="10" t="n">
        <f aca="false">AI147</f>
        <v>11603751.7879697</v>
      </c>
      <c r="AK145" s="10" t="n">
        <f aca="false">AJ147</f>
        <v>11709878.9548326</v>
      </c>
      <c r="AL145" s="10" t="n">
        <f aca="false">AK147</f>
        <v>11725216.9111691</v>
      </c>
      <c r="AM145" s="10" t="n">
        <f aca="false">AL147</f>
        <v>11740554.8675057</v>
      </c>
      <c r="AN145" s="10" t="n">
        <f aca="false">AM147</f>
        <v>11686602.7051978</v>
      </c>
      <c r="AO145" s="10" t="n">
        <f aca="false">AN147</f>
        <v>11541861.3323637</v>
      </c>
      <c r="AP145" s="10" t="n">
        <f aca="false">AO147</f>
        <v>11397119.9595295</v>
      </c>
      <c r="AQ145" s="10" t="n">
        <f aca="false">AP147</f>
        <v>11252378.5866954</v>
      </c>
      <c r="AR145" s="10" t="n">
        <f aca="false">AQ147</f>
        <v>11107637.2138612</v>
      </c>
      <c r="AS145" s="10" t="n">
        <f aca="false">AR147</f>
        <v>10962895.841027</v>
      </c>
      <c r="AT145" s="10" t="n">
        <f aca="false">AS147</f>
        <v>10646689.4303141</v>
      </c>
      <c r="AU145" s="10" t="n">
        <f aca="false">AT147</f>
        <v>10330483.0196012</v>
      </c>
      <c r="AV145" s="10" t="n">
        <f aca="false">AU147</f>
        <v>10014276.6088882</v>
      </c>
      <c r="AW145" s="10" t="n">
        <f aca="false">AV147</f>
        <v>9698070.19817526</v>
      </c>
      <c r="AX145" s="10" t="n">
        <f aca="false">AW147</f>
        <v>9381863.78746231</v>
      </c>
      <c r="AY145" s="10" t="n">
        <f aca="false">AX147</f>
        <v>9065657.37674937</v>
      </c>
      <c r="AZ145" s="10" t="n">
        <f aca="false">AY147</f>
        <v>8739993.91115549</v>
      </c>
      <c r="BA145" s="10" t="n">
        <f aca="false">AZ147</f>
        <v>8414330.44556162</v>
      </c>
      <c r="BB145" s="10" t="n">
        <f aca="false">BA147</f>
        <v>8088666.97996775</v>
      </c>
      <c r="BC145" s="10" t="n">
        <f aca="false">BB147</f>
        <v>7763003.51437387</v>
      </c>
      <c r="BD145" s="10" t="n">
        <f aca="false">BC147</f>
        <v>7437340.04878</v>
      </c>
      <c r="BE145" s="10" t="n">
        <f aca="false">BD147</f>
        <v>7111676.58318613</v>
      </c>
      <c r="BF145" s="10" t="n">
        <f aca="false">BE147</f>
        <v>6786013.11759226</v>
      </c>
      <c r="BG145" s="10" t="n">
        <f aca="false">BF147</f>
        <v>6460349.65199838</v>
      </c>
      <c r="BH145" s="10" t="n">
        <f aca="false">BG147</f>
        <v>5978039.85307118</v>
      </c>
      <c r="BI145" s="10" t="n">
        <f aca="false">BH147</f>
        <v>5495730.05414397</v>
      </c>
      <c r="BJ145" s="10" t="n">
        <f aca="false">BI147</f>
        <v>5013420.25521677</v>
      </c>
      <c r="BK145" s="10" t="n">
        <f aca="false">BJ147</f>
        <v>4531110.45628956</v>
      </c>
      <c r="BL145" s="10" t="n">
        <f aca="false">BK147</f>
        <v>4039154.46138381</v>
      </c>
      <c r="BM145" s="10" t="n">
        <f aca="false">BL147</f>
        <v>3547198.46647806</v>
      </c>
      <c r="BN145" s="10" t="n">
        <f aca="false">BM147</f>
        <v>3055242.47157231</v>
      </c>
      <c r="BO145" s="10" t="n">
        <f aca="false">BN147</f>
        <v>2563286.47666656</v>
      </c>
      <c r="BP145" s="10" t="n">
        <f aca="false">BO147</f>
        <v>2071330.48176081</v>
      </c>
      <c r="BQ145" s="10" t="n">
        <f aca="false">BP147</f>
        <v>1579374.48685506</v>
      </c>
      <c r="BR145" s="10" t="n">
        <f aca="false">BQ147</f>
        <v>1087418.49194931</v>
      </c>
      <c r="BS145" s="10" t="n">
        <f aca="false">BR147</f>
        <v>595462.497043563</v>
      </c>
      <c r="BT145" s="10" t="n">
        <f aca="false">BS147</f>
        <v>103506.502137813</v>
      </c>
      <c r="BU145" s="10" t="n">
        <f aca="false">BT147</f>
        <v>-388449.492767936</v>
      </c>
      <c r="BV145" s="10" t="n">
        <f aca="false">BU147</f>
        <v>-880405.487673686</v>
      </c>
      <c r="BW145" s="10" t="n">
        <f aca="false">BV147</f>
        <v>-1372361.48257944</v>
      </c>
      <c r="BX145" s="10" t="n">
        <f aca="false">BW147</f>
        <v>-1874156.5973833</v>
      </c>
      <c r="BY145" s="10" t="n">
        <f aca="false">BX147</f>
        <v>-2375951.71218717</v>
      </c>
      <c r="BZ145" s="10" t="n">
        <f aca="false">BY147</f>
        <v>-2877746.82699103</v>
      </c>
      <c r="CA145" s="10" t="n">
        <f aca="false">BZ147</f>
        <v>-3379541.94179489</v>
      </c>
      <c r="CB145" s="10" t="n">
        <f aca="false">CA147</f>
        <v>-3881337.05659876</v>
      </c>
      <c r="CC145" s="10" t="n">
        <f aca="false">CB147</f>
        <v>-4383132.17140262</v>
      </c>
      <c r="CD145" s="10" t="n">
        <f aca="false">CC147</f>
        <v>-4884927.28620649</v>
      </c>
      <c r="CE145" s="10" t="n">
        <f aca="false">CD147</f>
        <v>-5386722.40101035</v>
      </c>
      <c r="CF145" s="10" t="n">
        <f aca="false">CE147</f>
        <v>-5888517.51581422</v>
      </c>
      <c r="CG145" s="10" t="n">
        <f aca="false">CF147</f>
        <v>-6390312.63061808</v>
      </c>
      <c r="CH145" s="10" t="n">
        <f aca="false">CG147</f>
        <v>-6892107.74542195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205709.174409649</v>
      </c>
      <c r="S146" s="10" t="n">
        <f aca="false">S40</f>
        <v>345422.904409649</v>
      </c>
      <c r="T146" s="10" t="n">
        <f aca="false">T40</f>
        <v>345422.904409649</v>
      </c>
      <c r="U146" s="10" t="n">
        <f aca="false">U40</f>
        <v>170562.884935965</v>
      </c>
      <c r="V146" s="10" t="n">
        <f aca="false">V40</f>
        <v>405908.957041228</v>
      </c>
      <c r="W146" s="10" t="n">
        <f aca="false">W40</f>
        <v>405908.957041228</v>
      </c>
      <c r="X146" s="10" t="n">
        <f aca="false">X40</f>
        <v>405908.957041228</v>
      </c>
      <c r="Y146" s="10" t="n">
        <f aca="false">Y40</f>
        <v>405908.957041228</v>
      </c>
      <c r="Z146" s="10" t="n">
        <f aca="false">Z40</f>
        <v>348629.596993381</v>
      </c>
      <c r="AA146" s="10" t="n">
        <f aca="false">AA40</f>
        <v>294412.958878424</v>
      </c>
      <c r="AB146" s="10" t="n">
        <f aca="false">AB40</f>
        <v>212919.107203783</v>
      </c>
      <c r="AC146" s="10" t="n">
        <f aca="false">AC40</f>
        <v>-354140.619462884</v>
      </c>
      <c r="AD146" s="10" t="n">
        <f aca="false">AD40</f>
        <v>369565.440537116</v>
      </c>
      <c r="AE146" s="10" t="n">
        <f aca="false">AE40</f>
        <v>369565.440537116</v>
      </c>
      <c r="AF146" s="10" t="n">
        <f aca="false">AF40</f>
        <v>369565.440537116</v>
      </c>
      <c r="AG146" s="10" t="n">
        <f aca="false">AG40</f>
        <v>369565.440537116</v>
      </c>
      <c r="AH146" s="10" t="n">
        <f aca="false">AH40</f>
        <v>268886.439590147</v>
      </c>
      <c r="AI146" s="10" t="n">
        <f aca="false">AI40</f>
        <v>268886.439590147</v>
      </c>
      <c r="AJ146" s="10" t="n">
        <f aca="false">AJ40</f>
        <v>106127.166862874</v>
      </c>
      <c r="AK146" s="10" t="n">
        <f aca="false">AK40</f>
        <v>15337.9563365583</v>
      </c>
      <c r="AL146" s="10" t="n">
        <f aca="false">AL40</f>
        <v>15337.9563365583</v>
      </c>
      <c r="AM146" s="10" t="n">
        <f aca="false">AM40</f>
        <v>-53952.1623078432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2206395.70456077</v>
      </c>
      <c r="G147" s="61" t="n">
        <f aca="false">G145+G146</f>
        <v>2388379.67992759</v>
      </c>
      <c r="H147" s="61" t="n">
        <f aca="false">H145+H146</f>
        <v>2615490.46749538</v>
      </c>
      <c r="I147" s="61" t="n">
        <f aca="false">I145+I146</f>
        <v>3208090.58094992</v>
      </c>
      <c r="J147" s="61" t="n">
        <f aca="false">J145+J146</f>
        <v>3838994.59535144</v>
      </c>
      <c r="K147" s="61" t="n">
        <f aca="false">K145+K146</f>
        <v>4247659.73175295</v>
      </c>
      <c r="L147" s="61" t="n">
        <f aca="false">L145+L146</f>
        <v>4656324.86815447</v>
      </c>
      <c r="M147" s="61" t="n">
        <f aca="false">M145+M146</f>
        <v>5064990.00455598</v>
      </c>
      <c r="N147" s="61" t="n">
        <f aca="false">N145+N146</f>
        <v>5473655.1409575</v>
      </c>
      <c r="O147" s="61" t="n">
        <f aca="false">O145+O146</f>
        <v>5252705.24620447</v>
      </c>
      <c r="P147" s="61" t="n">
        <f aca="false">P145+P146</f>
        <v>5823923.82645144</v>
      </c>
      <c r="Q147" s="61" t="n">
        <f aca="false">Q145+Q146</f>
        <v>6395142.40669841</v>
      </c>
      <c r="R147" s="61" t="n">
        <f aca="false">R145+R146</f>
        <v>6600851.58110806</v>
      </c>
      <c r="S147" s="61" t="n">
        <f aca="false">S145+S146</f>
        <v>6946274.4855177</v>
      </c>
      <c r="T147" s="61" t="n">
        <f aca="false">T145+T146</f>
        <v>7291697.38992735</v>
      </c>
      <c r="U147" s="61" t="n">
        <f aca="false">U145+U146</f>
        <v>7462260.27486332</v>
      </c>
      <c r="V147" s="61" t="n">
        <f aca="false">V145+V146</f>
        <v>7868169.23190455</v>
      </c>
      <c r="W147" s="61" t="n">
        <f aca="false">W145+W146</f>
        <v>8274078.18894577</v>
      </c>
      <c r="X147" s="61" t="n">
        <f aca="false">X145+X146</f>
        <v>8679987.145987</v>
      </c>
      <c r="Y147" s="61" t="n">
        <f aca="false">Y145+Y146</f>
        <v>9085896.10302823</v>
      </c>
      <c r="Z147" s="61" t="n">
        <f aca="false">Z145+Z146</f>
        <v>9434525.70002161</v>
      </c>
      <c r="AA147" s="61" t="n">
        <f aca="false">AA145+AA146</f>
        <v>9728938.65890004</v>
      </c>
      <c r="AB147" s="61" t="n">
        <f aca="false">AB145+AB146</f>
        <v>9941857.76610382</v>
      </c>
      <c r="AC147" s="61" t="n">
        <f aca="false">AC145+AC146</f>
        <v>9587717.14664094</v>
      </c>
      <c r="AD147" s="61" t="n">
        <f aca="false">AD145+AD146</f>
        <v>9957282.58717805</v>
      </c>
      <c r="AE147" s="61" t="n">
        <f aca="false">AE145+AE146</f>
        <v>10326848.0277152</v>
      </c>
      <c r="AF147" s="61" t="n">
        <f aca="false">AF145+AF146</f>
        <v>10696413.4682523</v>
      </c>
      <c r="AG147" s="61" t="n">
        <f aca="false">AG145+AG146</f>
        <v>11065978.9087894</v>
      </c>
      <c r="AH147" s="61" t="n">
        <f aca="false">AH145+AH146</f>
        <v>11334865.3483795</v>
      </c>
      <c r="AI147" s="61" t="n">
        <f aca="false">AI145+AI146</f>
        <v>11603751.7879697</v>
      </c>
      <c r="AJ147" s="61" t="n">
        <f aca="false">AJ145+AJ146</f>
        <v>11709878.9548326</v>
      </c>
      <c r="AK147" s="61" t="n">
        <f aca="false">AK145+AK146</f>
        <v>11725216.9111691</v>
      </c>
      <c r="AL147" s="61" t="n">
        <f aca="false">AL145+AL146</f>
        <v>11740554.8675057</v>
      </c>
      <c r="AM147" s="61" t="n">
        <f aca="false">AM145+AM146</f>
        <v>11686602.7051978</v>
      </c>
      <c r="AN147" s="61" t="n">
        <f aca="false">AN145+AN146</f>
        <v>11541861.3323637</v>
      </c>
      <c r="AO147" s="61" t="n">
        <f aca="false">AO145+AO146</f>
        <v>11397119.9595295</v>
      </c>
      <c r="AP147" s="61" t="n">
        <f aca="false">AP145+AP146</f>
        <v>11252378.5866954</v>
      </c>
      <c r="AQ147" s="61" t="n">
        <f aca="false">AQ145+AQ146</f>
        <v>11107637.2138612</v>
      </c>
      <c r="AR147" s="61" t="n">
        <f aca="false">AR145+AR146</f>
        <v>10962895.841027</v>
      </c>
      <c r="AS147" s="61" t="n">
        <f aca="false">AS145+AS146</f>
        <v>10646689.4303141</v>
      </c>
      <c r="AT147" s="61" t="n">
        <f aca="false">AT145+AT146</f>
        <v>10330483.0196012</v>
      </c>
      <c r="AU147" s="61" t="n">
        <f aca="false">AU145+AU146</f>
        <v>10014276.6088882</v>
      </c>
      <c r="AV147" s="61" t="n">
        <f aca="false">AV145+AV146</f>
        <v>9698070.19817526</v>
      </c>
      <c r="AW147" s="61" t="n">
        <f aca="false">AW145+AW146</f>
        <v>9381863.78746231</v>
      </c>
      <c r="AX147" s="61" t="n">
        <f aca="false">AX145+AX146</f>
        <v>9065657.37674937</v>
      </c>
      <c r="AY147" s="61" t="n">
        <f aca="false">AY145+AY146</f>
        <v>8739993.91115549</v>
      </c>
      <c r="AZ147" s="61" t="n">
        <f aca="false">AZ145+AZ146</f>
        <v>8414330.44556162</v>
      </c>
      <c r="BA147" s="61" t="n">
        <f aca="false">BA145+BA146</f>
        <v>8088666.97996775</v>
      </c>
      <c r="BB147" s="61" t="n">
        <f aca="false">BB145+BB146</f>
        <v>7763003.51437387</v>
      </c>
      <c r="BC147" s="61" t="n">
        <f aca="false">BC145+BC146</f>
        <v>7437340.04878</v>
      </c>
      <c r="BD147" s="61" t="n">
        <f aca="false">BD145+BD146</f>
        <v>7111676.58318613</v>
      </c>
      <c r="BE147" s="61" t="n">
        <f aca="false">BE145+BE146</f>
        <v>6786013.11759226</v>
      </c>
      <c r="BF147" s="61" t="n">
        <f aca="false">BF145+BF146</f>
        <v>6460349.65199838</v>
      </c>
      <c r="BG147" s="61" t="n">
        <f aca="false">BG145+BG146</f>
        <v>5978039.85307118</v>
      </c>
      <c r="BH147" s="61" t="n">
        <f aca="false">BH145+BH146</f>
        <v>5495730.05414397</v>
      </c>
      <c r="BI147" s="61" t="n">
        <f aca="false">BI145+BI146</f>
        <v>5013420.25521677</v>
      </c>
      <c r="BJ147" s="61" t="n">
        <f aca="false">BJ145+BJ146</f>
        <v>4531110.45628956</v>
      </c>
      <c r="BK147" s="61" t="n">
        <f aca="false">BK145+BK146</f>
        <v>4039154.46138381</v>
      </c>
      <c r="BL147" s="61" t="n">
        <f aca="false">BL145+BL146</f>
        <v>3547198.46647806</v>
      </c>
      <c r="BM147" s="61" t="n">
        <f aca="false">BM145+BM146</f>
        <v>3055242.47157231</v>
      </c>
      <c r="BN147" s="61" t="n">
        <f aca="false">BN145+BN146</f>
        <v>2563286.47666656</v>
      </c>
      <c r="BO147" s="61" t="n">
        <f aca="false">BO145+BO146</f>
        <v>2071330.48176081</v>
      </c>
      <c r="BP147" s="61" t="n">
        <f aca="false">BP145+BP146</f>
        <v>1579374.48685506</v>
      </c>
      <c r="BQ147" s="61" t="n">
        <f aca="false">BQ145+BQ146</f>
        <v>1087418.49194931</v>
      </c>
      <c r="BR147" s="61" t="n">
        <f aca="false">BR145+BR146</f>
        <v>595462.497043563</v>
      </c>
      <c r="BS147" s="61" t="n">
        <f aca="false">BS145+BS146</f>
        <v>103506.502137813</v>
      </c>
      <c r="BT147" s="61" t="n">
        <f aca="false">BT145+BT146</f>
        <v>-388449.492767936</v>
      </c>
      <c r="BU147" s="61" t="n">
        <f aca="false">BU145+BU146</f>
        <v>-880405.487673686</v>
      </c>
      <c r="BV147" s="61" t="n">
        <f aca="false">BV145+BV146</f>
        <v>-1372361.48257944</v>
      </c>
      <c r="BW147" s="61" t="n">
        <f aca="false">BW145+BW146</f>
        <v>-1874156.5973833</v>
      </c>
      <c r="BX147" s="61" t="n">
        <f aca="false">BX145+BX146</f>
        <v>-2375951.71218717</v>
      </c>
      <c r="BY147" s="61" t="n">
        <f aca="false">BY145+BY146</f>
        <v>-2877746.82699103</v>
      </c>
      <c r="BZ147" s="61" t="n">
        <f aca="false">BZ145+BZ146</f>
        <v>-3379541.94179489</v>
      </c>
      <c r="CA147" s="61" t="n">
        <f aca="false">CA145+CA146</f>
        <v>-3881337.05659876</v>
      </c>
      <c r="CB147" s="61" t="n">
        <f aca="false">CB145+CB146</f>
        <v>-4383132.17140262</v>
      </c>
      <c r="CC147" s="61" t="n">
        <f aca="false">CC145+CC146</f>
        <v>-4884927.28620649</v>
      </c>
      <c r="CD147" s="61" t="n">
        <f aca="false">CD145+CD146</f>
        <v>-5386722.40101035</v>
      </c>
      <c r="CE147" s="61" t="n">
        <f aca="false">CE145+CE146</f>
        <v>-5888517.51581422</v>
      </c>
      <c r="CF147" s="61" t="n">
        <f aca="false">CF145+CF146</f>
        <v>-6390312.63061808</v>
      </c>
      <c r="CG147" s="61" t="n">
        <f aca="false">CG145+CG146</f>
        <v>-6892107.74542195</v>
      </c>
      <c r="CH147" s="61" t="n">
        <f aca="false">CH145+CH146</f>
        <v>-7393902.86022581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-628606.013333333</v>
      </c>
      <c r="N150" s="10" t="n">
        <f aca="false">M155</f>
        <v>-1071080.13666667</v>
      </c>
      <c r="O150" s="10" t="n">
        <f aca="false">N155</f>
        <v>-1263554.26</v>
      </c>
      <c r="P150" s="10" t="n">
        <f aca="false">O155</f>
        <v>-1458419.675</v>
      </c>
      <c r="Q150" s="10" t="n">
        <f aca="false">P155</f>
        <v>-1653285.09</v>
      </c>
      <c r="R150" s="10" t="n">
        <f aca="false">Q155</f>
        <v>-1848150.505</v>
      </c>
      <c r="S150" s="10" t="n">
        <f aca="false">R155</f>
        <v>-2090382.17</v>
      </c>
      <c r="T150" s="10" t="n">
        <f aca="false">S155</f>
        <v>-2309153.835</v>
      </c>
      <c r="U150" s="10" t="n">
        <f aca="false">T155</f>
        <v>-2527925.5</v>
      </c>
      <c r="V150" s="10" t="n">
        <f aca="false">U155</f>
        <v>-2746697.165</v>
      </c>
      <c r="W150" s="10" t="n">
        <f aca="false">V155</f>
        <v>-2965468.83</v>
      </c>
      <c r="X150" s="10" t="n">
        <f aca="false">W155</f>
        <v>-3084254.73828545</v>
      </c>
      <c r="Y150" s="10" t="n">
        <f aca="false">X155</f>
        <v>-3173026.40328545</v>
      </c>
      <c r="Z150" s="10" t="n">
        <f aca="false">Y155</f>
        <v>-3511798.06828545</v>
      </c>
      <c r="AA150" s="10" t="n">
        <f aca="false">Z155</f>
        <v>-3555826.31328545</v>
      </c>
      <c r="AB150" s="10" t="n">
        <f aca="false">AA155</f>
        <v>-3670721.30578545</v>
      </c>
      <c r="AC150" s="10" t="n">
        <f aca="false">AB155</f>
        <v>-3785616.29828545</v>
      </c>
      <c r="AD150" s="10" t="n">
        <f aca="false">AC155</f>
        <v>-3843136.29078545</v>
      </c>
      <c r="AE150" s="10" t="n">
        <f aca="false">AD155</f>
        <v>-3981960.48328545</v>
      </c>
      <c r="AF150" s="10" t="n">
        <f aca="false">AE155</f>
        <v>-4096855.47578545</v>
      </c>
      <c r="AG150" s="10" t="n">
        <f aca="false">AF155</f>
        <v>-4211750.46828545</v>
      </c>
      <c r="AH150" s="10" t="n">
        <f aca="false">AG155</f>
        <v>-4336145.46078545</v>
      </c>
      <c r="AI150" s="10" t="n">
        <f aca="false">AH155</f>
        <v>-4460540.45328545</v>
      </c>
      <c r="AJ150" s="10" t="n">
        <f aca="false">AI155</f>
        <v>-4606783.84578545</v>
      </c>
      <c r="AK150" s="10" t="n">
        <f aca="false">AJ155</f>
        <v>-4731178.83828545</v>
      </c>
      <c r="AL150" s="10" t="n">
        <f aca="false">AK155</f>
        <v>-5105573.83078545</v>
      </c>
      <c r="AM150" s="10" t="n">
        <f aca="false">AL155</f>
        <v>-5229968.82328545</v>
      </c>
      <c r="AN150" s="10" t="n">
        <f aca="false">AM155</f>
        <v>-5356851.71563545</v>
      </c>
      <c r="AO150" s="10" t="n">
        <f aca="false">AN155</f>
        <v>-5483734.60798545</v>
      </c>
      <c r="AP150" s="10" t="n">
        <f aca="false">AO155</f>
        <v>-5610617.50033545</v>
      </c>
      <c r="AQ150" s="10" t="n">
        <f aca="false">AP155</f>
        <v>-5761908.17668545</v>
      </c>
      <c r="AR150" s="10" t="n">
        <f aca="false">AQ155</f>
        <v>-5888791.06903545</v>
      </c>
      <c r="AS150" s="10" t="n">
        <f aca="false">AR155</f>
        <v>-6015673.96138545</v>
      </c>
      <c r="AT150" s="10" t="n">
        <f aca="false">AS155</f>
        <v>-6142556.85373545</v>
      </c>
      <c r="AU150" s="10" t="n">
        <f aca="false">AT155</f>
        <v>-6269439.74608545</v>
      </c>
      <c r="AV150" s="10" t="n">
        <f aca="false">AU155</f>
        <v>-6418608.00643545</v>
      </c>
      <c r="AW150" s="10" t="n">
        <f aca="false">AV155</f>
        <v>-6545490.89878545</v>
      </c>
      <c r="AX150" s="10" t="n">
        <f aca="false">AW155</f>
        <v>-6672373.79113545</v>
      </c>
      <c r="AY150" s="10" t="n">
        <f aca="false">AX155</f>
        <v>-6799256.68348545</v>
      </c>
      <c r="AZ150" s="10" t="n">
        <f aca="false">AY155</f>
        <v>-6928677.23368245</v>
      </c>
      <c r="BA150" s="10" t="n">
        <f aca="false">AZ155</f>
        <v>-7058097.78387945</v>
      </c>
      <c r="BB150" s="10" t="n">
        <f aca="false">BA155</f>
        <v>-7187518.33407645</v>
      </c>
      <c r="BC150" s="10" t="n">
        <f aca="false">BB155</f>
        <v>-7341834.82395345</v>
      </c>
      <c r="BD150" s="10" t="n">
        <f aca="false">BC155</f>
        <v>-7471255.37415045</v>
      </c>
      <c r="BE150" s="10" t="n">
        <f aca="false">BD155</f>
        <v>-7600675.92434745</v>
      </c>
      <c r="BF150" s="10" t="n">
        <f aca="false">BE155</f>
        <v>-7730096.47454445</v>
      </c>
      <c r="BG150" s="10" t="n">
        <f aca="false">BF155</f>
        <v>-7859517.02474145</v>
      </c>
      <c r="BH150" s="10" t="n">
        <f aca="false">BG155</f>
        <v>-8011668.65029845</v>
      </c>
      <c r="BI150" s="10" t="n">
        <f aca="false">BH155</f>
        <v>-8141089.20049545</v>
      </c>
      <c r="BJ150" s="10" t="n">
        <f aca="false">BI155</f>
        <v>-8270509.75069245</v>
      </c>
      <c r="BK150" s="10" t="n">
        <f aca="false">BJ155</f>
        <v>-8399930.30088945</v>
      </c>
      <c r="BL150" s="10" t="n">
        <f aca="false">BK155</f>
        <v>-8531939.26209039</v>
      </c>
      <c r="BM150" s="10" t="n">
        <f aca="false">BL155</f>
        <v>-8663948.22329132</v>
      </c>
      <c r="BN150" s="10" t="n">
        <f aca="false">BM155</f>
        <v>-8795957.18449226</v>
      </c>
      <c r="BO150" s="10" t="n">
        <f aca="false">BN155</f>
        <v>-8953360.0041668</v>
      </c>
      <c r="BP150" s="10" t="n">
        <f aca="false">BO155</f>
        <v>-9085368.96536774</v>
      </c>
      <c r="BQ150" s="10" t="n">
        <f aca="false">BP155</f>
        <v>-9165864.40656868</v>
      </c>
      <c r="BR150" s="10" t="n">
        <f aca="false">BQ155</f>
        <v>-9297873.36776962</v>
      </c>
      <c r="BS150" s="10" t="n">
        <f aca="false">BR155</f>
        <v>-9429882.32897056</v>
      </c>
      <c r="BT150" s="10" t="n">
        <f aca="false">BS155</f>
        <v>-9517314.9870387</v>
      </c>
      <c r="BU150" s="10" t="n">
        <f aca="false">BT155</f>
        <v>-9649323.94823964</v>
      </c>
      <c r="BV150" s="10" t="n">
        <f aca="false">BU155</f>
        <v>-9781332.90944058</v>
      </c>
      <c r="BW150" s="10" t="n">
        <f aca="false">BV155</f>
        <v>-9845579.87064152</v>
      </c>
      <c r="BX150" s="10" t="n">
        <f aca="false">BW155</f>
        <v>-9980229.01106648</v>
      </c>
      <c r="BY150" s="10" t="n">
        <f aca="false">BX155</f>
        <v>-10114878.1514914</v>
      </c>
      <c r="BZ150" s="10" t="n">
        <f aca="false">BY155</f>
        <v>-10181765.2919164</v>
      </c>
      <c r="CA150" s="10" t="n">
        <f aca="false">BZ155</f>
        <v>-10342316.1679844</v>
      </c>
      <c r="CB150" s="10" t="n">
        <f aca="false">CA155</f>
        <v>-10476965.3084094</v>
      </c>
      <c r="CC150" s="10" t="n">
        <f aca="false">CB155</f>
        <v>-10535115.4488343</v>
      </c>
      <c r="CD150" s="10" t="n">
        <f aca="false">CC155</f>
        <v>-10669764.5892593</v>
      </c>
      <c r="CE150" s="10" t="n">
        <f aca="false">CD155</f>
        <v>-10804413.7296843</v>
      </c>
      <c r="CF150" s="10" t="n">
        <f aca="false">CE155</f>
        <v>-10886213.2809138</v>
      </c>
      <c r="CG150" s="10" t="n">
        <f aca="false">CF155</f>
        <v>-11020862.4213387</v>
      </c>
      <c r="CH150" s="10" t="n">
        <f aca="false">CG155</f>
        <v>-11155511.5617637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-62474.1233333333</v>
      </c>
      <c r="M151" s="10" t="n">
        <f aca="false">M86</f>
        <v>-62474.1233333333</v>
      </c>
      <c r="N151" s="10" t="n">
        <f aca="false">N86</f>
        <v>-62474.1233333333</v>
      </c>
      <c r="O151" s="10" t="n">
        <f aca="false">O86</f>
        <v>-64865.415</v>
      </c>
      <c r="P151" s="10" t="n">
        <f aca="false">P86</f>
        <v>-64865.415</v>
      </c>
      <c r="Q151" s="10" t="n">
        <f aca="false">Q86</f>
        <v>-64865.415</v>
      </c>
      <c r="R151" s="10" t="n">
        <f aca="false">R86</f>
        <v>-112231.665</v>
      </c>
      <c r="S151" s="10" t="n">
        <f aca="false">S86</f>
        <v>-88771.665</v>
      </c>
      <c r="T151" s="10" t="n">
        <f aca="false">T86</f>
        <v>-88771.665</v>
      </c>
      <c r="U151" s="10" t="n">
        <f aca="false">U86</f>
        <v>-88771.665</v>
      </c>
      <c r="V151" s="10" t="n">
        <f aca="false">V86</f>
        <v>-88771.665</v>
      </c>
      <c r="W151" s="10" t="n">
        <f aca="false">W86</f>
        <v>-52816.665</v>
      </c>
      <c r="X151" s="10" t="n">
        <f aca="false">X86</f>
        <v>-88771.665</v>
      </c>
      <c r="Y151" s="10" t="n">
        <f aca="false">Y86</f>
        <v>-88771.665</v>
      </c>
      <c r="Z151" s="10" t="n">
        <f aca="false">Z86</f>
        <v>-44028.245</v>
      </c>
      <c r="AA151" s="10" t="n">
        <f aca="false">AA86</f>
        <v>-114894.9925</v>
      </c>
      <c r="AB151" s="10" t="n">
        <f aca="false">AB86</f>
        <v>-114894.9925</v>
      </c>
      <c r="AC151" s="10" t="n">
        <f aca="false">AC86</f>
        <v>-57519.9925</v>
      </c>
      <c r="AD151" s="10" t="n">
        <f aca="false">AD86</f>
        <v>-138824.1925</v>
      </c>
      <c r="AE151" s="10" t="n">
        <f aca="false">AE86</f>
        <v>-114894.9925</v>
      </c>
      <c r="AF151" s="10" t="n">
        <f aca="false">AF86</f>
        <v>-114894.9925</v>
      </c>
      <c r="AG151" s="10" t="n">
        <f aca="false">AG86</f>
        <v>-124394.9925</v>
      </c>
      <c r="AH151" s="10" t="n">
        <f aca="false">AH86</f>
        <v>-124394.9925</v>
      </c>
      <c r="AI151" s="10" t="n">
        <f aca="false">AI86</f>
        <v>-146243.3925</v>
      </c>
      <c r="AJ151" s="10" t="n">
        <f aca="false">AJ86</f>
        <v>-124394.9925</v>
      </c>
      <c r="AK151" s="10" t="n">
        <f aca="false">AK86</f>
        <v>-124394.9925</v>
      </c>
      <c r="AL151" s="10" t="n">
        <f aca="false">AL86</f>
        <v>-124394.9925</v>
      </c>
      <c r="AM151" s="10" t="n">
        <f aca="false">AM86</f>
        <v>-126882.89235</v>
      </c>
      <c r="AN151" s="10" t="n">
        <f aca="false">AN86</f>
        <v>-126882.89235</v>
      </c>
      <c r="AO151" s="10" t="n">
        <f aca="false">AO86</f>
        <v>-126882.89235</v>
      </c>
      <c r="AP151" s="10" t="n">
        <f aca="false">AP86</f>
        <v>-151290.67635</v>
      </c>
      <c r="AQ151" s="10" t="n">
        <f aca="false">AQ86</f>
        <v>-126882.89235</v>
      </c>
      <c r="AR151" s="10" t="n">
        <f aca="false">AR86</f>
        <v>-126882.89235</v>
      </c>
      <c r="AS151" s="10" t="n">
        <f aca="false">AS86</f>
        <v>-126882.89235</v>
      </c>
      <c r="AT151" s="10" t="n">
        <f aca="false">AT86</f>
        <v>-126882.89235</v>
      </c>
      <c r="AU151" s="10" t="n">
        <f aca="false">AU86</f>
        <v>-149168.26035</v>
      </c>
      <c r="AV151" s="10" t="n">
        <f aca="false">AV86</f>
        <v>-126882.89235</v>
      </c>
      <c r="AW151" s="10" t="n">
        <f aca="false">AW86</f>
        <v>-126882.89235</v>
      </c>
      <c r="AX151" s="10" t="n">
        <f aca="false">AX86</f>
        <v>-126882.89235</v>
      </c>
      <c r="AY151" s="10" t="n">
        <f aca="false">AY86</f>
        <v>-129420.550197</v>
      </c>
      <c r="AZ151" s="10" t="n">
        <f aca="false">AZ86</f>
        <v>-129420.550197</v>
      </c>
      <c r="BA151" s="10" t="n">
        <f aca="false">BA86</f>
        <v>-129420.550197</v>
      </c>
      <c r="BB151" s="10" t="n">
        <f aca="false">BB86</f>
        <v>-154316.489877</v>
      </c>
      <c r="BC151" s="10" t="n">
        <f aca="false">BC86</f>
        <v>-129420.550197</v>
      </c>
      <c r="BD151" s="10" t="n">
        <f aca="false">BD86</f>
        <v>-129420.550197</v>
      </c>
      <c r="BE151" s="10" t="n">
        <f aca="false">BE86</f>
        <v>-129420.550197</v>
      </c>
      <c r="BF151" s="10" t="n">
        <f aca="false">BF86</f>
        <v>-129420.550197</v>
      </c>
      <c r="BG151" s="10" t="n">
        <f aca="false">BG86</f>
        <v>-152151.625557</v>
      </c>
      <c r="BH151" s="10" t="n">
        <f aca="false">BH86</f>
        <v>-129420.550197</v>
      </c>
      <c r="BI151" s="10" t="n">
        <f aca="false">BI86</f>
        <v>-129420.550197</v>
      </c>
      <c r="BJ151" s="10" t="n">
        <f aca="false">BJ86</f>
        <v>-129420.550197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159721.633333333</v>
      </c>
      <c r="H155" s="61" t="n">
        <f aca="false">H150+H151+H152+H153+H154</f>
        <v>152915.48</v>
      </c>
      <c r="I155" s="61" t="n">
        <f aca="false">I150+I151+I152+I153+I154</f>
        <v>-30183.6433333333</v>
      </c>
      <c r="J155" s="61" t="n">
        <f aca="false">J150+J151+J152+J153+J154</f>
        <v>-222657.766666667</v>
      </c>
      <c r="K155" s="61" t="n">
        <f aca="false">K150+K151+K152+K153+K154</f>
        <v>-436131.89</v>
      </c>
      <c r="L155" s="61" t="n">
        <f aca="false">L150+L151+L152+L153+L154</f>
        <v>-628606.013333333</v>
      </c>
      <c r="M155" s="61" t="n">
        <f aca="false">M150+M151+M152+M153+M154</f>
        <v>-1071080.13666667</v>
      </c>
      <c r="N155" s="61" t="n">
        <f aca="false">N150+N151+N152+N153+N154</f>
        <v>-1263554.26</v>
      </c>
      <c r="O155" s="61" t="n">
        <f aca="false">O150+O151+O152+O153+O154</f>
        <v>-1458419.675</v>
      </c>
      <c r="P155" s="61" t="n">
        <f aca="false">P150+P151+P152+P153+P154</f>
        <v>-1653285.09</v>
      </c>
      <c r="Q155" s="61" t="n">
        <f aca="false">Q150+Q151+Q152+Q153+Q154</f>
        <v>-1848150.505</v>
      </c>
      <c r="R155" s="61" t="n">
        <f aca="false">R150+R151+R152+R153+R154</f>
        <v>-2090382.17</v>
      </c>
      <c r="S155" s="61" t="n">
        <f aca="false">S150+S151+S152+S153+S154</f>
        <v>-2309153.835</v>
      </c>
      <c r="T155" s="61" t="n">
        <f aca="false">T150+T151+T152+T153+T154</f>
        <v>-2527925.5</v>
      </c>
      <c r="U155" s="61" t="n">
        <f aca="false">U150+U151+U152+U153+U154</f>
        <v>-2746697.165</v>
      </c>
      <c r="V155" s="61" t="n">
        <f aca="false">V150+V151+V152+V153+V154</f>
        <v>-2965468.83</v>
      </c>
      <c r="W155" s="61" t="n">
        <f aca="false">W150+W151+W152+W153+W154</f>
        <v>-3084254.73828545</v>
      </c>
      <c r="X155" s="61" t="n">
        <f aca="false">X150+X151+X152+X153+X154</f>
        <v>-3173026.40328545</v>
      </c>
      <c r="Y155" s="61" t="n">
        <f aca="false">Y150+Y151+Y152+Y153+Y154</f>
        <v>-3511798.06828545</v>
      </c>
      <c r="Z155" s="61" t="n">
        <f aca="false">Z150+Z151+Z152+Z153+Z154</f>
        <v>-3555826.31328545</v>
      </c>
      <c r="AA155" s="61" t="n">
        <f aca="false">AA150+AA151+AA152+AA153+AA154</f>
        <v>-3670721.30578545</v>
      </c>
      <c r="AB155" s="61" t="n">
        <f aca="false">AB150+AB151+AB152+AB153+AB154</f>
        <v>-3785616.29828545</v>
      </c>
      <c r="AC155" s="61" t="n">
        <f aca="false">AC150+AC151+AC152+AC153+AC154</f>
        <v>-3843136.29078545</v>
      </c>
      <c r="AD155" s="61" t="n">
        <f aca="false">AD150+AD151+AD152+AD153+AD154</f>
        <v>-3981960.48328545</v>
      </c>
      <c r="AE155" s="61" t="n">
        <f aca="false">AE150+AE151+AE152+AE153+AE154</f>
        <v>-4096855.47578545</v>
      </c>
      <c r="AF155" s="61" t="n">
        <f aca="false">AF150+AF151+AF152+AF153+AF154</f>
        <v>-4211750.46828545</v>
      </c>
      <c r="AG155" s="61" t="n">
        <f aca="false">AG150+AG151+AG152+AG153+AG154</f>
        <v>-4336145.46078545</v>
      </c>
      <c r="AH155" s="61" t="n">
        <f aca="false">AH150+AH151+AH152+AH153+AH154</f>
        <v>-4460540.45328545</v>
      </c>
      <c r="AI155" s="61" t="n">
        <f aca="false">AI150+AI151+AI152+AI153+AI154</f>
        <v>-4606783.84578545</v>
      </c>
      <c r="AJ155" s="61" t="n">
        <f aca="false">AJ150+AJ151+AJ152+AJ153+AJ154</f>
        <v>-4731178.83828545</v>
      </c>
      <c r="AK155" s="61" t="n">
        <f aca="false">AK150+AK151+AK152+AK153+AK154</f>
        <v>-5105573.83078545</v>
      </c>
      <c r="AL155" s="61" t="n">
        <f aca="false">AL150+AL151+AL152+AL153+AL154</f>
        <v>-5229968.82328545</v>
      </c>
      <c r="AM155" s="61" t="n">
        <f aca="false">AM150+AM151+AM152+AM153+AM154</f>
        <v>-5356851.71563545</v>
      </c>
      <c r="AN155" s="61" t="n">
        <f aca="false">AN150+AN151+AN152+AN153+AN154</f>
        <v>-5483734.60798545</v>
      </c>
      <c r="AO155" s="61" t="n">
        <f aca="false">AO150+AO151+AO152+AO153+AO154</f>
        <v>-5610617.50033545</v>
      </c>
      <c r="AP155" s="61" t="n">
        <f aca="false">AP150+AP151+AP152+AP153+AP154</f>
        <v>-5761908.17668545</v>
      </c>
      <c r="AQ155" s="61" t="n">
        <f aca="false">AQ150+AQ151+AQ152+AQ153+AQ154</f>
        <v>-5888791.06903545</v>
      </c>
      <c r="AR155" s="61" t="n">
        <f aca="false">AR150+AR151+AR152+AR153+AR154</f>
        <v>-6015673.96138545</v>
      </c>
      <c r="AS155" s="61" t="n">
        <f aca="false">AS150+AS151+AS152+AS153+AS154</f>
        <v>-6142556.85373545</v>
      </c>
      <c r="AT155" s="61" t="n">
        <f aca="false">AT150+AT151+AT152+AT153+AT154</f>
        <v>-6269439.74608545</v>
      </c>
      <c r="AU155" s="61" t="n">
        <f aca="false">AU150+AU151+AU152+AU153+AU154</f>
        <v>-6418608.00643545</v>
      </c>
      <c r="AV155" s="61" t="n">
        <f aca="false">AV150+AV151+AV152+AV153+AV154</f>
        <v>-6545490.89878545</v>
      </c>
      <c r="AW155" s="61" t="n">
        <f aca="false">AW150+AW151+AW152+AW153+AW154</f>
        <v>-6672373.79113545</v>
      </c>
      <c r="AX155" s="61" t="n">
        <f aca="false">AX150+AX151+AX152+AX153+AX154</f>
        <v>-6799256.68348545</v>
      </c>
      <c r="AY155" s="61" t="n">
        <f aca="false">AY150+AY151+AY152+AY153+AY154</f>
        <v>-6928677.23368245</v>
      </c>
      <c r="AZ155" s="61" t="n">
        <f aca="false">AZ150+AZ151+AZ152+AZ153+AZ154</f>
        <v>-7058097.78387945</v>
      </c>
      <c r="BA155" s="61" t="n">
        <f aca="false">BA150+BA151+BA152+BA153+BA154</f>
        <v>-7187518.33407645</v>
      </c>
      <c r="BB155" s="61" t="n">
        <f aca="false">BB150+BB151+BB152+BB153+BB154</f>
        <v>-7341834.82395345</v>
      </c>
      <c r="BC155" s="61" t="n">
        <f aca="false">BC150+BC151+BC152+BC153+BC154</f>
        <v>-7471255.37415045</v>
      </c>
      <c r="BD155" s="61" t="n">
        <f aca="false">BD150+BD151+BD152+BD153+BD154</f>
        <v>-7600675.92434745</v>
      </c>
      <c r="BE155" s="61" t="n">
        <f aca="false">BE150+BE151+BE152+BE153+BE154</f>
        <v>-7730096.47454445</v>
      </c>
      <c r="BF155" s="61" t="n">
        <f aca="false">BF150+BF151+BF152+BF153+BF154</f>
        <v>-7859517.02474145</v>
      </c>
      <c r="BG155" s="61" t="n">
        <f aca="false">BG150+BG151+BG152+BG153+BG154</f>
        <v>-8011668.65029845</v>
      </c>
      <c r="BH155" s="61" t="n">
        <f aca="false">BH150+BH151+BH152+BH153+BH154</f>
        <v>-8141089.20049545</v>
      </c>
      <c r="BI155" s="61" t="n">
        <f aca="false">BI150+BI151+BI152+BI153+BI154</f>
        <v>-8270509.75069245</v>
      </c>
      <c r="BJ155" s="61" t="n">
        <f aca="false">BJ150+BJ151+BJ152+BJ153+BJ154</f>
        <v>-8399930.30088945</v>
      </c>
      <c r="BK155" s="61" t="n">
        <f aca="false">BK150+BK151+BK152+BK153+BK154</f>
        <v>-8531939.26209039</v>
      </c>
      <c r="BL155" s="61" t="n">
        <f aca="false">BL150+BL151+BL152+BL153+BL154</f>
        <v>-8663948.22329132</v>
      </c>
      <c r="BM155" s="61" t="n">
        <f aca="false">BM150+BM151+BM152+BM153+BM154</f>
        <v>-8795957.18449226</v>
      </c>
      <c r="BN155" s="61" t="n">
        <f aca="false">BN150+BN151+BN152+BN153+BN154</f>
        <v>-8953360.0041668</v>
      </c>
      <c r="BO155" s="61" t="n">
        <f aca="false">BO150+BO151+BO152+BO153+BO154</f>
        <v>-9085368.96536774</v>
      </c>
      <c r="BP155" s="61" t="n">
        <f aca="false">BP150+BP151+BP152+BP153+BP154</f>
        <v>-9165864.40656868</v>
      </c>
      <c r="BQ155" s="61" t="n">
        <f aca="false">BQ150+BQ151+BQ152+BQ153+BQ154</f>
        <v>-9297873.36776962</v>
      </c>
      <c r="BR155" s="61" t="n">
        <f aca="false">BR150+BR151+BR152+BR153+BR154</f>
        <v>-9429882.32897056</v>
      </c>
      <c r="BS155" s="61" t="n">
        <f aca="false">BS150+BS151+BS152+BS153+BS154</f>
        <v>-9517314.9870387</v>
      </c>
      <c r="BT155" s="61" t="n">
        <f aca="false">BT150+BT151+BT152+BT153+BT154</f>
        <v>-9649323.94823964</v>
      </c>
      <c r="BU155" s="61" t="n">
        <f aca="false">BU150+BU151+BU152+BU153+BU154</f>
        <v>-9781332.90944058</v>
      </c>
      <c r="BV155" s="61" t="n">
        <f aca="false">BV150+BV151+BV152+BV153+BV154</f>
        <v>-9845579.87064152</v>
      </c>
      <c r="BW155" s="61" t="n">
        <f aca="false">BW150+BW151+BW152+BW153+BW154</f>
        <v>-9980229.01106648</v>
      </c>
      <c r="BX155" s="61" t="n">
        <f aca="false">BX150+BX151+BX152+BX153+BX154</f>
        <v>-10114878.1514914</v>
      </c>
      <c r="BY155" s="61" t="n">
        <f aca="false">BY150+BY151+BY152+BY153+BY154</f>
        <v>-10181765.2919164</v>
      </c>
      <c r="BZ155" s="61" t="n">
        <f aca="false">BZ150+BZ151+BZ152+BZ153+BZ154</f>
        <v>-10342316.1679844</v>
      </c>
      <c r="CA155" s="61" t="n">
        <f aca="false">CA150+CA151+CA152+CA153+CA154</f>
        <v>-10476965.3084094</v>
      </c>
      <c r="CB155" s="61" t="n">
        <f aca="false">CB150+CB151+CB152+CB153+CB154</f>
        <v>-10535115.4488343</v>
      </c>
      <c r="CC155" s="61" t="n">
        <f aca="false">CC150+CC151+CC152+CC153+CC154</f>
        <v>-10669764.5892593</v>
      </c>
      <c r="CD155" s="61" t="n">
        <f aca="false">CD150+CD151+CD152+CD153+CD154</f>
        <v>-10804413.7296843</v>
      </c>
      <c r="CE155" s="61" t="n">
        <f aca="false">CE150+CE151+CE152+CE153+CE154</f>
        <v>-10886213.2809138</v>
      </c>
      <c r="CF155" s="61" t="n">
        <f aca="false">CF150+CF151+CF152+CF153+CF154</f>
        <v>-11020862.4213387</v>
      </c>
      <c r="CG155" s="61" t="n">
        <f aca="false">CG150+CG151+CG152+CG153+CG154</f>
        <v>-11155511.5617637</v>
      </c>
      <c r="CH155" s="61" t="n">
        <f aca="false">CH150+CH151+CH152+CH153+CH154</f>
        <v>-11207053.6755822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4027718.85482113</v>
      </c>
      <c r="N158" s="10" t="n">
        <f aca="false">N145+N150</f>
        <v>3993909.86788932</v>
      </c>
      <c r="O158" s="10" t="n">
        <f aca="false">O145+O150</f>
        <v>4210100.8809575</v>
      </c>
      <c r="P158" s="10" t="n">
        <f aca="false">P145+P150</f>
        <v>3794285.57120447</v>
      </c>
      <c r="Q158" s="10" t="n">
        <f aca="false">Q145+Q150</f>
        <v>4170638.73645144</v>
      </c>
      <c r="R158" s="10" t="n">
        <f aca="false">R145+R150</f>
        <v>4546991.90169841</v>
      </c>
      <c r="S158" s="10" t="n">
        <f aca="false">S145+S150</f>
        <v>4510469.41110806</v>
      </c>
      <c r="T158" s="10" t="n">
        <f aca="false">T145+T150</f>
        <v>4637120.6505177</v>
      </c>
      <c r="U158" s="10" t="n">
        <f aca="false">U145+U150</f>
        <v>4763771.88992735</v>
      </c>
      <c r="V158" s="10" t="n">
        <f aca="false">V145+V150</f>
        <v>4715563.10986332</v>
      </c>
      <c r="W158" s="10" t="n">
        <f aca="false">W145+W150</f>
        <v>4902700.40190455</v>
      </c>
      <c r="X158" s="10" t="n">
        <f aca="false">X145+X150</f>
        <v>5189823.45066033</v>
      </c>
      <c r="Y158" s="10" t="n">
        <f aca="false">Y145+Y150</f>
        <v>5506960.74270156</v>
      </c>
      <c r="Z158" s="10" t="n">
        <f aca="false">Z145+Z150</f>
        <v>5574098.03474279</v>
      </c>
      <c r="AA158" s="10" t="n">
        <f aca="false">AA145+AA150</f>
        <v>5878699.38673617</v>
      </c>
      <c r="AB158" s="10" t="n">
        <f aca="false">AB145+AB150</f>
        <v>6058217.35311459</v>
      </c>
      <c r="AC158" s="10" t="n">
        <f aca="false">AC145+AC150</f>
        <v>6156241.46781837</v>
      </c>
      <c r="AD158" s="10" t="n">
        <f aca="false">AD145+AD150</f>
        <v>5744580.85585549</v>
      </c>
      <c r="AE158" s="10" t="n">
        <f aca="false">AE145+AE150</f>
        <v>5975322.10389261</v>
      </c>
      <c r="AF158" s="10" t="n">
        <f aca="false">AF145+AF150</f>
        <v>6229992.55192972</v>
      </c>
      <c r="AG158" s="10" t="n">
        <f aca="false">AG145+AG150</f>
        <v>6484662.99996684</v>
      </c>
      <c r="AH158" s="10" t="n">
        <f aca="false">AH145+AH150</f>
        <v>6729833.44800395</v>
      </c>
      <c r="AI158" s="10" t="n">
        <f aca="false">AI145+AI150</f>
        <v>6874324.8950941</v>
      </c>
      <c r="AJ158" s="10" t="n">
        <f aca="false">AJ145+AJ150</f>
        <v>6996967.94218425</v>
      </c>
      <c r="AK158" s="10" t="n">
        <f aca="false">AK145+AK150</f>
        <v>6978700.11654712</v>
      </c>
      <c r="AL158" s="10" t="n">
        <f aca="false">AL145+AL150</f>
        <v>6619643.08038368</v>
      </c>
      <c r="AM158" s="10" t="n">
        <f aca="false">AM145+AM150</f>
        <v>6510586.04422024</v>
      </c>
      <c r="AN158" s="10" t="n">
        <f aca="false">AN145+AN150</f>
        <v>6329750.98956239</v>
      </c>
      <c r="AO158" s="10" t="n">
        <f aca="false">AO145+AO150</f>
        <v>6058126.72437823</v>
      </c>
      <c r="AP158" s="10" t="n">
        <f aca="false">AP145+AP150</f>
        <v>5786502.45919407</v>
      </c>
      <c r="AQ158" s="10" t="n">
        <f aca="false">AQ145+AQ150</f>
        <v>5490470.41000991</v>
      </c>
      <c r="AR158" s="10" t="n">
        <f aca="false">AR145+AR150</f>
        <v>5218846.14482576</v>
      </c>
      <c r="AS158" s="10" t="n">
        <f aca="false">AS145+AS150</f>
        <v>4947221.8796416</v>
      </c>
      <c r="AT158" s="10" t="n">
        <f aca="false">AT145+AT150</f>
        <v>4504132.57657865</v>
      </c>
      <c r="AU158" s="10" t="n">
        <f aca="false">AU145+AU150</f>
        <v>4061043.2735157</v>
      </c>
      <c r="AV158" s="10" t="n">
        <f aca="false">AV145+AV150</f>
        <v>3595668.60245276</v>
      </c>
      <c r="AW158" s="10" t="n">
        <f aca="false">AW145+AW150</f>
        <v>3152579.29938981</v>
      </c>
      <c r="AX158" s="10" t="n">
        <f aca="false">AX145+AX150</f>
        <v>2709489.99632686</v>
      </c>
      <c r="AY158" s="10" t="n">
        <f aca="false">AY145+AY150</f>
        <v>2266400.69326392</v>
      </c>
      <c r="AZ158" s="10" t="n">
        <f aca="false">AZ145+AZ150</f>
        <v>1811316.67747304</v>
      </c>
      <c r="BA158" s="10" t="n">
        <f aca="false">BA145+BA150</f>
        <v>1356232.66168217</v>
      </c>
      <c r="BB158" s="10" t="n">
        <f aca="false">BB145+BB150</f>
        <v>901148.6458913</v>
      </c>
      <c r="BC158" s="10" t="n">
        <f aca="false">BC145+BC150</f>
        <v>421168.690420426</v>
      </c>
      <c r="BD158" s="10" t="n">
        <f aca="false">BD145+BD150</f>
        <v>-33915.3253704459</v>
      </c>
      <c r="BE158" s="10" t="n">
        <f aca="false">BE145+BE150</f>
        <v>-488999.341161318</v>
      </c>
      <c r="BF158" s="10" t="n">
        <f aca="false">BF145+BF150</f>
        <v>-944083.35695219</v>
      </c>
      <c r="BG158" s="10" t="n">
        <f aca="false">BG145+BG150</f>
        <v>-1399167.37274306</v>
      </c>
      <c r="BH158" s="10" t="n">
        <f aca="false">BH145+BH150</f>
        <v>-2033628.79722727</v>
      </c>
      <c r="BI158" s="10" t="n">
        <f aca="false">BI145+BI150</f>
        <v>-2645359.14635147</v>
      </c>
      <c r="BJ158" s="10" t="n">
        <f aca="false">BJ145+BJ150</f>
        <v>-3257089.49547568</v>
      </c>
      <c r="BK158" s="10" t="n">
        <f aca="false">BK145+BK150</f>
        <v>-3868819.84459988</v>
      </c>
      <c r="BL158" s="10" t="n">
        <f aca="false">BL145+BL150</f>
        <v>-4492784.80070657</v>
      </c>
      <c r="BM158" s="10" t="n">
        <f aca="false">BM145+BM150</f>
        <v>-5116749.75681326</v>
      </c>
      <c r="BN158" s="10" t="n">
        <f aca="false">BN145+BN150</f>
        <v>-5740714.71291995</v>
      </c>
      <c r="BO158" s="10" t="n">
        <f aca="false">BO145+BO150</f>
        <v>-6390073.52750024</v>
      </c>
      <c r="BP158" s="10" t="n">
        <f aca="false">BP145+BP150</f>
        <v>-7014038.48360693</v>
      </c>
      <c r="BQ158" s="10" t="n">
        <f aca="false">BQ145+BQ150</f>
        <v>-7586489.91971362</v>
      </c>
      <c r="BR158" s="10" t="n">
        <f aca="false">BR145+BR150</f>
        <v>-8210454.87582031</v>
      </c>
      <c r="BS158" s="10" t="n">
        <f aca="false">BS145+BS150</f>
        <v>-8834419.831927</v>
      </c>
      <c r="BT158" s="10" t="n">
        <f aca="false">BT145+BT150</f>
        <v>-9413808.48490089</v>
      </c>
      <c r="BU158" s="10" t="n">
        <f aca="false">BU145+BU150</f>
        <v>-10037773.4410076</v>
      </c>
      <c r="BV158" s="10" t="n">
        <f aca="false">BV145+BV150</f>
        <v>-10661738.3971143</v>
      </c>
      <c r="BW158" s="10" t="n">
        <f aca="false">BW145+BW150</f>
        <v>-11217941.353221</v>
      </c>
      <c r="BX158" s="10" t="n">
        <f aca="false">BX145+BX150</f>
        <v>-11854385.6084498</v>
      </c>
      <c r="BY158" s="10" t="n">
        <f aca="false">BY145+BY150</f>
        <v>-12490829.8636786</v>
      </c>
      <c r="BZ158" s="10" t="n">
        <f aca="false">BZ145+BZ150</f>
        <v>-13059512.1189074</v>
      </c>
      <c r="CA158" s="10" t="n">
        <f aca="false">CA145+CA150</f>
        <v>-13721858.1097793</v>
      </c>
      <c r="CB158" s="10" t="n">
        <f aca="false">CB145+CB150</f>
        <v>-14358302.3650081</v>
      </c>
      <c r="CC158" s="10" t="n">
        <f aca="false">CC145+CC150</f>
        <v>-14918247.620237</v>
      </c>
      <c r="CD158" s="10" t="n">
        <f aca="false">CD145+CD150</f>
        <v>-15554691.8754658</v>
      </c>
      <c r="CE158" s="10" t="n">
        <f aca="false">CE145+CE150</f>
        <v>-16191136.1306946</v>
      </c>
      <c r="CF158" s="10" t="n">
        <f aca="false">CF145+CF150</f>
        <v>-16774730.796728</v>
      </c>
      <c r="CG158" s="10" t="n">
        <f aca="false">CG145+CG150</f>
        <v>-17411175.0519568</v>
      </c>
      <c r="CH158" s="10" t="n">
        <f aca="false">CH145+CH150</f>
        <v>-18047619.3071856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-937279.455657847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-617143.347457176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2331226.85122743</v>
      </c>
      <c r="G160" s="61" t="n">
        <f aca="false">G158+G146+G151+G152+G153+G154+G159</f>
        <v>2548101.31326093</v>
      </c>
      <c r="H160" s="61" t="n">
        <f aca="false">H158+H146+H151+H152+H153+H154+H159</f>
        <v>2768405.94749538</v>
      </c>
      <c r="I160" s="61" t="n">
        <f aca="false">I158+I146+I151+I152+I153+I154+I159</f>
        <v>3177906.93761659</v>
      </c>
      <c r="J160" s="61" t="n">
        <f aca="false">J158+J146+J151+J152+J153+J154+J159</f>
        <v>3616336.82868477</v>
      </c>
      <c r="K160" s="61" t="n">
        <f aca="false">K158+K146+K151+K152+K153+K154+K159</f>
        <v>3811527.84175295</v>
      </c>
      <c r="L160" s="61" t="n">
        <f aca="false">L158+L146+L151+L152+L153+L154+L159</f>
        <v>4027718.85482113</v>
      </c>
      <c r="M160" s="61" t="n">
        <f aca="false">M158+M146+M151+M152+M153+M154+M159</f>
        <v>3993909.86788932</v>
      </c>
      <c r="N160" s="61" t="n">
        <f aca="false">N158+N146+N151+N152+N153+N154+N159</f>
        <v>3580706.58343161</v>
      </c>
      <c r="O160" s="61" t="n">
        <f aca="false">O158+O146+O151+O152+O153+O154+O159</f>
        <v>3794285.57120447</v>
      </c>
      <c r="P160" s="61" t="n">
        <f aca="false">P158+P146+P151+P152+P153+P154+P159</f>
        <v>4170638.73645144</v>
      </c>
      <c r="Q160" s="61" t="n">
        <f aca="false">Q158+Q146+Q151+Q152+Q153+Q154+Q159</f>
        <v>4546991.90169841</v>
      </c>
      <c r="R160" s="61" t="n">
        <f aca="false">R158+R146+R151+R152+R153+R154+R159</f>
        <v>4510469.41110806</v>
      </c>
      <c r="S160" s="61" t="n">
        <f aca="false">S158+S146+S151+S152+S153+S154+S159</f>
        <v>4637120.6505177</v>
      </c>
      <c r="T160" s="61" t="n">
        <f aca="false">T158+T146+T151+T152+T153+T154+T159</f>
        <v>4763771.88992735</v>
      </c>
      <c r="U160" s="61" t="n">
        <f aca="false">U158+U146+U151+U152+U153+U154+U159</f>
        <v>4715563.10986332</v>
      </c>
      <c r="V160" s="61" t="n">
        <f aca="false">V158+V146+V151+V152+V153+V154+V159</f>
        <v>4902700.40190455</v>
      </c>
      <c r="W160" s="61" t="n">
        <f aca="false">W158+W146+W151+W152+W153+W154+W159</f>
        <v>5189823.45066033</v>
      </c>
      <c r="X160" s="61" t="n">
        <f aca="false">X158+X146+X151+X152+X153+X154+X159</f>
        <v>5506960.74270156</v>
      </c>
      <c r="Y160" s="61" t="n">
        <f aca="false">Y158+Y146+Y151+Y152+Y153+Y154+Y159</f>
        <v>5574098.03474279</v>
      </c>
      <c r="Z160" s="61" t="n">
        <f aca="false">Z158+Z146+Z151+Z152+Z153+Z154+Z159</f>
        <v>4941419.93107832</v>
      </c>
      <c r="AA160" s="61" t="n">
        <f aca="false">AA158+AA146+AA151+AA152+AA153+AA154+AA159</f>
        <v>6058217.35311459</v>
      </c>
      <c r="AB160" s="61" t="n">
        <f aca="false">AB158+AB146+AB151+AB152+AB153+AB154+AB159</f>
        <v>6156241.46781837</v>
      </c>
      <c r="AC160" s="61" t="n">
        <f aca="false">AC158+AC146+AC151+AC152+AC153+AC154+AC159</f>
        <v>5744580.85585549</v>
      </c>
      <c r="AD160" s="61" t="n">
        <f aca="false">AD158+AD146+AD151+AD152+AD153+AD154+AD159</f>
        <v>5975322.10389261</v>
      </c>
      <c r="AE160" s="61" t="n">
        <f aca="false">AE158+AE146+AE151+AE152+AE153+AE154+AE159</f>
        <v>6229992.55192972</v>
      </c>
      <c r="AF160" s="61" t="n">
        <f aca="false">AF158+AF146+AF151+AF152+AF153+AF154+AF159</f>
        <v>6484662.99996684</v>
      </c>
      <c r="AG160" s="61" t="n">
        <f aca="false">AG158+AG146+AG151+AG152+AG153+AG154+AG159</f>
        <v>6729833.44800395</v>
      </c>
      <c r="AH160" s="61" t="n">
        <f aca="false">AH158+AH146+AH151+AH152+AH153+AH154+AH159</f>
        <v>6874324.8950941</v>
      </c>
      <c r="AI160" s="61" t="n">
        <f aca="false">AI158+AI146+AI151+AI152+AI153+AI154+AI159</f>
        <v>6996967.94218425</v>
      </c>
      <c r="AJ160" s="61" t="n">
        <f aca="false">AJ158+AJ146+AJ151+AJ152+AJ153+AJ154+AJ159</f>
        <v>6978700.11654712</v>
      </c>
      <c r="AK160" s="61" t="n">
        <f aca="false">AK158+AK146+AK151+AK152+AK153+AK154+AK159</f>
        <v>6619643.08038368</v>
      </c>
      <c r="AL160" s="61" t="n">
        <f aca="false">AL158+AL146+AL151+AL152+AL153+AL154+AL159</f>
        <v>5893442.69676306</v>
      </c>
      <c r="AM160" s="61" t="n">
        <f aca="false">AM158+AM146+AM151+AM152+AM153+AM154+AM159</f>
        <v>6329750.98956239</v>
      </c>
      <c r="AN160" s="61" t="n">
        <f aca="false">AN158+AN146+AN151+AN152+AN153+AN154+AN159</f>
        <v>6058126.72437823</v>
      </c>
      <c r="AO160" s="61" t="n">
        <f aca="false">AO158+AO146+AO151+AO152+AO153+AO154+AO159</f>
        <v>5786502.45919407</v>
      </c>
      <c r="AP160" s="61" t="n">
        <f aca="false">AP158+AP146+AP151+AP152+AP153+AP154+AP159</f>
        <v>5490470.41000991</v>
      </c>
      <c r="AQ160" s="61" t="n">
        <f aca="false">AQ158+AQ146+AQ151+AQ152+AQ153+AQ154+AQ159</f>
        <v>5218846.14482576</v>
      </c>
      <c r="AR160" s="61" t="n">
        <f aca="false">AR158+AR146+AR151+AR152+AR153+AR154+AR159</f>
        <v>4947221.8796416</v>
      </c>
      <c r="AS160" s="61" t="n">
        <f aca="false">AS158+AS146+AS151+AS152+AS153+AS154+AS159</f>
        <v>4504132.57657865</v>
      </c>
      <c r="AT160" s="61" t="n">
        <f aca="false">AT158+AT146+AT151+AT152+AT153+AT154+AT159</f>
        <v>4061043.2735157</v>
      </c>
      <c r="AU160" s="61" t="n">
        <f aca="false">AU158+AU146+AU151+AU152+AU153+AU154+AU159</f>
        <v>3595668.60245276</v>
      </c>
      <c r="AV160" s="61" t="n">
        <f aca="false">AV158+AV146+AV151+AV152+AV153+AV154+AV159</f>
        <v>3152579.29938981</v>
      </c>
      <c r="AW160" s="61" t="n">
        <f aca="false">AW158+AW146+AW151+AW152+AW153+AW154+AW159</f>
        <v>2709489.99632686</v>
      </c>
      <c r="AX160" s="61" t="n">
        <f aca="false">AX158+AX146+AX151+AX152+AX153+AX154+AX159</f>
        <v>2266400.69326392</v>
      </c>
      <c r="AY160" s="61" t="n">
        <f aca="false">AY158+AY146+AY151+AY152+AY153+AY154+AY159</f>
        <v>1811316.67747304</v>
      </c>
      <c r="AZ160" s="61" t="n">
        <f aca="false">AZ158+AZ146+AZ151+AZ152+AZ153+AZ154+AZ159</f>
        <v>1356232.66168217</v>
      </c>
      <c r="BA160" s="61" t="n">
        <f aca="false">BA158+BA146+BA151+BA152+BA153+BA154+BA159</f>
        <v>901148.6458913</v>
      </c>
      <c r="BB160" s="61" t="n">
        <f aca="false">BB158+BB146+BB151+BB152+BB153+BB154+BB159</f>
        <v>421168.690420427</v>
      </c>
      <c r="BC160" s="61" t="n">
        <f aca="false">BC158+BC146+BC151+BC152+BC153+BC154+BC159</f>
        <v>-33915.3253704458</v>
      </c>
      <c r="BD160" s="61" t="n">
        <f aca="false">BD158+BD146+BD151+BD152+BD153+BD154+BD159</f>
        <v>-488999.341161318</v>
      </c>
      <c r="BE160" s="61" t="n">
        <f aca="false">BE158+BE146+BE151+BE152+BE153+BE154+BE159</f>
        <v>-944083.35695219</v>
      </c>
      <c r="BF160" s="61" t="n">
        <f aca="false">BF158+BF146+BF151+BF152+BF153+BF154+BF159</f>
        <v>-1399167.37274306</v>
      </c>
      <c r="BG160" s="61" t="n">
        <f aca="false">BG158+BG146+BG151+BG152+BG153+BG154+BG159</f>
        <v>-2033628.79722727</v>
      </c>
      <c r="BH160" s="61" t="n">
        <f aca="false">BH158+BH146+BH151+BH152+BH153+BH154+BH159</f>
        <v>-2645359.14635147</v>
      </c>
      <c r="BI160" s="61" t="n">
        <f aca="false">BI158+BI146+BI151+BI152+BI153+BI154+BI159</f>
        <v>-3257089.49547568</v>
      </c>
      <c r="BJ160" s="61" t="n">
        <f aca="false">BJ158+BJ146+BJ151+BJ152+BJ153+BJ154+BJ159</f>
        <v>-3868819.84459988</v>
      </c>
      <c r="BK160" s="61" t="n">
        <f aca="false">BK158+BK146+BK151+BK152+BK153+BK154+BK159</f>
        <v>-4492784.80070657</v>
      </c>
      <c r="BL160" s="61" t="n">
        <f aca="false">BL158+BL146+BL151+BL152+BL153+BL154+BL159</f>
        <v>-5116749.75681326</v>
      </c>
      <c r="BM160" s="61" t="n">
        <f aca="false">BM158+BM146+BM151+BM152+BM153+BM154+BM159</f>
        <v>-5740714.71291995</v>
      </c>
      <c r="BN160" s="61" t="n">
        <f aca="false">BN158+BN146+BN151+BN152+BN153+BN154+BN159</f>
        <v>-6390073.52750024</v>
      </c>
      <c r="BO160" s="61" t="n">
        <f aca="false">BO158+BO146+BO151+BO152+BO153+BO154+BO159</f>
        <v>-7014038.48360693</v>
      </c>
      <c r="BP160" s="61" t="n">
        <f aca="false">BP158+BP146+BP151+BP152+BP153+BP154+BP159</f>
        <v>-7586489.91971362</v>
      </c>
      <c r="BQ160" s="61" t="n">
        <f aca="false">BQ158+BQ146+BQ151+BQ152+BQ153+BQ154+BQ159</f>
        <v>-8210454.87582031</v>
      </c>
      <c r="BR160" s="61" t="n">
        <f aca="false">BR158+BR146+BR151+BR152+BR153+BR154+BR159</f>
        <v>-8834419.831927</v>
      </c>
      <c r="BS160" s="61" t="n">
        <f aca="false">BS158+BS146+BS151+BS152+BS153+BS154+BS159</f>
        <v>-9413808.48490089</v>
      </c>
      <c r="BT160" s="61" t="n">
        <f aca="false">BT158+BT146+BT151+BT152+BT153+BT154+BT159</f>
        <v>-10037773.4410076</v>
      </c>
      <c r="BU160" s="61" t="n">
        <f aca="false">BU158+BU146+BU151+BU152+BU153+BU154+BU159</f>
        <v>-10661738.3971143</v>
      </c>
      <c r="BV160" s="61" t="n">
        <f aca="false">BV158+BV146+BV151+BV152+BV153+BV154+BV159</f>
        <v>-11217941.353221</v>
      </c>
      <c r="BW160" s="61" t="n">
        <f aca="false">BW158+BW146+BW151+BW152+BW153+BW154+BW159</f>
        <v>-11854385.6084498</v>
      </c>
      <c r="BX160" s="61" t="n">
        <f aca="false">BX158+BX146+BX151+BX152+BX153+BX154+BX159</f>
        <v>-12490829.8636786</v>
      </c>
      <c r="BY160" s="61" t="n">
        <f aca="false">BY158+BY146+BY151+BY152+BY153+BY154+BY159</f>
        <v>-13059512.1189074</v>
      </c>
      <c r="BZ160" s="61" t="n">
        <f aca="false">BZ158+BZ146+BZ151+BZ152+BZ153+BZ154+BZ159</f>
        <v>-13721858.1097793</v>
      </c>
      <c r="CA160" s="61" t="n">
        <f aca="false">CA158+CA146+CA151+CA152+CA153+CA154+CA159</f>
        <v>-14358302.3650082</v>
      </c>
      <c r="CB160" s="61" t="n">
        <f aca="false">CB158+CB146+CB151+CB152+CB153+CB154+CB159</f>
        <v>-14918247.620237</v>
      </c>
      <c r="CC160" s="61" t="n">
        <f aca="false">CC158+CC146+CC151+CC152+CC153+CC154+CC159</f>
        <v>-15554691.8754658</v>
      </c>
      <c r="CD160" s="61" t="n">
        <f aca="false">CD158+CD146+CD151+CD152+CD153+CD154+CD159</f>
        <v>-16191136.1306946</v>
      </c>
      <c r="CE160" s="61" t="n">
        <f aca="false">CE158+CE146+CE151+CE152+CE153+CE154+CE159</f>
        <v>-16774730.796728</v>
      </c>
      <c r="CF160" s="61" t="n">
        <f aca="false">CF158+CF146+CF151+CF152+CF153+CF154+CF159</f>
        <v>-17411175.0519568</v>
      </c>
      <c r="CG160" s="61" t="n">
        <f aca="false">CG158+CG146+CG151+CG152+CG153+CG154+CG159</f>
        <v>-18047619.3071856</v>
      </c>
      <c r="CH160" s="61" t="n">
        <f aca="false">CH158+CH146+CH151+CH152+CH153+CH154+CH159</f>
        <v>-18600956.535808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26284108.956071</v>
      </c>
      <c r="H3" s="65" t="n">
        <f aca="false">Model!U7+Model!V7+Model!W7</f>
        <v>26269938.482232</v>
      </c>
      <c r="I3" s="65" t="n">
        <f aca="false">Model!X7+Model!Y7+Model!Z7</f>
        <v>23995443.05661</v>
      </c>
      <c r="J3" s="65" t="n">
        <f aca="false">Model!AA7+Model!AB7+Model!AC7</f>
        <v>19933064.690972</v>
      </c>
      <c r="K3" s="65" t="n">
        <f aca="false">Model!AD7+Model!AE7+Model!AF7</f>
        <v>16368633.581473</v>
      </c>
      <c r="L3" s="65" t="n">
        <f aca="false">Model!AG7+Model!AH7+Model!AI7</f>
        <v>15030950.732465</v>
      </c>
      <c r="M3" s="65" t="n">
        <f aca="false">Model!AJ7+Model!AK7+Model!AL7</f>
        <v>12413653.630916</v>
      </c>
      <c r="N3" s="65" t="n">
        <f aca="false">Model!AM7+Model!AN7+Model!AO7</f>
        <v>9362879.381546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1083688.30944549</v>
      </c>
      <c r="H5" s="10" t="n">
        <f aca="false">Model!U8+Model!V8+Model!W8</f>
        <v>1119123.63322368</v>
      </c>
      <c r="I5" s="10" t="n">
        <f aca="false">Model!X8+Model!Y8+Model!Z8</f>
        <v>1081680.59921822</v>
      </c>
      <c r="J5" s="10" t="n">
        <f aca="false">Model!AA8+Model!AB8+Model!AC8</f>
        <v>971846.087769139</v>
      </c>
      <c r="K5" s="10" t="n">
        <f aca="false">Model!AD8+Model!AE8+Model!AF8</f>
        <v>1071188.43705144</v>
      </c>
      <c r="L5" s="10" t="n">
        <f aca="false">Model!AG8+Model!AH8+Model!AI8</f>
        <v>984892.150525461</v>
      </c>
      <c r="M5" s="10" t="n">
        <f aca="false">Model!AJ8+Model!AK8+Model!AL8</f>
        <v>654662.761876282</v>
      </c>
      <c r="N5" s="10" t="n">
        <f aca="false">Model!AM8+Model!AN8+Model!AO8</f>
        <v>460767.138926863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1101117.36207707</v>
      </c>
      <c r="H6" s="10" t="n">
        <f aca="false">Model!U9+Model!V9+Model!W9</f>
        <v>1123637.31743421</v>
      </c>
      <c r="I6" s="10" t="n">
        <f aca="false">Model!X9+Model!Y9+Model!Z9</f>
        <v>1081680.59921822</v>
      </c>
      <c r="J6" s="10" t="n">
        <f aca="false">Model!AA9+Model!AB9+Model!AC9</f>
        <v>971846.087769139</v>
      </c>
      <c r="K6" s="10" t="n">
        <f aca="false">Model!AD9+Model!AE9+Model!AF9</f>
        <v>1071188.43705144</v>
      </c>
      <c r="L6" s="10" t="n">
        <f aca="false">Model!AG9+Model!AH9+Model!AI9</f>
        <v>984892.150525461</v>
      </c>
      <c r="M6" s="10" t="n">
        <f aca="false">Model!AJ9+Model!AK9+Model!AL9</f>
        <v>654662.761876282</v>
      </c>
      <c r="N6" s="10" t="n">
        <f aca="false">Model!AM9+Model!AN9+Model!AO9</f>
        <v>460767.138926863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340872.428806391</v>
      </c>
      <c r="H7" s="10" t="n">
        <f aca="false">Model!U10+Model!V10+Model!W10</f>
        <v>368742.965460526</v>
      </c>
      <c r="I7" s="10" t="n">
        <f aca="false">Model!X10+Model!Y10+Model!Z10</f>
        <v>360560.199739405</v>
      </c>
      <c r="J7" s="10" t="n">
        <f aca="false">Model!AA10+Model!AB10+Model!AC10</f>
        <v>323948.695923046</v>
      </c>
      <c r="K7" s="10" t="n">
        <f aca="false">Model!AD10+Model!AE10+Model!AF10</f>
        <v>357062.812350479</v>
      </c>
      <c r="L7" s="10" t="n">
        <f aca="false">Model!AG10+Model!AH10+Model!AI10</f>
        <v>328297.383508487</v>
      </c>
      <c r="M7" s="10" t="n">
        <f aca="false">Model!AJ10+Model!AK10+Model!AL10</f>
        <v>218220.920625427</v>
      </c>
      <c r="N7" s="10" t="n">
        <f aca="false">Model!AM10+Model!AN10+Model!AO10</f>
        <v>153589.046308954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227699.34</v>
      </c>
      <c r="H8" s="10" t="n">
        <f aca="false">Model!U11+Model!V11+Model!W11</f>
        <v>227699.34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2753377.44032895</v>
      </c>
      <c r="H9" s="12" t="n">
        <f aca="false">Model!U12+Model!V12+Model!W12</f>
        <v>2839203.25611842</v>
      </c>
      <c r="I9" s="12" t="n">
        <f aca="false">Model!X12+Model!Y12+Model!Z12</f>
        <v>2523921.39817584</v>
      </c>
      <c r="J9" s="12" t="n">
        <f aca="false">Model!AA12+Model!AB12+Model!AC12</f>
        <v>2887960.35146132</v>
      </c>
      <c r="K9" s="12" t="n">
        <f aca="false">Model!AD12+Model!AE12+Model!AF12</f>
        <v>2499439.68645335</v>
      </c>
      <c r="L9" s="12" t="n">
        <f aca="false">Model!AG12+Model!AH12+Model!AI12</f>
        <v>2298081.68455941</v>
      </c>
      <c r="M9" s="12" t="n">
        <f aca="false">Model!AJ12+Model!AK12+Model!AL12</f>
        <v>1527546.44437799</v>
      </c>
      <c r="N9" s="12" t="n">
        <f aca="false">Model!AM12+Model!AN12+Model!AO12</f>
        <v>1075123.32416268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-493348.57</v>
      </c>
      <c r="H12" s="10" t="n">
        <f aca="false">Model!U15+Model!V15+Model!W15</f>
        <v>-493348.57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-1856822.4571</v>
      </c>
      <c r="H15" s="12" t="n">
        <f aca="false">Model!U38+Model!V38+Model!W38</f>
        <v>-1856822.4571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896554.983228947</v>
      </c>
      <c r="H16" s="16" t="n">
        <f aca="false">Model!U40+Model!V40+Model!W40</f>
        <v>982380.799018421</v>
      </c>
      <c r="I16" s="16" t="n">
        <f aca="false">Model!X40+Model!Y40+Model!Z40</f>
        <v>1160447.51107584</v>
      </c>
      <c r="J16" s="16" t="n">
        <f aca="false">Model!AA40+Model!AB40+Model!AC40</f>
        <v>153191.446619323</v>
      </c>
      <c r="K16" s="16" t="n">
        <f aca="false">Model!AD40+Model!AE40+Model!AF40</f>
        <v>1108696.32161135</v>
      </c>
      <c r="L16" s="16" t="n">
        <f aca="false">Model!AG40+Model!AH40+Model!AI40</f>
        <v>907338.31971741</v>
      </c>
      <c r="M16" s="16" t="n">
        <f aca="false">Model!AJ40+Model!AK40+Model!AL40</f>
        <v>136803.079535991</v>
      </c>
      <c r="N16" s="16" t="n">
        <f aca="false">Model!AM40+Model!AN40+Model!AO40</f>
        <v>-343434.907976161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0.325620080304659</v>
      </c>
      <c r="H17" s="17" t="n">
        <f aca="false">IF((Model!U12+Model!V12+Model!W12)&lt;&gt;0,(Model!U40+Model!V40+Model!W40)/(Model!U12+Model!V12+Model!W12),0)</f>
        <v>0.346005801769004</v>
      </c>
      <c r="I17" s="17" t="n">
        <f aca="false">IF((Model!X12+Model!Y12+Model!Z12)&lt;&gt;0,(Model!X40+Model!Y40+Model!Z40)/(Model!X12+Model!Y12+Model!Z12),0)</f>
        <v>0.459779576303188</v>
      </c>
      <c r="J17" s="17" t="n">
        <f aca="false">IF((Model!AA12+Model!AB12+Model!AC12)&lt;&gt;0,(Model!AA40+Model!AB40+Model!AC40)/(Model!AA12+Model!AB12+Model!AC12),0)</f>
        <v>0.0530448579537485</v>
      </c>
      <c r="K17" s="17" t="n">
        <f aca="false">IF((Model!AD12+Model!AE12+Model!AF12)&lt;&gt;0,(Model!AD40+Model!AE40+Model!AF40)/(Model!AD12+Model!AE12+Model!AF12),0)</f>
        <v>0.443577945737337</v>
      </c>
      <c r="L17" s="17" t="n">
        <f aca="false">IF((Model!AG12+Model!AH12+Model!AI12)&lt;&gt;0,(Model!AG40+Model!AH40+Model!AI40)/(Model!AG12+Model!AH12+Model!AI12),0)</f>
        <v>0.394824224836623</v>
      </c>
      <c r="M17" s="17" t="n">
        <f aca="false">IF((Model!AJ12+Model!AK12+Model!AL12)&lt;&gt;0,(Model!AJ40+Model!AK40+Model!AL40)/(Model!AJ12+Model!AK12+Model!AL12),0)</f>
        <v>0.089557394499842</v>
      </c>
      <c r="N17" s="17" t="n">
        <f aca="false">IF((Model!AM12+Model!AN12+Model!AO12)&lt;&gt;0,(Model!AM40+Model!AN40+Model!AO40)/(Model!AM12+Model!AN12+Model!AO12),0)</f>
        <v>-0.31943768706128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171271.38</v>
      </c>
      <c r="F19" s="19" t="n">
        <f aca="false">Model!O63+Model!P63+Model!Q63</f>
        <v>171271.38</v>
      </c>
      <c r="G19" s="19" t="n">
        <f aca="false">Model!R63+Model!S63+Model!T63</f>
        <v>99552.63</v>
      </c>
      <c r="H19" s="19" t="n">
        <f aca="false">Model!U63+Model!V63+Model!W63</f>
        <v>156927.63</v>
      </c>
      <c r="I19" s="19" t="n">
        <f aca="false">Model!X63+Model!Y63+Model!Z63</f>
        <v>144296.05</v>
      </c>
      <c r="J19" s="19" t="n">
        <f aca="false">Model!AA63+Model!AB63+Model!AC63</f>
        <v>85875</v>
      </c>
      <c r="K19" s="19" t="n">
        <f aca="false">Model!AD63+Model!AE63+Model!AF63</f>
        <v>28500</v>
      </c>
      <c r="L19" s="19" t="n">
        <f aca="false">Model!AG63+Model!AH63+Model!AI63</f>
        <v>0</v>
      </c>
      <c r="M19" s="19" t="n">
        <f aca="false">Model!AJ63+Model!AK63+Model!AL63</f>
        <v>0</v>
      </c>
      <c r="N19" s="19" t="n">
        <f aca="false">Model!AM63+Model!AN63+Model!AO63</f>
        <v>0</v>
      </c>
      <c r="O19" s="19" t="n">
        <f aca="false">Model!AP63+Model!AQ63+Model!AR63</f>
        <v>81683</v>
      </c>
      <c r="P19" s="19" t="n">
        <f aca="false">Model!AS63+Model!AT63+Model!AU63</f>
        <v>81682</v>
      </c>
      <c r="Q19" s="19" t="n">
        <f aca="false">Model!AV63+Model!AW63+Model!AX63</f>
        <v>81682</v>
      </c>
      <c r="R19" s="19" t="n">
        <f aca="false">Model!AY63+Model!AZ63+Model!BA63</f>
        <v>933521</v>
      </c>
      <c r="S19" s="19" t="n">
        <f aca="false">Model!BB63+Model!BC63+Model!BD63</f>
        <v>130878</v>
      </c>
      <c r="T19" s="19" t="n">
        <f aca="false">Model!BE63+Model!BF63+Model!BG63</f>
        <v>130876</v>
      </c>
      <c r="U19" s="19" t="n">
        <f aca="false">Model!BH63+Model!BI63+Model!BJ63</f>
        <v>130876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-187422.37</v>
      </c>
      <c r="F21" s="16" t="n">
        <f aca="false">Model!O86+Model!P86+Model!Q86</f>
        <v>-194596.245</v>
      </c>
      <c r="G21" s="16" t="n">
        <f aca="false">Model!R86+Model!S86+Model!T86</f>
        <v>-289774.995</v>
      </c>
      <c r="H21" s="16" t="n">
        <f aca="false">Model!U86+Model!V86+Model!W86</f>
        <v>-230359.995</v>
      </c>
      <c r="I21" s="16" t="n">
        <f aca="false">Model!X86+Model!Y86+Model!Z86</f>
        <v>-221571.575</v>
      </c>
      <c r="J21" s="16" t="n">
        <f aca="false">Model!AA86+Model!AB86+Model!AC86</f>
        <v>-287309.9775</v>
      </c>
      <c r="K21" s="16" t="n">
        <f aca="false">Model!AD86+Model!AE86+Model!AF86</f>
        <v>-368614.1775</v>
      </c>
      <c r="L21" s="16" t="n">
        <f aca="false">Model!AG86+Model!AH86+Model!AI86</f>
        <v>-395033.3775</v>
      </c>
      <c r="M21" s="16" t="n">
        <f aca="false">Model!AJ86+Model!AK86+Model!AL86</f>
        <v>-373184.9775</v>
      </c>
      <c r="N21" s="16" t="n">
        <f aca="false">Model!AM86+Model!AN86+Model!AO86</f>
        <v>-380648.67705</v>
      </c>
      <c r="O21" s="16" t="n">
        <f aca="false">Model!AP86+Model!AQ86+Model!AR86</f>
        <v>-405056.46105</v>
      </c>
      <c r="P21" s="16" t="n">
        <f aca="false">Model!AS86+Model!AT86+Model!AU86</f>
        <v>-402934.04505</v>
      </c>
      <c r="Q21" s="16" t="n">
        <f aca="false">Model!AV86+Model!AW86+Model!AX86</f>
        <v>-380648.67705</v>
      </c>
      <c r="R21" s="16" t="n">
        <f aca="false">Model!AY86+Model!AZ86+Model!BA86</f>
        <v>-388261.650591</v>
      </c>
      <c r="S21" s="16" t="n">
        <f aca="false">Model!BB86+Model!BC86+Model!BD86</f>
        <v>-413157.590271</v>
      </c>
      <c r="T21" s="16" t="n">
        <f aca="false">Model!BE86+Model!BF86+Model!BG86</f>
        <v>-410992.725951</v>
      </c>
      <c r="U21" s="16" t="n">
        <f aca="false">Model!BH86+Model!BI86+Model!BJ86</f>
        <v>-388261.650591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1038573.03920455</v>
      </c>
      <c r="F23" s="16" t="n">
        <f aca="false">Model!O95+Model!P95+Model!Q95</f>
        <v>726891.020740909</v>
      </c>
      <c r="G23" s="16" t="n">
        <f aca="false">Model!R95+Model!S95+Model!T95</f>
        <v>606779.988228947</v>
      </c>
      <c r="H23" s="16" t="n">
        <f aca="false">Model!U95+Model!V95+Model!W95</f>
        <v>752020.804018421</v>
      </c>
      <c r="I23" s="16" t="n">
        <f aca="false">Model!X95+Model!Y95+Model!Z95</f>
        <v>938875.936075837</v>
      </c>
      <c r="J23" s="16" t="n">
        <f aca="false">Model!AA95+Model!AB95+Model!AC95</f>
        <v>-134118.530880677</v>
      </c>
      <c r="K23" s="16" t="n">
        <f aca="false">Model!AD95+Model!AE95+Model!AF95</f>
        <v>740082.144111349</v>
      </c>
      <c r="L23" s="16" t="n">
        <f aca="false">Model!AG95+Model!AH95+Model!AI95</f>
        <v>512304.94221741</v>
      </c>
      <c r="M23" s="16" t="n">
        <f aca="false">Model!AJ95+Model!AK95+Model!AL95</f>
        <v>-236381.89796401</v>
      </c>
      <c r="N23" s="16" t="n">
        <f aca="false">Model!AM95+Model!AN95+Model!AO95</f>
        <v>-724083.585026161</v>
      </c>
      <c r="O23" s="16" t="n">
        <f aca="false">Model!AP95+Model!AQ95+Model!AR95</f>
        <v>-839280.579552477</v>
      </c>
      <c r="P23" s="16" t="n">
        <f aca="false">Model!AS95+Model!AT95+Model!AU95</f>
        <v>-1351553.27718884</v>
      </c>
      <c r="Q23" s="16" t="n">
        <f aca="false">Model!AV95+Model!AW95+Model!AX95</f>
        <v>-1329267.90918884</v>
      </c>
      <c r="R23" s="16" t="n">
        <f aca="false">Model!AY95+Model!AZ95+Model!BA95</f>
        <v>-1365252.04737262</v>
      </c>
      <c r="S23" s="16" t="n">
        <f aca="false">Model!BB95+Model!BC95+Model!BD95</f>
        <v>-1390147.98705262</v>
      </c>
      <c r="T23" s="16" t="n">
        <f aca="false">Model!BE95+Model!BF95+Model!BG95</f>
        <v>-1544629.45606595</v>
      </c>
      <c r="U23" s="16" t="n">
        <f aca="false">Model!BH95+Model!BI95+Model!BJ95</f>
        <v>-1835191.04737262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7291697.38992735</v>
      </c>
      <c r="H42" s="21" t="n">
        <f aca="false">Model!W147</f>
        <v>8274078.18894577</v>
      </c>
      <c r="I42" s="21" t="n">
        <f aca="false">Model!Z147</f>
        <v>9434525.70002161</v>
      </c>
      <c r="J42" s="21" t="n">
        <f aca="false">Model!AC147</f>
        <v>9587717.14664094</v>
      </c>
      <c r="K42" s="21" t="n">
        <f aca="false">Model!AF147</f>
        <v>10696413.4682523</v>
      </c>
      <c r="L42" s="21" t="n">
        <f aca="false">Model!AI147</f>
        <v>11603751.7879697</v>
      </c>
      <c r="M42" s="21" t="n">
        <f aca="false">Model!AL147</f>
        <v>11740554.8675057</v>
      </c>
      <c r="N42" s="21" t="n">
        <f aca="false">Model!AO147</f>
        <v>11397119.9595295</v>
      </c>
      <c r="O42" s="21" t="n">
        <f aca="false">Model!AR147</f>
        <v>10962895.841027</v>
      </c>
      <c r="P42" s="21" t="n">
        <f aca="false">Model!AU147</f>
        <v>10014276.6088882</v>
      </c>
      <c r="Q42" s="21" t="n">
        <f aca="false">Model!AX147</f>
        <v>9065657.37674937</v>
      </c>
      <c r="R42" s="21" t="n">
        <f aca="false">Model!BA147</f>
        <v>8088666.97996775</v>
      </c>
      <c r="S42" s="21" t="n">
        <f aca="false">Model!BD147</f>
        <v>7111676.58318613</v>
      </c>
      <c r="T42" s="21" t="n">
        <f aca="false">Model!BG147</f>
        <v>5978039.85307118</v>
      </c>
      <c r="U42" s="21" t="n">
        <f aca="false">Model!BJ147</f>
        <v>4531110.45628956</v>
      </c>
      <c r="V42" s="21" t="n">
        <f aca="false">Model!BM147</f>
        <v>3055242.47157231</v>
      </c>
      <c r="W42" s="21" t="n">
        <f aca="false">Model!BP147</f>
        <v>1579374.48685506</v>
      </c>
      <c r="X42" s="21" t="n">
        <f aca="false">Model!BS147</f>
        <v>103506.502137813</v>
      </c>
      <c r="Y42" s="21" t="n">
        <f aca="false">Model!BV147</f>
        <v>-1372361.48257944</v>
      </c>
      <c r="Z42" s="21" t="n">
        <f aca="false">Model!BY147</f>
        <v>-2877746.82699103</v>
      </c>
      <c r="AA42" s="21" t="n">
        <f aca="false">Model!CB147</f>
        <v>-4383132.17140262</v>
      </c>
      <c r="AB42" s="21" t="n">
        <f aca="false">Model!CE147</f>
        <v>-5888517.51581422</v>
      </c>
      <c r="AC42" s="21" t="n">
        <f aca="false">Model!CH147</f>
        <v>-7393902.86022581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-1263554.26</v>
      </c>
      <c r="F43" s="21" t="n">
        <f aca="false">Model!Q155</f>
        <v>-1848150.505</v>
      </c>
      <c r="G43" s="21" t="n">
        <f aca="false">Model!T155</f>
        <v>-2527925.5</v>
      </c>
      <c r="H43" s="21" t="n">
        <f aca="false">Model!W155</f>
        <v>-3084254.73828545</v>
      </c>
      <c r="I43" s="21" t="n">
        <f aca="false">Model!Z155</f>
        <v>-3555826.31328545</v>
      </c>
      <c r="J43" s="21" t="n">
        <f aca="false">Model!AC155</f>
        <v>-3843136.29078545</v>
      </c>
      <c r="K43" s="21" t="n">
        <f aca="false">Model!AF155</f>
        <v>-4211750.46828545</v>
      </c>
      <c r="L43" s="21" t="n">
        <f aca="false">Model!AI155</f>
        <v>-4606783.84578545</v>
      </c>
      <c r="M43" s="21" t="n">
        <f aca="false">Model!AL155</f>
        <v>-5229968.82328545</v>
      </c>
      <c r="N43" s="21" t="n">
        <f aca="false">Model!AO155</f>
        <v>-5610617.50033545</v>
      </c>
      <c r="O43" s="21" t="n">
        <f aca="false">Model!AR155</f>
        <v>-6015673.96138545</v>
      </c>
      <c r="P43" s="21" t="n">
        <f aca="false">Model!AU155</f>
        <v>-6418608.00643545</v>
      </c>
      <c r="Q43" s="21" t="n">
        <f aca="false">Model!AX155</f>
        <v>-6799256.68348545</v>
      </c>
      <c r="R43" s="21" t="n">
        <f aca="false">Model!BA155</f>
        <v>-7187518.33407645</v>
      </c>
      <c r="S43" s="21" t="n">
        <f aca="false">Model!BD155</f>
        <v>-7600675.92434745</v>
      </c>
      <c r="T43" s="21" t="n">
        <f aca="false">Model!BG155</f>
        <v>-8011668.65029845</v>
      </c>
      <c r="U43" s="21" t="n">
        <f aca="false">Model!BJ155</f>
        <v>-8399930.30088945</v>
      </c>
      <c r="V43" s="21" t="n">
        <f aca="false">Model!BM155</f>
        <v>-8795957.18449226</v>
      </c>
      <c r="W43" s="21" t="n">
        <f aca="false">Model!BP155</f>
        <v>-9165864.40656868</v>
      </c>
      <c r="X43" s="21" t="n">
        <f aca="false">Model!BS155</f>
        <v>-9517314.9870387</v>
      </c>
      <c r="Y43" s="21" t="n">
        <f aca="false">Model!BV155</f>
        <v>-9845579.87064152</v>
      </c>
      <c r="Z43" s="21" t="n">
        <f aca="false">Model!BY155</f>
        <v>-10181765.2919164</v>
      </c>
      <c r="AA43" s="21" t="n">
        <f aca="false">Model!CB155</f>
        <v>-10535115.4488343</v>
      </c>
      <c r="AB43" s="21" t="n">
        <f aca="false">Model!CE155</f>
        <v>-10886213.2809138</v>
      </c>
      <c r="AC43" s="21" t="n">
        <f aca="false">Model!CH155</f>
        <v>-11207053.6755822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-937279.455657847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-617143.347457176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3580706.58343161</v>
      </c>
      <c r="F45" s="23" t="n">
        <f aca="false">Model!Q160</f>
        <v>4546991.90169841</v>
      </c>
      <c r="G45" s="23" t="n">
        <f aca="false">Model!T160</f>
        <v>4763771.88992735</v>
      </c>
      <c r="H45" s="23" t="n">
        <f aca="false">Model!W160</f>
        <v>5189823.45066033</v>
      </c>
      <c r="I45" s="23" t="n">
        <f aca="false">Model!Z160</f>
        <v>4941419.93107832</v>
      </c>
      <c r="J45" s="23" t="n">
        <f aca="false">Model!AC160</f>
        <v>5744580.85585549</v>
      </c>
      <c r="K45" s="23" t="n">
        <f aca="false">Model!AF160</f>
        <v>6484662.99996684</v>
      </c>
      <c r="L45" s="23" t="n">
        <f aca="false">Model!AI160</f>
        <v>6996967.94218425</v>
      </c>
      <c r="M45" s="23" t="n">
        <f aca="false">Model!AL160</f>
        <v>5893442.69676306</v>
      </c>
      <c r="N45" s="23" t="n">
        <f aca="false">Model!AO160</f>
        <v>5786502.45919407</v>
      </c>
      <c r="O45" s="23" t="n">
        <f aca="false">Model!AR160</f>
        <v>4947221.8796416</v>
      </c>
      <c r="P45" s="23" t="n">
        <f aca="false">Model!AU160</f>
        <v>3595668.60245276</v>
      </c>
      <c r="Q45" s="23" t="n">
        <f aca="false">Model!AX160</f>
        <v>2266400.69326392</v>
      </c>
      <c r="R45" s="23" t="n">
        <f aca="false">Model!BA160</f>
        <v>901148.6458913</v>
      </c>
      <c r="S45" s="23" t="n">
        <f aca="false">Model!BD160</f>
        <v>-488999.341161318</v>
      </c>
      <c r="T45" s="23" t="n">
        <f aca="false">Model!BG160</f>
        <v>-2033628.79722727</v>
      </c>
      <c r="U45" s="23" t="n">
        <f aca="false">Model!BJ160</f>
        <v>-3868819.84459988</v>
      </c>
      <c r="V45" s="23" t="n">
        <f aca="false">Model!BM160</f>
        <v>-5740714.71291995</v>
      </c>
      <c r="W45" s="23" t="n">
        <f aca="false">Model!BP160</f>
        <v>-7586489.91971362</v>
      </c>
      <c r="X45" s="23" t="n">
        <f aca="false">Model!BS160</f>
        <v>-9413808.48490089</v>
      </c>
      <c r="Y45" s="23" t="n">
        <f aca="false">Model!BV160</f>
        <v>-11217941.353221</v>
      </c>
      <c r="Z45" s="23" t="n">
        <f aca="false">Model!BY160</f>
        <v>-13059512.1189074</v>
      </c>
      <c r="AA45" s="23" t="n">
        <f aca="false">Model!CB160</f>
        <v>-14918247.620237</v>
      </c>
      <c r="AB45" s="23" t="n">
        <f aca="false">Model!CE160</f>
        <v>-16774730.796728</v>
      </c>
      <c r="AC45" s="23" t="n">
        <f aca="false">Model!CH160</f>
        <v>-18600956.535808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266611.58</v>
      </c>
      <c r="H14" s="68" t="n">
        <f aca="false">Model!H53+Model!H54+Model!H55</f>
        <v>12631.58</v>
      </c>
      <c r="I14" s="68" t="n">
        <f aca="false">Model!I53+Model!I54+Model!I55</f>
        <v>12631.58</v>
      </c>
      <c r="J14" s="68" t="n">
        <f aca="false">Model!J53+Model!J54+Model!J55</f>
        <v>12631.58</v>
      </c>
      <c r="K14" s="68" t="n">
        <f aca="false">Model!K53+Model!K54+Model!K55</f>
        <v>12631.58</v>
      </c>
      <c r="L14" s="68" t="n">
        <f aca="false">Model!L53+Model!L54+Model!L55</f>
        <v>12631.58</v>
      </c>
      <c r="M14" s="68" t="n">
        <f aca="false">Model!M53+Model!M54+Model!M55</f>
        <v>12631.58</v>
      </c>
      <c r="N14" s="68" t="n">
        <f aca="false">Model!N53+Model!N54+Model!N55</f>
        <v>12631.58</v>
      </c>
      <c r="O14" s="68" t="n">
        <f aca="false">Model!O53+Model!O54+Model!O55</f>
        <v>12631.58</v>
      </c>
      <c r="P14" s="68" t="n">
        <f aca="false">Model!P53+Model!P54+Model!P55</f>
        <v>12631.58</v>
      </c>
      <c r="Q14" s="68" t="n">
        <f aca="false">Model!Q53+Model!Q54+Model!Q55</f>
        <v>12631.58</v>
      </c>
      <c r="R14" s="68" t="n">
        <f aca="false">Model!R53+Model!R54+Model!R55</f>
        <v>12631.58</v>
      </c>
      <c r="S14" s="68" t="n">
        <f aca="false">Model!S53+Model!S54+Model!S55</f>
        <v>12631.58</v>
      </c>
      <c r="T14" s="68" t="n">
        <f aca="false">Model!T53+Model!T54+Model!T55</f>
        <v>12631.58</v>
      </c>
      <c r="U14" s="68" t="n">
        <f aca="false">Model!U53+Model!U54+Model!U55</f>
        <v>12631.58</v>
      </c>
      <c r="V14" s="68" t="n">
        <f aca="false">Model!V53+Model!V54+Model!V55</f>
        <v>12631.58</v>
      </c>
      <c r="W14" s="68" t="n">
        <f aca="false">Model!W53+Model!W54+Model!W55</f>
        <v>12631.58</v>
      </c>
      <c r="X14" s="68" t="n">
        <f aca="false">Model!X53+Model!X54+Model!X55</f>
        <v>12631.58</v>
      </c>
      <c r="Y14" s="68" t="n">
        <f aca="false">Model!Y53+Model!Y54+Model!Y55</f>
        <v>12631.58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192797.63</v>
      </c>
      <c r="I20" s="68" t="n">
        <f aca="false">Model!I56+Model!I57+Model!I58</f>
        <v>11052.63</v>
      </c>
      <c r="J20" s="68" t="n">
        <f aca="false">Model!J56+Model!J57+Model!J58</f>
        <v>11052.63</v>
      </c>
      <c r="K20" s="68" t="n">
        <f aca="false">Model!K56+Model!K57+Model!K58</f>
        <v>11052.63</v>
      </c>
      <c r="L20" s="68" t="n">
        <f aca="false">Model!L56+Model!L57+Model!L58</f>
        <v>11052.63</v>
      </c>
      <c r="M20" s="68" t="n">
        <f aca="false">Model!M56+Model!M57+Model!M58</f>
        <v>11052.63</v>
      </c>
      <c r="N20" s="68" t="n">
        <f aca="false">Model!N56+Model!N57+Model!N58</f>
        <v>11052.63</v>
      </c>
      <c r="O20" s="68" t="n">
        <f aca="false">Model!O56+Model!O57+Model!O58</f>
        <v>11052.63</v>
      </c>
      <c r="P20" s="68" t="n">
        <f aca="false">Model!P56+Model!P57+Model!P58</f>
        <v>11052.63</v>
      </c>
      <c r="Q20" s="68" t="n">
        <f aca="false">Model!Q56+Model!Q57+Model!Q58</f>
        <v>11052.63</v>
      </c>
      <c r="R20" s="68" t="n">
        <f aca="false">Model!R56+Model!R57+Model!R58</f>
        <v>11052.63</v>
      </c>
      <c r="S20" s="68" t="n">
        <f aca="false">Model!S56+Model!S57+Model!S58</f>
        <v>11052.63</v>
      </c>
      <c r="T20" s="68" t="n">
        <f aca="false">Model!T56+Model!T57+Model!T58</f>
        <v>11052.63</v>
      </c>
      <c r="U20" s="68" t="n">
        <f aca="false">Model!U56+Model!U57+Model!U58</f>
        <v>11052.63</v>
      </c>
      <c r="V20" s="68" t="n">
        <f aca="false">Model!V56+Model!V57+Model!V58</f>
        <v>11052.63</v>
      </c>
      <c r="W20" s="68" t="n">
        <f aca="false">Model!W56+Model!W57+Model!W58</f>
        <v>11052.63</v>
      </c>
      <c r="X20" s="68" t="n">
        <f aca="false">Model!X56+Model!X57+Model!X58</f>
        <v>11052.63</v>
      </c>
      <c r="Y20" s="68" t="n">
        <f aca="false">Model!Y56+Model!Y57+Model!Y58</f>
        <v>11052.63</v>
      </c>
      <c r="Z20" s="68" t="n">
        <f aca="false">Model!Z56+Model!Z57+Model!Z58</f>
        <v>11052.63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1134400.23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-4486236.70753333</v>
      </c>
      <c r="C42" s="89" t="n">
        <f aca="false">'Annual Summary'!C15</f>
        <v>-7885027.9313</v>
      </c>
      <c r="D42" s="89" t="n">
        <f aca="false">'Annual Summary'!D15</f>
        <v>-6879729.521626</v>
      </c>
      <c r="E42" s="89" t="n">
        <f aca="false">'Annual Summary'!E15</f>
        <v>-5646418.06125852</v>
      </c>
      <c r="F42" s="89" t="n">
        <f aca="false">'Annual Summary'!F15</f>
        <v>-5759346.42248369</v>
      </c>
      <c r="G42" s="89" t="n">
        <f aca="false">'Annual Summary'!G15</f>
        <v>-5874533.35093336</v>
      </c>
      <c r="H42" s="89" t="n">
        <f aca="false">'Annual Summary'!H15</f>
        <v>-5992024.01795203</v>
      </c>
      <c r="I42" s="89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2595744.04175295</v>
      </c>
      <c r="C43" s="77" t="n">
        <f aca="false">'Annual Summary'!C16</f>
        <v>4026418.45719282</v>
      </c>
      <c r="D43" s="77" t="n">
        <f aca="false">'Annual Summary'!D16</f>
        <v>3329673.59902392</v>
      </c>
      <c r="E43" s="77" t="n">
        <f aca="false">'Annual Summary'!E16</f>
        <v>-1589475.17908149</v>
      </c>
      <c r="F43" s="77" t="n">
        <f aca="false">'Annual Summary'!F16</f>
        <v>-4036236.75581702</v>
      </c>
      <c r="G43" s="77" t="n">
        <f aca="false">'Annual Summary'!G16</f>
        <v>-5874533.35093336</v>
      </c>
      <c r="H43" s="77" t="n">
        <f aca="false">'Annual Summary'!H16</f>
        <v>-5992024.01795203</v>
      </c>
      <c r="I43" s="77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-1411304.37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-436131.89</v>
      </c>
      <c r="C50" s="91" t="n">
        <f aca="false">'Annual Summary'!C43</f>
        <v>-3084254.73828545</v>
      </c>
      <c r="D50" s="91" t="n">
        <f aca="false">'Annual Summary'!D43</f>
        <v>-4606783.84578545</v>
      </c>
      <c r="E50" s="91" t="n">
        <f aca="false">'Annual Summary'!E43</f>
        <v>-6418608.00643545</v>
      </c>
      <c r="F50" s="91" t="n">
        <f aca="false">'Annual Summary'!F43</f>
        <v>-8011668.65029845</v>
      </c>
      <c r="G50" s="91" t="n">
        <f aca="false">'Annual Summary'!G43</f>
        <v>-9517314.9870387</v>
      </c>
      <c r="H50" s="91" t="n">
        <f aca="false">'Annual Summary'!H43</f>
        <v>-10886213.2809138</v>
      </c>
      <c r="I50" s="91" t="n">
        <f aca="false">'Annual Summary'!I43</f>
        <v>-11207053.6755822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4247659.73175295</v>
      </c>
      <c r="C52" s="91" t="n">
        <f aca="false">'Annual Summary'!C42</f>
        <v>8274078.18894577</v>
      </c>
      <c r="D52" s="91" t="n">
        <f aca="false">'Annual Summary'!D42</f>
        <v>11603751.7879697</v>
      </c>
      <c r="E52" s="91" t="n">
        <f aca="false">'Annual Summary'!E42</f>
        <v>10014276.6088882</v>
      </c>
      <c r="F52" s="91" t="n">
        <f aca="false">'Annual Summary'!F42</f>
        <v>5978039.85307118</v>
      </c>
      <c r="G52" s="91" t="n">
        <f aca="false">'Annual Summary'!G42</f>
        <v>103506.502137813</v>
      </c>
      <c r="H52" s="91" t="n">
        <f aca="false">'Annual Summary'!H42</f>
        <v>-5888517.51581422</v>
      </c>
      <c r="I52" s="91" t="n">
        <f aca="false">'Annual Summary'!I42</f>
        <v>-7393902.86022581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4247659.73175295</v>
      </c>
      <c r="C71" s="81" t="n">
        <f aca="false">'Annual Summary'!C42</f>
        <v>8274078.18894577</v>
      </c>
      <c r="D71" s="81" t="n">
        <f aca="false">'Annual Summary'!E42</f>
        <v>10014276.6088882</v>
      </c>
      <c r="E71" s="81" t="n">
        <f aca="false">'Annual Summary'!G42</f>
        <v>103506.502137813</v>
      </c>
      <c r="F71" s="81" t="n">
        <f aca="false">'Annual Summary'!I42</f>
        <v>-7393902.86022581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-436131.89</v>
      </c>
      <c r="C72" s="97" t="n">
        <f aca="false">'Annual Summary'!C43</f>
        <v>-3084254.73828545</v>
      </c>
      <c r="D72" s="97" t="n">
        <f aca="false">'Annual Summary'!E43</f>
        <v>-6418608.00643545</v>
      </c>
      <c r="E72" s="97" t="n">
        <f aca="false">'Annual Summary'!G43</f>
        <v>-9517314.9870387</v>
      </c>
      <c r="F72" s="97" t="n">
        <f aca="false">'Annual Summary'!I43</f>
        <v>-11207053.6755822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-436131.89</v>
      </c>
      <c r="C100" s="81" t="n">
        <f aca="false">'Annual Summary'!C43</f>
        <v>-3084254.73828545</v>
      </c>
      <c r="D100" s="81" t="n">
        <f aca="false">'Annual Summary'!D43</f>
        <v>-4606783.84578545</v>
      </c>
      <c r="E100" s="81" t="n">
        <f aca="false">'Annual Summary'!E43</f>
        <v>-6418608.00643545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-224311.835376667</v>
      </c>
      <c r="C101" s="81" t="n">
        <f aca="false">'Annual Summary'!C15*0.05</f>
        <v>-394251.396565</v>
      </c>
      <c r="D101" s="81" t="n">
        <f aca="false">'Annual Summary'!D15*0.05</f>
        <v>-343986.4760813</v>
      </c>
      <c r="E101" s="81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-660443.725376667</v>
      </c>
      <c r="C102" s="81" t="n">
        <f aca="false">C100+C101</f>
        <v>-3478506.13485045</v>
      </c>
      <c r="D102" s="81" t="n">
        <f aca="false">D100+D101</f>
        <v>-4950770.32186675</v>
      </c>
      <c r="E102" s="81" t="n">
        <f aca="false">E100+E101</f>
        <v>-6700928.90949837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-660443.725376667</v>
      </c>
      <c r="C103" s="69" t="n">
        <f aca="false">C102-C99</f>
        <v>-3478506.13485045</v>
      </c>
      <c r="D103" s="69" t="n">
        <f aca="false">D102-D99</f>
        <v>-4950770.32186675</v>
      </c>
      <c r="E103" s="69" t="n">
        <f aca="false">E102-E99</f>
        <v>-6700928.90949837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282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282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282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282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4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5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inlineStr">
        <is>
          <t>Yes</t>
        </is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>
        <f>B16</f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>
        <f>C19+D19+E19+F19+G19+H19+I19+J19</f>
        <v>7053626</v>
      </c>
      <c r="C19" s="137" t="n">
        <f aca="false">SUM(C102:K102)</f>
        <v>0</v>
      </c>
      <c r="D19" s="137">
        <f>SUM(L102:W102)</f>
        <v>768293.6599999999</v>
      </c>
      <c r="E19" s="137">
        <f>SUM(X102:AI102)</f>
        <v>3186090.3899999997</v>
      </c>
      <c r="F19" s="137">
        <f>SUM(AJ102:AU102)</f>
        <v>1863287.0100000002</v>
      </c>
      <c r="G19" s="137">
        <f>SUM(AV102:BG102)</f>
        <v>805320.4200000002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>
        <f>C21+D21+E21+F21+G21+H21+I21+J21</f>
        <v>6490433.382999999</v>
      </c>
      <c r="C21" s="137" t="n">
        <f aca="false">SUM(C104:K104)</f>
        <v>0</v>
      </c>
      <c r="D21" s="137">
        <f>SUM(L104:W104)</f>
        <v>674711.8399999999</v>
      </c>
      <c r="E21" s="137">
        <f>SUM(X104:AI104)</f>
        <v>3036090.3899999997</v>
      </c>
      <c r="F21" s="137">
        <f>SUM(AJ104:AU104)</f>
        <v>1714836.708</v>
      </c>
      <c r="G21" s="137">
        <f>SUM(AV104:BG104)</f>
        <v>668387.178</v>
      </c>
      <c r="H21" s="137">
        <f>SUM(BH104:BS104)</f>
        <v>396407.267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>
        <f>C24+D24+E24+F24+G24+H24+I24+J24</f>
        <v>4101960.074</v>
      </c>
      <c r="C24" s="139" t="n">
        <f aca="false">SUM(C107:K107)</f>
        <v>0</v>
      </c>
      <c r="D24" s="139">
        <f>SUM(L107:W107)</f>
        <v>498408.924</v>
      </c>
      <c r="E24" s="139">
        <f>SUM(X107:AI107)</f>
        <v>1850317.658</v>
      </c>
      <c r="F24" s="139">
        <f>SUM(AJ107:AU107)</f>
        <v>1049675.7745</v>
      </c>
      <c r="G24" s="139">
        <f>SUM(AV107:BG107)</f>
        <v>471126.831</v>
      </c>
      <c r="H24" s="139">
        <f>SUM(BH107:BS107)</f>
        <v>232430.88650000002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620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620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620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620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0" t="s">
        <v>624</v>
      </c>
      <c r="G48" s="151">
        <f>SUM(G44:G47)</f>
        <v>1500039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>
        <v>456000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>
        <f>B16</f>
        <v>9009665</v>
      </c>
    </row>
    <row r="61" customFormat="false" ht="15" hidden="false" customHeight="true" outlineLevel="0" collapsed="false">
      <c r="A61" s="110" t="s">
        <v>565</v>
      </c>
      <c r="B61" s="65">
        <f>B17</f>
        <v>-1500039</v>
      </c>
    </row>
    <row r="62" customFormat="false" ht="15" hidden="false" customHeight="true" outlineLevel="0" collapsed="false">
      <c r="A62" s="110" t="s">
        <v>566</v>
      </c>
      <c r="B62" s="65">
        <f>B18</f>
        <v>-456000</v>
      </c>
    </row>
    <row r="63" customFormat="false" ht="15" hidden="false" customHeight="true" outlineLevel="0" collapsed="false">
      <c r="A63" s="141" t="s">
        <v>567</v>
      </c>
      <c r="B63" s="144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1" t="s">
        <v>569</v>
      </c>
      <c r="B65" s="144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1" t="s">
        <v>571</v>
      </c>
      <c r="B67" s="144">
        <f>B65+B66</f>
        <v>3538767.4570000004</v>
      </c>
    </row>
    <row r="68" customFormat="false" ht="15" hidden="false" customHeight="true" outlineLevel="0" collapsed="false">
      <c r="A68" s="110" t="s">
        <v>568</v>
      </c>
      <c r="B68" s="65">
        <f>B20</f>
        <v>563192.617</v>
      </c>
    </row>
    <row r="69" customFormat="false" ht="15" hidden="false" customHeight="true" outlineLevel="0" collapsed="false">
      <c r="A69" s="141" t="s">
        <v>572</v>
      </c>
      <c r="B69" s="144">
        <f>B67+B68</f>
        <v>4101960.0740000005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inlineStr">
        <is>
          <t>SP Overhead is 10% of all fee revenue, capped at $150,000 per year, retained by Six Peak.</t>
        </is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inlineStr">
        <is>
          <t>Schuyler bonus: 40% on first 20 deals (Mo 10-24), 45% on next 20 (Mo 25-37), 50% on final 20 (Mo 38+). Paid on positive months only.</t>
        </is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inlineStr">
        <is>
          <t>Other OpEx: Acctg/Audit/Tax ($40K/yr), Insurance ($20K/yr), Office ($2,500/mo), Computer ($24K/yr).</t>
        </is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59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>
        <f>SUM(C100:CH100)</f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5">
        <v>0</v>
      </c>
      <c r="M100" s="165">
        <v>-10417</v>
      </c>
      <c r="N100" s="165">
        <v>-10417</v>
      </c>
      <c r="O100" s="165">
        <v>-10417</v>
      </c>
      <c r="P100" s="165">
        <v>-17917</v>
      </c>
      <c r="Q100" s="165">
        <v>-17917</v>
      </c>
      <c r="R100" s="165">
        <v>-17917</v>
      </c>
      <c r="S100" s="165">
        <v>-17917</v>
      </c>
      <c r="T100" s="165">
        <v>-17917</v>
      </c>
      <c r="U100" s="165">
        <v>-27084</v>
      </c>
      <c r="V100" s="165">
        <v>-27084</v>
      </c>
      <c r="W100" s="165">
        <v>-27084</v>
      </c>
      <c r="X100" s="165">
        <v>-27084</v>
      </c>
      <c r="Y100" s="165">
        <v>-27084</v>
      </c>
      <c r="Z100" s="165">
        <v>-27084</v>
      </c>
      <c r="AA100" s="165">
        <v>-27084</v>
      </c>
      <c r="AB100" s="165">
        <v>-27084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customFormat="false" ht="15" hidden="false" customHeight="true" outlineLevel="0" collapsed="false">
      <c r="A101" s="163" t="s">
        <v>566</v>
      </c>
      <c r="B101" s="164">
        <f>SUM(C101:CH101)</f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>
        <v>-9500</v>
      </c>
      <c r="M101" s="165">
        <v>-9500</v>
      </c>
      <c r="N101" s="165">
        <v>-9500</v>
      </c>
      <c r="O101" s="165">
        <v>-9500</v>
      </c>
      <c r="P101" s="165">
        <v>-9500</v>
      </c>
      <c r="Q101" s="165">
        <v>-9500</v>
      </c>
      <c r="R101" s="165">
        <v>-9500</v>
      </c>
      <c r="S101" s="165">
        <v>-9500</v>
      </c>
      <c r="T101" s="165">
        <v>-9500</v>
      </c>
      <c r="U101" s="165">
        <v>-9500</v>
      </c>
      <c r="V101" s="165">
        <v>-9500</v>
      </c>
      <c r="W101" s="165">
        <v>-9500</v>
      </c>
      <c r="X101" s="165">
        <v>-9500</v>
      </c>
      <c r="Y101" s="165">
        <v>-9500</v>
      </c>
      <c r="Z101" s="165">
        <v>-9500</v>
      </c>
      <c r="AA101" s="165">
        <v>-9500</v>
      </c>
      <c r="AB101" s="165">
        <v>-9500</v>
      </c>
      <c r="AC101" s="165">
        <v>-9500</v>
      </c>
      <c r="AD101" s="165">
        <v>-9500</v>
      </c>
      <c r="AE101" s="165">
        <v>-9500</v>
      </c>
      <c r="AF101" s="165">
        <v>-9500</v>
      </c>
      <c r="AG101" s="165">
        <v>-9500</v>
      </c>
      <c r="AH101" s="165">
        <v>-9500</v>
      </c>
      <c r="AI101" s="165">
        <v>-9500</v>
      </c>
      <c r="AJ101" s="165">
        <v>-9500</v>
      </c>
      <c r="AK101" s="165">
        <v>-9500</v>
      </c>
      <c r="AL101" s="165">
        <v>-9500</v>
      </c>
      <c r="AM101" s="165">
        <v>-9500</v>
      </c>
      <c r="AN101" s="165">
        <v>-9500</v>
      </c>
      <c r="AO101" s="165">
        <v>-9500</v>
      </c>
      <c r="AP101" s="165">
        <v>-9500</v>
      </c>
      <c r="AQ101" s="165">
        <v>-9500</v>
      </c>
      <c r="AR101" s="165">
        <v>-9500</v>
      </c>
      <c r="AS101" s="165">
        <v>-9500</v>
      </c>
      <c r="AT101" s="165">
        <v>-9500</v>
      </c>
      <c r="AU101" s="165">
        <v>-9500</v>
      </c>
      <c r="AV101" s="165">
        <v>-9500</v>
      </c>
      <c r="AW101" s="165">
        <v>-9500</v>
      </c>
      <c r="AX101" s="165">
        <v>-9500</v>
      </c>
      <c r="AY101" s="165">
        <v>-9500</v>
      </c>
      <c r="AZ101" s="165">
        <v>-9500</v>
      </c>
      <c r="BA101" s="165">
        <v>-9500</v>
      </c>
      <c r="BB101" s="165">
        <v>-9500</v>
      </c>
      <c r="BC101" s="165">
        <v>-9500</v>
      </c>
      <c r="BD101" s="165">
        <v>-9500</v>
      </c>
      <c r="BE101" s="165">
        <v>-9500</v>
      </c>
      <c r="BF101" s="165">
        <v>-9500</v>
      </c>
      <c r="BG101" s="165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>
        <f>SUM(C102:CH102)</f>
        <v>7053625.999999999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>
        <f>L99+L100+L101</f>
        <v>35550.36</v>
      </c>
      <c r="M102" s="166">
        <f>M99+M100+M101</f>
        <v>25133.36</v>
      </c>
      <c r="N102" s="166">
        <f>N99+N100+N101</f>
        <v>25133.36</v>
      </c>
      <c r="O102" s="166">
        <f>O99+O100+O101</f>
        <v>25133.36</v>
      </c>
      <c r="P102" s="166">
        <f>P99+P100+P101</f>
        <v>17633.36</v>
      </c>
      <c r="Q102" s="166">
        <f>Q99+Q100+Q101</f>
        <v>17633.36</v>
      </c>
      <c r="R102" s="166">
        <f>R99+R100+R101</f>
        <v>43527.520000000004</v>
      </c>
      <c r="S102" s="166">
        <f>S99+S100+S101</f>
        <v>69421.68</v>
      </c>
      <c r="T102" s="166">
        <f>T99+T100+T101</f>
        <v>95315.84</v>
      </c>
      <c r="U102" s="166">
        <f>U99+U100+U101</f>
        <v>112042.98999999999</v>
      </c>
      <c r="V102" s="166">
        <f>V99+V100+V101</f>
        <v>137937.16</v>
      </c>
      <c r="W102" s="166">
        <f>W99+W100+W101</f>
        <v>163831.31</v>
      </c>
      <c r="X102" s="166">
        <f>X99+X100+X101</f>
        <v>189725.46</v>
      </c>
      <c r="Y102" s="166">
        <f>Y99+Y100+Y101</f>
        <v>215619.62</v>
      </c>
      <c r="Z102" s="166">
        <f>Z99+Z100+Z101</f>
        <v>241513.78999999998</v>
      </c>
      <c r="AA102" s="166">
        <f>AA99+AA100+AA101</f>
        <v>267407.94</v>
      </c>
      <c r="AB102" s="166">
        <f>AB99+AB100+AB101</f>
        <v>293302.11</v>
      </c>
      <c r="AC102" s="166">
        <f>AC99+AC100+AC101</f>
        <v>353829.61</v>
      </c>
      <c r="AD102" s="166">
        <f>AD99+AD100+AD101</f>
        <v>264511.01</v>
      </c>
      <c r="AE102" s="166">
        <f>AE99+AE100+AE101</f>
        <v>265293.13</v>
      </c>
      <c r="AF102" s="166">
        <f>AF99+AF100+AF101</f>
        <v>266075.23</v>
      </c>
      <c r="AG102" s="166">
        <f>AG99+AG100+AG101</f>
        <v>266857.34</v>
      </c>
      <c r="AH102" s="166">
        <f>AH99+AH100+AH101</f>
        <v>267639.44</v>
      </c>
      <c r="AI102" s="166">
        <f>AI99+AI100+AI101</f>
        <v>294315.71</v>
      </c>
      <c r="AJ102" s="166">
        <f>AJ99+AJ100+AJ101</f>
        <v>269203.67</v>
      </c>
      <c r="AK102" s="166">
        <f>AK99+AK100+AK101</f>
        <v>244091.62</v>
      </c>
      <c r="AL102" s="166">
        <f>AL99+AL100+AL101</f>
        <v>218979.57</v>
      </c>
      <c r="AM102" s="166">
        <f>AM99+AM100+AM101</f>
        <v>193867.51</v>
      </c>
      <c r="AN102" s="166">
        <f>AN99+AN100+AN101</f>
        <v>168755.47</v>
      </c>
      <c r="AO102" s="166">
        <f>AO99+AO100+AO101</f>
        <v>143643.42</v>
      </c>
      <c r="AP102" s="166">
        <f>AP99+AP100+AP101</f>
        <v>118531.35999999999</v>
      </c>
      <c r="AQ102" s="166">
        <f>AQ99+AQ100+AQ101</f>
        <v>93419.32</v>
      </c>
      <c r="AR102" s="166">
        <f>AR99+AR100+AR101</f>
        <v>68307.27</v>
      </c>
      <c r="AS102" s="166">
        <f>AS99+AS100+AS101</f>
        <v>149094.1</v>
      </c>
      <c r="AT102" s="166">
        <f>AT99+AT100+AT101</f>
        <v>123199.95000000001</v>
      </c>
      <c r="AU102" s="166">
        <f>AU99+AU100+AU101</f>
        <v>72193.75</v>
      </c>
      <c r="AV102" s="166">
        <f>AV99+AV100+AV101</f>
        <v>71411.64</v>
      </c>
      <c r="AW102" s="166">
        <f>AW99+AW100+AW101</f>
        <v>70629.52</v>
      </c>
      <c r="AX102" s="166">
        <f>AX99+AX100+AX101</f>
        <v>69847.42</v>
      </c>
      <c r="AY102" s="166">
        <f>AY99+AY100+AY101</f>
        <v>69065.31</v>
      </c>
      <c r="AZ102" s="166">
        <f>AZ99+AZ100+AZ101</f>
        <v>68283.2</v>
      </c>
      <c r="BA102" s="166">
        <f>BA99+BA100+BA101</f>
        <v>67501.09</v>
      </c>
      <c r="BB102" s="166">
        <f>BB99+BB100+BB101</f>
        <v>66718.98</v>
      </c>
      <c r="BC102" s="166">
        <f>BC99+BC100+BC101</f>
        <v>65936.87</v>
      </c>
      <c r="BD102" s="166">
        <f>BD99+BD100+BD101</f>
        <v>65154.759999999995</v>
      </c>
      <c r="BE102" s="166">
        <f>BE99+BE100+BE101</f>
        <v>64372.649999999994</v>
      </c>
      <c r="BF102" s="166">
        <f>BF99+BF100+BF101</f>
        <v>63590.53999999999</v>
      </c>
      <c r="BG102" s="166">
        <f>BG99+BG100+BG101</f>
        <v>62808.44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>
        <f>SUM(C103:CH103)</f>
        <v>563192.6169999999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>
        <f>MIN(L99*$B$94,12500)</f>
        <v>4505.036</v>
      </c>
      <c r="M103" s="166">
        <f>MIN(M99*$B$94,12500)</f>
        <v>4505.036</v>
      </c>
      <c r="N103" s="166">
        <f>MIN(N99*$B$94,12500)</f>
        <v>4505.036</v>
      </c>
      <c r="O103" s="166">
        <f>MIN(O99*$B$94,12500)</f>
        <v>4505.036</v>
      </c>
      <c r="P103" s="166">
        <f>MIN(P99*$B$94,12500)</f>
        <v>4505.036</v>
      </c>
      <c r="Q103" s="166">
        <f>MIN(Q99*$B$94,12500)</f>
        <v>4505.036</v>
      </c>
      <c r="R103" s="166">
        <f>MIN(R99*$B$94,12500)</f>
        <v>7094.452000000001</v>
      </c>
      <c r="S103" s="166">
        <f>MIN(S99*$B$94,12500)</f>
        <v>9683.868</v>
      </c>
      <c r="T103" s="166">
        <f>MIN(T99*$B$94,12500)</f>
        <v>12273.284</v>
      </c>
      <c r="U103" s="166">
        <f>MIN(U99*$B$94,12500)</f>
        <v>12500</v>
      </c>
      <c r="V103" s="166">
        <f>MIN(V99*$B$94,12500)</f>
        <v>12500</v>
      </c>
      <c r="W103" s="166">
        <f>MIN(W99*$B$94,12500)</f>
        <v>12500</v>
      </c>
      <c r="X103" s="166">
        <f>MIN(X99*$B$94,12500)</f>
        <v>12500</v>
      </c>
      <c r="Y103" s="166">
        <f>MIN(Y99*$B$94,12500)</f>
        <v>12500</v>
      </c>
      <c r="Z103" s="166">
        <f>MIN(Z99*$B$94,12500)</f>
        <v>12500</v>
      </c>
      <c r="AA103" s="166">
        <f>MIN(AA99*$B$94,12500)</f>
        <v>12500</v>
      </c>
      <c r="AB103" s="166">
        <f>MIN(AB99*$B$94,12500)</f>
        <v>12500</v>
      </c>
      <c r="AC103" s="166">
        <f>MIN(AC99*$B$94,12500)</f>
        <v>12500</v>
      </c>
      <c r="AD103" s="166">
        <f>MIN(AD99*$B$94,12500)</f>
        <v>12500</v>
      </c>
      <c r="AE103" s="166">
        <f>MIN(AE99*$B$94,12500)</f>
        <v>12500</v>
      </c>
      <c r="AF103" s="166">
        <f>MIN(AF99*$B$94,12500)</f>
        <v>12500</v>
      </c>
      <c r="AG103" s="166">
        <f>MIN(AG99*$B$94,12500)</f>
        <v>12500</v>
      </c>
      <c r="AH103" s="166">
        <f>MIN(AH99*$B$94,12500)</f>
        <v>12500</v>
      </c>
      <c r="AI103" s="166">
        <f>MIN(AI99*$B$94,12500)</f>
        <v>12500</v>
      </c>
      <c r="AJ103" s="166">
        <f>MIN(AJ99*$B$94,12500)</f>
        <v>12500</v>
      </c>
      <c r="AK103" s="166">
        <f>MIN(AK99*$B$94,12500)</f>
        <v>12500</v>
      </c>
      <c r="AL103" s="166">
        <f>MIN(AL99*$B$94,12500)</f>
        <v>12500</v>
      </c>
      <c r="AM103" s="166">
        <f>MIN(AM99*$B$94,12500)</f>
        <v>12500</v>
      </c>
      <c r="AN103" s="166">
        <f>MIN(AN99*$B$94,12500)</f>
        <v>12500</v>
      </c>
      <c r="AO103" s="166">
        <f>MIN(AO99*$B$94,12500)</f>
        <v>12500</v>
      </c>
      <c r="AP103" s="166">
        <f>MIN(AP99*$B$94,12500)</f>
        <v>12500</v>
      </c>
      <c r="AQ103" s="166">
        <f>MIN(AQ99*$B$94,12500)</f>
        <v>12500</v>
      </c>
      <c r="AR103" s="166">
        <f>MIN(AR99*$B$94,12500)</f>
        <v>11530.827000000001</v>
      </c>
      <c r="AS103" s="166">
        <f>MIN(AS99*$B$94,12500)</f>
        <v>12500</v>
      </c>
      <c r="AT103" s="166">
        <f>MIN(AT99*$B$94,12500)</f>
        <v>12500</v>
      </c>
      <c r="AU103" s="166">
        <f>MIN(AU99*$B$94,12500)</f>
        <v>11919.475</v>
      </c>
      <c r="AV103" s="166">
        <f>MIN(AV99*$B$94,12500)</f>
        <v>11841.264000000001</v>
      </c>
      <c r="AW103" s="166">
        <f>MIN(AW99*$B$94,12500)</f>
        <v>11763.052000000001</v>
      </c>
      <c r="AX103" s="166">
        <f>MIN(AX99*$B$94,12500)</f>
        <v>11684.842</v>
      </c>
      <c r="AY103" s="166">
        <f>MIN(AY99*$B$94,12500)</f>
        <v>11606.631000000001</v>
      </c>
      <c r="AZ103" s="166">
        <f>MIN(AZ99*$B$94,12500)</f>
        <v>11528.42</v>
      </c>
      <c r="BA103" s="166">
        <f>MIN(BA99*$B$94,12500)</f>
        <v>11450.209</v>
      </c>
      <c r="BB103" s="166">
        <f>MIN(BB99*$B$94,12500)</f>
        <v>11371.998</v>
      </c>
      <c r="BC103" s="166">
        <f>MIN(BC99*$B$94,12500)</f>
        <v>11293.787</v>
      </c>
      <c r="BD103" s="166">
        <f>MIN(BD99*$B$94,12500)</f>
        <v>11215.576000000001</v>
      </c>
      <c r="BE103" s="166">
        <f>MIN(BE99*$B$94,12500)</f>
        <v>11137.365</v>
      </c>
      <c r="BF103" s="166">
        <f>MIN(BF99*$B$94,12500)</f>
        <v>11059.154</v>
      </c>
      <c r="BG103" s="166">
        <f>MIN(BG99*$B$94,12500)</f>
        <v>10980.944000000001</v>
      </c>
      <c r="BH103" s="166">
        <f>MIN(BH99*$B$94,12500)</f>
        <v>10902.732000000002</v>
      </c>
      <c r="BI103" s="166">
        <f>MIN(BI99*$B$94,12500)</f>
        <v>10824.521</v>
      </c>
      <c r="BJ103" s="166">
        <f>MIN(BJ99*$B$94,12500)</f>
        <v>12500</v>
      </c>
      <c r="BK103" s="166">
        <f>MIN(BK99*$B$94,12500)</f>
        <v>0</v>
      </c>
      <c r="BL103" s="166">
        <f>MIN(BL99*$B$94,12500)</f>
        <v>0</v>
      </c>
      <c r="BM103" s="166">
        <f>MIN(BM99*$B$94,12500)</f>
        <v>0</v>
      </c>
      <c r="BN103" s="166">
        <f>MIN(BN99*$B$94,12500)</f>
        <v>0</v>
      </c>
      <c r="BO103" s="166">
        <f>MIN(BO99*$B$94,12500)</f>
        <v>0</v>
      </c>
      <c r="BP103" s="166">
        <f>MIN(BP99*$B$94,12500)</f>
        <v>0</v>
      </c>
      <c r="BQ103" s="166">
        <f>MIN(BQ99*$B$94,12500)</f>
        <v>0</v>
      </c>
      <c r="BR103" s="166">
        <f>MIN(BR99*$B$94,12500)</f>
        <v>0</v>
      </c>
      <c r="BS103" s="166">
        <f>MIN(BS99*$B$94,12500)</f>
        <v>0</v>
      </c>
      <c r="BT103" s="166">
        <f>MIN(BT99*$B$94,12500)</f>
        <v>0</v>
      </c>
      <c r="BU103" s="166">
        <f>MIN(BU99*$B$94,12500)</f>
        <v>0</v>
      </c>
      <c r="BV103" s="166">
        <f>MIN(BV99*$B$94,12500)</f>
        <v>0</v>
      </c>
      <c r="BW103" s="166">
        <f>MIN(BW99*$B$94,12500)</f>
        <v>0</v>
      </c>
      <c r="BX103" s="166">
        <f>MIN(BX99*$B$94,12500)</f>
        <v>0</v>
      </c>
      <c r="BY103" s="166">
        <f>MIN(BY99*$B$94,12500)</f>
        <v>0</v>
      </c>
      <c r="BZ103" s="166">
        <f>MIN(BZ99*$B$94,12500)</f>
        <v>0</v>
      </c>
      <c r="CA103" s="166">
        <f>MIN(CA99*$B$94,12500)</f>
        <v>0</v>
      </c>
      <c r="CB103" s="166">
        <f>MIN(CB99*$B$94,12500)</f>
        <v>0</v>
      </c>
      <c r="CC103" s="166">
        <f>MIN(CC99*$B$94,12500)</f>
        <v>0</v>
      </c>
      <c r="CD103" s="166">
        <f>MIN(CD99*$B$94,12500)</f>
        <v>0</v>
      </c>
      <c r="CE103" s="166">
        <f>MIN(CE99*$B$94,12500)</f>
        <v>0</v>
      </c>
      <c r="CF103" s="166">
        <f>MIN(CF99*$B$94,12500)</f>
        <v>0</v>
      </c>
      <c r="CG103" s="166">
        <f>MIN(CG99*$B$94,12500)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>
        <f>SUM(C104:CH104)</f>
        <v>6490433.383000001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>
        <f>L102-L103</f>
        <v>31045.324</v>
      </c>
      <c r="M104" s="166">
        <f>M102-M103</f>
        <v>20628.324</v>
      </c>
      <c r="N104" s="166">
        <f>N102-N103</f>
        <v>20628.324</v>
      </c>
      <c r="O104" s="166">
        <f>O102-O103</f>
        <v>20628.324</v>
      </c>
      <c r="P104" s="166">
        <f>P102-P103</f>
        <v>13128.324</v>
      </c>
      <c r="Q104" s="166">
        <f>Q102-Q103</f>
        <v>13128.324</v>
      </c>
      <c r="R104" s="166">
        <f>R102-R103</f>
        <v>36433.068</v>
      </c>
      <c r="S104" s="166">
        <f>S102-S103</f>
        <v>59737.81199999999</v>
      </c>
      <c r="T104" s="166">
        <f>T102-T103</f>
        <v>83042.556</v>
      </c>
      <c r="U104" s="166">
        <f>U102-U103</f>
        <v>99542.98999999999</v>
      </c>
      <c r="V104" s="166">
        <f>V102-V103</f>
        <v>125437.16</v>
      </c>
      <c r="W104" s="166">
        <f>W102-W103</f>
        <v>151331.31</v>
      </c>
      <c r="X104" s="166">
        <f>X102-X103</f>
        <v>177225.46</v>
      </c>
      <c r="Y104" s="166">
        <f>Y102-Y103</f>
        <v>203119.62</v>
      </c>
      <c r="Z104" s="166">
        <f>Z102-Z103</f>
        <v>229013.78999999998</v>
      </c>
      <c r="AA104" s="166">
        <f>AA102-AA103</f>
        <v>254907.94</v>
      </c>
      <c r="AB104" s="166">
        <f>AB102-AB103</f>
        <v>280802.11</v>
      </c>
      <c r="AC104" s="166">
        <f>AC102-AC103</f>
        <v>341329.61</v>
      </c>
      <c r="AD104" s="166">
        <f>AD102-AD103</f>
        <v>252011.01</v>
      </c>
      <c r="AE104" s="166">
        <f>AE102-AE103</f>
        <v>252793.13</v>
      </c>
      <c r="AF104" s="166">
        <f>AF102-AF103</f>
        <v>253575.22999999998</v>
      </c>
      <c r="AG104" s="166">
        <f>AG102-AG103</f>
        <v>254357.34000000003</v>
      </c>
      <c r="AH104" s="166">
        <f>AH102-AH103</f>
        <v>255139.44</v>
      </c>
      <c r="AI104" s="166">
        <f>AI102-AI103</f>
        <v>281815.71</v>
      </c>
      <c r="AJ104" s="166">
        <f>AJ102-AJ103</f>
        <v>256703.66999999998</v>
      </c>
      <c r="AK104" s="166">
        <f>AK102-AK103</f>
        <v>231591.62</v>
      </c>
      <c r="AL104" s="166">
        <f>AL102-AL103</f>
        <v>206479.57</v>
      </c>
      <c r="AM104" s="166">
        <f>AM102-AM103</f>
        <v>181367.51</v>
      </c>
      <c r="AN104" s="166">
        <f>AN102-AN103</f>
        <v>156255.47</v>
      </c>
      <c r="AO104" s="166">
        <f>AO102-AO103</f>
        <v>131143.42</v>
      </c>
      <c r="AP104" s="166">
        <f>AP102-AP103</f>
        <v>106031.35999999999</v>
      </c>
      <c r="AQ104" s="166">
        <f>AQ102-AQ103</f>
        <v>80919.32</v>
      </c>
      <c r="AR104" s="166">
        <f>AR102-AR103</f>
        <v>56776.443</v>
      </c>
      <c r="AS104" s="166">
        <f>AS102-AS103</f>
        <v>136594.1</v>
      </c>
      <c r="AT104" s="166">
        <f>AT102-AT103</f>
        <v>110699.95000000001</v>
      </c>
      <c r="AU104" s="166">
        <f>AU102-AU103</f>
        <v>60274.275</v>
      </c>
      <c r="AV104" s="166">
        <f>AV102-AV103</f>
        <v>59570.376</v>
      </c>
      <c r="AW104" s="166">
        <f>AW102-AW103</f>
        <v>58866.468</v>
      </c>
      <c r="AX104" s="166">
        <f>AX102-AX103</f>
        <v>58162.577999999994</v>
      </c>
      <c r="AY104" s="166">
        <f>AY102-AY103</f>
        <v>57458.679</v>
      </c>
      <c r="AZ104" s="166">
        <f>AZ102-AZ103</f>
        <v>56754.78</v>
      </c>
      <c r="BA104" s="166">
        <f>BA102-BA103</f>
        <v>56050.880999999994</v>
      </c>
      <c r="BB104" s="166">
        <f>BB102-BB103</f>
        <v>55346.981999999996</v>
      </c>
      <c r="BC104" s="166">
        <f>BC102-BC103</f>
        <v>54643.083</v>
      </c>
      <c r="BD104" s="166">
        <f>BD102-BD103</f>
        <v>53939.183999999994</v>
      </c>
      <c r="BE104" s="166">
        <f>BE102-BE103</f>
        <v>53235.284999999996</v>
      </c>
      <c r="BF104" s="166">
        <f>BF102-BF103</f>
        <v>52531.38599999999</v>
      </c>
      <c r="BG104" s="166">
        <f>BG102-BG103</f>
        <v>51827.496</v>
      </c>
      <c r="BH104" s="166" t="n">
        <f aca="false">BH102-BH103</f>
        <v>98124.588</v>
      </c>
      <c r="BI104" s="166" t="n">
        <f aca="false">BI102-BI103</f>
        <v>97420.689</v>
      </c>
      <c r="BJ104" s="166">
        <f>BJ102-BJ103</f>
        <v>200861.99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inlineStr">
        <is>
          <t>Schuyler Bonus (40/45/50%)</t>
        </is>
      </c>
      <c r="B105" s="164">
        <f>SUM(C105:CH105)</f>
        <v>2951665.926000001</v>
      </c>
      <c r="C105" s="166">
        <v>0</v>
      </c>
      <c r="D105" s="166">
        <v>0</v>
      </c>
      <c r="E105" s="166">
        <v>0</v>
      </c>
      <c r="F105" s="166">
        <v>0</v>
      </c>
      <c r="G105" s="166">
        <v>0</v>
      </c>
      <c r="H105" s="166">
        <v>0</v>
      </c>
      <c r="I105" s="166">
        <v>0</v>
      </c>
      <c r="J105" s="166">
        <v>0</v>
      </c>
      <c r="K105" s="166">
        <v>0</v>
      </c>
      <c r="L105" s="166">
        <f>MAX(0,L104)*0.4</f>
        <v>12418.1296</v>
      </c>
      <c r="M105" s="166">
        <f>MAX(0,M104)*0.4</f>
        <v>8251.329600000001</v>
      </c>
      <c r="N105" s="166">
        <f>MAX(0,N104)*0.4</f>
        <v>8251.329600000001</v>
      </c>
      <c r="O105" s="166">
        <f>MAX(0,O104)*0.4</f>
        <v>8251.329600000001</v>
      </c>
      <c r="P105" s="166">
        <f>MAX(0,P104)*0.4</f>
        <v>5251.329600000001</v>
      </c>
      <c r="Q105" s="166">
        <f>MAX(0,Q104)*0.4</f>
        <v>5251.329600000001</v>
      </c>
      <c r="R105" s="166">
        <f>MAX(0,R104)*0.4</f>
        <v>14573.227200000001</v>
      </c>
      <c r="S105" s="166">
        <f>MAX(0,S104)*0.4</f>
        <v>23895.124799999998</v>
      </c>
      <c r="T105" s="166">
        <f>MAX(0,T104)*0.4</f>
        <v>33217.0224</v>
      </c>
      <c r="U105" s="166">
        <f>MAX(0,U104)*0.4</f>
        <v>39817.195999999996</v>
      </c>
      <c r="V105" s="166">
        <f>MAX(0,V104)*0.4</f>
        <v>50174.864</v>
      </c>
      <c r="W105" s="166">
        <f>MAX(0,W104)*0.4</f>
        <v>60532.524000000005</v>
      </c>
      <c r="X105" s="166">
        <f>MAX(0,X104)*0.4</f>
        <v>70890.184</v>
      </c>
      <c r="Y105" s="166">
        <f>MAX(0,Y104)*0.4</f>
        <v>81247.848</v>
      </c>
      <c r="Z105" s="166">
        <f>MAX(0,Z104)*0.4</f>
        <v>91605.516</v>
      </c>
      <c r="AA105" s="166">
        <f>MAX(0,AA104)*0.45</f>
        <v>114708.573</v>
      </c>
      <c r="AB105" s="166">
        <f>MAX(0,AB104)*0.45</f>
        <v>126360.9495</v>
      </c>
      <c r="AC105" s="166">
        <f>MAX(0,AC104)*0.45</f>
        <v>153598.3245</v>
      </c>
      <c r="AD105" s="166">
        <f>MAX(0,AD104)*0.45</f>
        <v>113404.9545</v>
      </c>
      <c r="AE105" s="166">
        <f>MAX(0,AE104)*0.45</f>
        <v>113756.9085</v>
      </c>
      <c r="AF105" s="166">
        <f>MAX(0,AF104)*0.45</f>
        <v>114108.8535</v>
      </c>
      <c r="AG105" s="166">
        <f>MAX(0,AG104)*0.45</f>
        <v>114460.80300000001</v>
      </c>
      <c r="AH105" s="166">
        <f>MAX(0,AH104)*0.45</f>
        <v>114812.748</v>
      </c>
      <c r="AI105" s="166">
        <f>MAX(0,AI104)*0.45</f>
        <v>126817.06950000001</v>
      </c>
      <c r="AJ105" s="166">
        <f>MAX(0,AJ104)*0.45</f>
        <v>115516.65149999999</v>
      </c>
      <c r="AK105" s="166">
        <f>MAX(0,AK104)*0.45</f>
        <v>104216.229</v>
      </c>
      <c r="AL105" s="166">
        <f>MAX(0,AL104)*0.45</f>
        <v>92915.8065</v>
      </c>
      <c r="AM105" s="166">
        <f>MAX(0,AM104)*0.45</f>
        <v>81615.37950000001</v>
      </c>
      <c r="AN105" s="166">
        <f>MAX(0,AN104)*0.5</f>
        <v>78127.735</v>
      </c>
      <c r="AO105" s="166">
        <f>MAX(0,AO104)*0.5</f>
        <v>65571.71</v>
      </c>
      <c r="AP105" s="166">
        <f>MAX(0,AP104)*0.5</f>
        <v>53015.67999999999</v>
      </c>
      <c r="AQ105" s="166">
        <f>MAX(0,AQ104)*0.5</f>
        <v>40459.66</v>
      </c>
      <c r="AR105" s="166">
        <f>MAX(0,AR104)*0.5</f>
        <v>28388.2215</v>
      </c>
      <c r="AS105" s="166">
        <f>MAX(0,AS104)*0.5</f>
        <v>68297.05</v>
      </c>
      <c r="AT105" s="166">
        <f>MAX(0,AT104)*0.5</f>
        <v>55349.975000000006</v>
      </c>
      <c r="AU105" s="166">
        <f>MAX(0,AU104)*0.5</f>
        <v>30137.1375</v>
      </c>
      <c r="AV105" s="166">
        <f>MAX(0,AV104)*0.5</f>
        <v>29785.188</v>
      </c>
      <c r="AW105" s="166">
        <f>MAX(0,AW104)*0.5</f>
        <v>29433.234</v>
      </c>
      <c r="AX105" s="166">
        <f>MAX(0,AX104)*0.5</f>
        <v>29081.288999999997</v>
      </c>
      <c r="AY105" s="166">
        <f>MAX(0,AY104)*0.5</f>
        <v>28729.3395</v>
      </c>
      <c r="AZ105" s="166">
        <f>MAX(0,AZ104)*0.5</f>
        <v>28377.39</v>
      </c>
      <c r="BA105" s="166">
        <f>MAX(0,BA104)*0.5</f>
        <v>28025.440499999997</v>
      </c>
      <c r="BB105" s="166">
        <f>MAX(0,BB104)*0.5</f>
        <v>27673.490999999998</v>
      </c>
      <c r="BC105" s="166">
        <f>MAX(0,BC104)*0.5</f>
        <v>27321.5415</v>
      </c>
      <c r="BD105" s="166">
        <f>MAX(0,BD104)*0.5</f>
        <v>26969.591999999997</v>
      </c>
      <c r="BE105" s="166">
        <f>MAX(0,BE104)*0.5</f>
        <v>26617.642499999998</v>
      </c>
      <c r="BF105" s="166">
        <f>MAX(0,BF104)*0.5</f>
        <v>26265.692999999996</v>
      </c>
      <c r="BG105" s="166">
        <f>MAX(0,BG104)*0.5</f>
        <v>25913.748</v>
      </c>
      <c r="BH105" s="166">
        <f>MAX(0,BH104)*0.5</f>
        <v>49062.294</v>
      </c>
      <c r="BI105" s="166">
        <f>MAX(0,BI104)*0.5</f>
        <v>48710.34450000001</v>
      </c>
      <c r="BJ105" s="166">
        <f>MAX(0,BJ104)*0.5</f>
        <v>100430.995</v>
      </c>
      <c r="BK105" s="166">
        <f>MAX(0,BK104)*0.5</f>
        <v>0</v>
      </c>
      <c r="BL105" s="166">
        <f>MAX(0,BL104)*0.5</f>
        <v>0</v>
      </c>
      <c r="BM105" s="166">
        <f>MAX(0,BM104)*0.5</f>
        <v>0</v>
      </c>
      <c r="BN105" s="166">
        <f>MAX(0,BN104)*0.5</f>
        <v>0</v>
      </c>
      <c r="BO105" s="166">
        <f>MAX(0,BO104)*0.5</f>
        <v>0</v>
      </c>
      <c r="BP105" s="166">
        <f>MAX(0,BP104)*0.5</f>
        <v>0</v>
      </c>
      <c r="BQ105" s="166">
        <f>MAX(0,BQ104)*0.5</f>
        <v>0</v>
      </c>
      <c r="BR105" s="166">
        <f>MAX(0,BR104)*0.5</f>
        <v>0</v>
      </c>
      <c r="BS105" s="166">
        <f>MAX(0,BS104)*0.5</f>
        <v>0</v>
      </c>
      <c r="BT105" s="166">
        <f>MAX(0,BT104)*0.5</f>
        <v>0</v>
      </c>
      <c r="BU105" s="166">
        <f>MAX(0,BU104)*0.5</f>
        <v>0</v>
      </c>
      <c r="BV105" s="166">
        <f>MAX(0,BV104)*0.5</f>
        <v>0</v>
      </c>
      <c r="BW105" s="166">
        <f>MAX(0,BW104)*0.5</f>
        <v>0</v>
      </c>
      <c r="BX105" s="166">
        <f>MAX(0,BX104)*0.5</f>
        <v>0</v>
      </c>
      <c r="BY105" s="166">
        <f>MAX(0,BY104)*0.5</f>
        <v>0</v>
      </c>
      <c r="BZ105" s="166">
        <f>MAX(0,BZ104)*0.5</f>
        <v>0</v>
      </c>
      <c r="CA105" s="166">
        <f>MAX(0,CA104)*0.5</f>
        <v>0</v>
      </c>
      <c r="CB105" s="166">
        <f>MAX(0,CB104)*0.5</f>
        <v>0</v>
      </c>
      <c r="CC105" s="166">
        <f>MAX(0,CC104)*0.5</f>
        <v>0</v>
      </c>
      <c r="CD105" s="166">
        <f>MAX(0,CD104)*0.5</f>
        <v>0</v>
      </c>
      <c r="CE105" s="166">
        <f>MAX(0,CE104)*0.5</f>
        <v>0</v>
      </c>
      <c r="CF105" s="166">
        <f>MAX(0,CF104)*0.5</f>
        <v>0</v>
      </c>
      <c r="CG105" s="166">
        <f>MAX(0,CG104)*0.5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>
        <f>B104-B105</f>
        <v>3538767.4570000004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>
        <f>L104-L105</f>
        <v>18627.1944</v>
      </c>
      <c r="M106" s="166">
        <f>M104-M105</f>
        <v>12376.9944</v>
      </c>
      <c r="N106" s="166">
        <f>N104-N105</f>
        <v>12376.9944</v>
      </c>
      <c r="O106" s="166">
        <f>O104-O105</f>
        <v>12376.9944</v>
      </c>
      <c r="P106" s="166">
        <f>P104-P105</f>
        <v>7876.9944</v>
      </c>
      <c r="Q106" s="166">
        <f>Q104-Q105</f>
        <v>7876.9944</v>
      </c>
      <c r="R106" s="166">
        <f>R104-R105</f>
        <v>21859.840799999998</v>
      </c>
      <c r="S106" s="166">
        <f>S104-S105</f>
        <v>35842.68719999999</v>
      </c>
      <c r="T106" s="166">
        <f>T104-T105</f>
        <v>49825.533599999995</v>
      </c>
      <c r="U106" s="166">
        <f>U104-U105</f>
        <v>59725.793999999994</v>
      </c>
      <c r="V106" s="166">
        <f>V104-V105</f>
        <v>75262.296</v>
      </c>
      <c r="W106" s="166">
        <f>W104-W105</f>
        <v>90798.786</v>
      </c>
      <c r="X106" s="166">
        <f>X104-X105</f>
        <v>106335.276</v>
      </c>
      <c r="Y106" s="166">
        <f>Y104-Y105</f>
        <v>121871.772</v>
      </c>
      <c r="Z106" s="166">
        <f>Z104-Z105</f>
        <v>137408.27399999998</v>
      </c>
      <c r="AA106" s="166">
        <f>AA104-AA105</f>
        <v>140199.367</v>
      </c>
      <c r="AB106" s="166">
        <f>AB104-AB105</f>
        <v>154441.1605</v>
      </c>
      <c r="AC106" s="166">
        <f>AC104-AC105</f>
        <v>187731.2855</v>
      </c>
      <c r="AD106" s="166">
        <f>AD104-AD105</f>
        <v>138606.05550000002</v>
      </c>
      <c r="AE106" s="166">
        <f>AE104-AE105</f>
        <v>139036.22149999999</v>
      </c>
      <c r="AF106" s="166">
        <f>AF104-AF105</f>
        <v>139466.37649999998</v>
      </c>
      <c r="AG106" s="166">
        <f>AG104-AG105</f>
        <v>139896.537</v>
      </c>
      <c r="AH106" s="166">
        <f>AH104-AH105</f>
        <v>140326.69199999998</v>
      </c>
      <c r="AI106" s="166">
        <f>AI104-AI105</f>
        <v>154998.6405</v>
      </c>
      <c r="AJ106" s="166">
        <f>AJ104-AJ105</f>
        <v>141187.0185</v>
      </c>
      <c r="AK106" s="166">
        <f>AK104-AK105</f>
        <v>127375.39099999999</v>
      </c>
      <c r="AL106" s="166">
        <f>AL104-AL105</f>
        <v>113563.7635</v>
      </c>
      <c r="AM106" s="166">
        <f>AM104-AM105</f>
        <v>99752.1305</v>
      </c>
      <c r="AN106" s="166">
        <f>AN104-AN105</f>
        <v>78127.735</v>
      </c>
      <c r="AO106" s="166">
        <f>AO104-AO105</f>
        <v>65571.71</v>
      </c>
      <c r="AP106" s="166">
        <f>AP104-AP105</f>
        <v>53015.67999999999</v>
      </c>
      <c r="AQ106" s="166">
        <f>AQ104-AQ105</f>
        <v>40459.66</v>
      </c>
      <c r="AR106" s="166">
        <f>AR104-AR105</f>
        <v>28388.2215</v>
      </c>
      <c r="AS106" s="166">
        <f>AS104-AS105</f>
        <v>68297.05</v>
      </c>
      <c r="AT106" s="166">
        <f>AT104-AT105</f>
        <v>55349.975000000006</v>
      </c>
      <c r="AU106" s="166">
        <f>AU104-AU105</f>
        <v>30137.1375</v>
      </c>
      <c r="AV106" s="166">
        <f>AV104-AV105</f>
        <v>29785.188</v>
      </c>
      <c r="AW106" s="166">
        <f>AW104-AW105</f>
        <v>29433.234</v>
      </c>
      <c r="AX106" s="166">
        <f>AX104-AX105</f>
        <v>29081.288999999997</v>
      </c>
      <c r="AY106" s="166">
        <f>AY104-AY105</f>
        <v>28729.3395</v>
      </c>
      <c r="AZ106" s="166">
        <f>AZ104-AZ105</f>
        <v>28377.39</v>
      </c>
      <c r="BA106" s="166">
        <f>BA104-BA105</f>
        <v>28025.440499999997</v>
      </c>
      <c r="BB106" s="166">
        <f>BB104-BB105</f>
        <v>27673.490999999998</v>
      </c>
      <c r="BC106" s="166">
        <f>BC104-BC105</f>
        <v>27321.5415</v>
      </c>
      <c r="BD106" s="166">
        <f>BD104-BD105</f>
        <v>26969.591999999997</v>
      </c>
      <c r="BE106" s="166">
        <f>BE104-BE105</f>
        <v>26617.642499999998</v>
      </c>
      <c r="BF106" s="166">
        <f>BF104-BF105</f>
        <v>26265.692999999996</v>
      </c>
      <c r="BG106" s="166">
        <f>BG104-BG105</f>
        <v>25913.748</v>
      </c>
      <c r="BH106" s="166">
        <f>BH104-BH105</f>
        <v>49062.294</v>
      </c>
      <c r="BI106" s="166">
        <f>BI104-BI105</f>
        <v>48710.34450000001</v>
      </c>
      <c r="BJ106" s="166">
        <f>BJ104-BJ105</f>
        <v>100430.995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>
        <f>B103+B106</f>
        <v>4101960.074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>
        <f>L103+L106</f>
        <v>23132.2304</v>
      </c>
      <c r="M107" s="166">
        <f>M103+M106</f>
        <v>16882.0304</v>
      </c>
      <c r="N107" s="166">
        <f>N103+N106</f>
        <v>16882.0304</v>
      </c>
      <c r="O107" s="166">
        <f>O103+O106</f>
        <v>16882.0304</v>
      </c>
      <c r="P107" s="166">
        <f>P103+P106</f>
        <v>12382.0304</v>
      </c>
      <c r="Q107" s="166">
        <f>Q103+Q106</f>
        <v>12382.0304</v>
      </c>
      <c r="R107" s="166">
        <f>R103+R106</f>
        <v>28954.2928</v>
      </c>
      <c r="S107" s="166">
        <f>S103+S106</f>
        <v>45526.555199999995</v>
      </c>
      <c r="T107" s="166">
        <f>T103+T106</f>
        <v>62098.817599999995</v>
      </c>
      <c r="U107" s="166">
        <f>U103+U106</f>
        <v>72225.794</v>
      </c>
      <c r="V107" s="166">
        <f>V103+V106</f>
        <v>87762.296</v>
      </c>
      <c r="W107" s="166">
        <f>W103+W106</f>
        <v>103298.786</v>
      </c>
      <c r="X107" s="166">
        <f>X103+X106</f>
        <v>118835.276</v>
      </c>
      <c r="Y107" s="166">
        <f>Y103+Y106</f>
        <v>134371.772</v>
      </c>
      <c r="Z107" s="166">
        <f>Z103+Z106</f>
        <v>149908.27399999998</v>
      </c>
      <c r="AA107" s="166">
        <f>AA103+AA106</f>
        <v>152699.367</v>
      </c>
      <c r="AB107" s="166">
        <f>AB103+AB106</f>
        <v>166941.1605</v>
      </c>
      <c r="AC107" s="166">
        <f>AC103+AC106</f>
        <v>200231.2855</v>
      </c>
      <c r="AD107" s="166">
        <f>AD103+AD106</f>
        <v>151106.05550000002</v>
      </c>
      <c r="AE107" s="166">
        <f>AE103+AE106</f>
        <v>151536.22149999999</v>
      </c>
      <c r="AF107" s="166">
        <f>AF103+AF106</f>
        <v>151966.37649999998</v>
      </c>
      <c r="AG107" s="166">
        <f>AG103+AG106</f>
        <v>152396.537</v>
      </c>
      <c r="AH107" s="166">
        <f>AH103+AH106</f>
        <v>152826.69199999998</v>
      </c>
      <c r="AI107" s="166">
        <f>AI103+AI106</f>
        <v>167498.6405</v>
      </c>
      <c r="AJ107" s="166">
        <f>AJ103+AJ106</f>
        <v>153687.0185</v>
      </c>
      <c r="AK107" s="166">
        <f>AK103+AK106</f>
        <v>139875.391</v>
      </c>
      <c r="AL107" s="166">
        <f>AL103+AL106</f>
        <v>126063.7635</v>
      </c>
      <c r="AM107" s="166">
        <f>AM103+AM106</f>
        <v>112252.1305</v>
      </c>
      <c r="AN107" s="166">
        <f>AN103+AN106</f>
        <v>90627.735</v>
      </c>
      <c r="AO107" s="166">
        <f>AO103+AO106</f>
        <v>78071.71</v>
      </c>
      <c r="AP107" s="166">
        <f>AP103+AP106</f>
        <v>65515.67999999999</v>
      </c>
      <c r="AQ107" s="166">
        <f>AQ103+AQ106</f>
        <v>52959.66</v>
      </c>
      <c r="AR107" s="166">
        <f>AR103+AR106</f>
        <v>39919.048500000004</v>
      </c>
      <c r="AS107" s="166">
        <f>AS103+AS106</f>
        <v>80797.05</v>
      </c>
      <c r="AT107" s="166">
        <f>AT103+AT106</f>
        <v>67849.975</v>
      </c>
      <c r="AU107" s="166">
        <f>AU103+AU106</f>
        <v>42056.6125</v>
      </c>
      <c r="AV107" s="166">
        <f>AV103+AV106</f>
        <v>41626.452</v>
      </c>
      <c r="AW107" s="166">
        <f>AW103+AW106</f>
        <v>41196.286</v>
      </c>
      <c r="AX107" s="166">
        <f>AX103+AX106</f>
        <v>40766.130999999994</v>
      </c>
      <c r="AY107" s="166">
        <f>AY103+AY106</f>
        <v>40335.970499999996</v>
      </c>
      <c r="AZ107" s="166">
        <f>AZ103+AZ106</f>
        <v>39905.81</v>
      </c>
      <c r="BA107" s="166">
        <f>BA103+BA106</f>
        <v>39475.6495</v>
      </c>
      <c r="BB107" s="166">
        <f>BB103+BB106</f>
        <v>39045.489</v>
      </c>
      <c r="BC107" s="166">
        <f>BC103+BC106</f>
        <v>38615.3285</v>
      </c>
      <c r="BD107" s="166">
        <f>BD103+BD106</f>
        <v>38185.168</v>
      </c>
      <c r="BE107" s="166">
        <f>BE103+BE106</f>
        <v>37755.0075</v>
      </c>
      <c r="BF107" s="166">
        <f>BF103+BF106</f>
        <v>37324.846999999994</v>
      </c>
      <c r="BG107" s="166">
        <f>BG103+BG106</f>
        <v>36894.692</v>
      </c>
      <c r="BH107" s="166">
        <f>BH103+BH106</f>
        <v>59965.026000000005</v>
      </c>
      <c r="BI107" s="166">
        <f>BI103+BI106</f>
        <v>59534.86550000001</v>
      </c>
      <c r="BJ107" s="166">
        <f>BJ103+BJ106</f>
        <v>112930.995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